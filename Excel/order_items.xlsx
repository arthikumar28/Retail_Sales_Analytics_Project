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120" activeTab="1"/>
  </bookViews>
  <sheets>
    <sheet name="Pivot Table" sheetId="3" r:id="rId1"/>
    <sheet name="order_items" sheetId="1" r:id="rId2"/>
  </sheets>
  <externalReferences>
    <externalReference r:id="rId4"/>
    <externalReference r:id="rId5"/>
  </externalReferences>
  <definedNames>
    <definedName name="_xlnm._FilterDatabase" localSheetId="1" hidden="1">order_items!$A$1:$J$4723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<sst xmlns="http://schemas.openxmlformats.org/spreadsheetml/2006/main" count="20" uniqueCount="19">
  <si>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category_name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</si>
  <si>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</si>
  <si>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</si>
  <si>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</si>
  <si>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</si>
  <si>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</si>
  <si>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</si>
  <si>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</si>
  <si>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</si>
  <si>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</si>
  <si>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order_id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</si>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</sst>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tegor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s"/>
    </sheetNames>
    <sheetDataSet>
      <sheetData sheetId="0">
        <row r="1">
          <cell r="A1" t="str">
            <v>product_id</v>
          </cell>
          <cell r="B1" t="str">
            <v>product_name</v>
          </cell>
          <cell r="C1" t="str">
            <v>brand_id</v>
          </cell>
          <cell r="D1" t="str">
            <v>category_id</v>
          </cell>
        </row>
        <row r="2">
          <cell r="A2">
            <v>155</v>
          </cell>
          <cell r="B2" t="str">
            <v>Trek Domane SLR 9 Disc - 2018</v>
          </cell>
          <cell r="C2">
            <v>9</v>
          </cell>
          <cell r="D2">
            <v>7</v>
          </cell>
        </row>
        <row r="3">
          <cell r="A3">
            <v>149</v>
          </cell>
          <cell r="B3" t="str">
            <v>Trek Domane SLR 8 Disc - 2018</v>
          </cell>
          <cell r="C3">
            <v>9</v>
          </cell>
          <cell r="D3">
            <v>7</v>
          </cell>
        </row>
        <row r="4">
          <cell r="A4">
            <v>51</v>
          </cell>
          <cell r="B4" t="str">
            <v>Trek Silque SLR 8 Women's - 2017</v>
          </cell>
          <cell r="C4">
            <v>9</v>
          </cell>
          <cell r="D4">
            <v>7</v>
          </cell>
        </row>
        <row r="5">
          <cell r="A5">
            <v>156</v>
          </cell>
          <cell r="B5" t="str">
            <v>Trek Domane SL Frameset - 2018</v>
          </cell>
          <cell r="C5">
            <v>9</v>
          </cell>
          <cell r="D5">
            <v>7</v>
          </cell>
        </row>
        <row r="6">
          <cell r="A6">
            <v>157</v>
          </cell>
          <cell r="B6" t="str">
            <v>Trek Domane SL Frameset Women's - 2018</v>
          </cell>
          <cell r="C6">
            <v>9</v>
          </cell>
          <cell r="D6">
            <v>7</v>
          </cell>
        </row>
        <row r="7">
          <cell r="A7">
            <v>169</v>
          </cell>
          <cell r="B7" t="str">
            <v>Trek Emonda SLR 8 - 2018</v>
          </cell>
          <cell r="C7">
            <v>9</v>
          </cell>
          <cell r="D7">
            <v>7</v>
          </cell>
        </row>
        <row r="8">
          <cell r="A8">
            <v>50</v>
          </cell>
          <cell r="B8" t="str">
            <v>Trek Silque SLR 7 Women's - 2017</v>
          </cell>
          <cell r="C8">
            <v>9</v>
          </cell>
          <cell r="D8">
            <v>7</v>
          </cell>
        </row>
        <row r="9">
          <cell r="A9">
            <v>56</v>
          </cell>
          <cell r="B9" t="str">
            <v>Trek Domane SLR 6 Disc - 2017</v>
          </cell>
          <cell r="C9">
            <v>9</v>
          </cell>
          <cell r="D9">
            <v>7</v>
          </cell>
        </row>
        <row r="10">
          <cell r="A10">
            <v>148</v>
          </cell>
          <cell r="B10" t="str">
            <v>Trek Domane SL 8 Disc - 2018</v>
          </cell>
          <cell r="C10">
            <v>9</v>
          </cell>
          <cell r="D10">
            <v>7</v>
          </cell>
        </row>
        <row r="11">
          <cell r="A11">
            <v>154</v>
          </cell>
          <cell r="B11" t="str">
            <v>Trek Domane SLR 6 Disc Women's - 2018</v>
          </cell>
          <cell r="C11">
            <v>9</v>
          </cell>
          <cell r="D11">
            <v>7</v>
          </cell>
        </row>
        <row r="12">
          <cell r="A12">
            <v>177</v>
          </cell>
          <cell r="B12" t="str">
            <v>Trek Domane SLR 6 Disc - 2018</v>
          </cell>
          <cell r="C12">
            <v>9</v>
          </cell>
          <cell r="D12">
            <v>7</v>
          </cell>
        </row>
        <row r="13">
          <cell r="A13">
            <v>43</v>
          </cell>
          <cell r="B13" t="str">
            <v>Trek Fuel EX 9.8 27.5 Plus - 2017</v>
          </cell>
          <cell r="C13">
            <v>9</v>
          </cell>
          <cell r="D13">
            <v>6</v>
          </cell>
        </row>
        <row r="14">
          <cell r="A14">
            <v>47</v>
          </cell>
          <cell r="B14" t="str">
            <v>Trek Remedy 9.8 - 2017</v>
          </cell>
          <cell r="C14">
            <v>9</v>
          </cell>
          <cell r="D14">
            <v>6</v>
          </cell>
        </row>
        <row r="15">
          <cell r="A15">
            <v>40</v>
          </cell>
          <cell r="B15" t="str">
            <v>Trek Fuel EX 9.8 29 - 2017</v>
          </cell>
          <cell r="C15">
            <v>9</v>
          </cell>
          <cell r="D15">
            <v>6</v>
          </cell>
        </row>
        <row r="16">
          <cell r="A16">
            <v>58</v>
          </cell>
          <cell r="B16" t="str">
            <v>Trek Madone 9.2 - 2017</v>
          </cell>
          <cell r="C16">
            <v>9</v>
          </cell>
          <cell r="D16">
            <v>7</v>
          </cell>
        </row>
        <row r="17">
          <cell r="A17">
            <v>61</v>
          </cell>
          <cell r="B17" t="str">
            <v>Trek Powerfly 8 FS Plus - 2017</v>
          </cell>
          <cell r="C17">
            <v>9</v>
          </cell>
          <cell r="D17">
            <v>5</v>
          </cell>
        </row>
        <row r="18">
          <cell r="A18">
            <v>140</v>
          </cell>
          <cell r="B18" t="str">
            <v>Trek Remedy 9.8 27.5 - 2018</v>
          </cell>
          <cell r="C18">
            <v>9</v>
          </cell>
          <cell r="D18">
            <v>6</v>
          </cell>
        </row>
        <row r="19">
          <cell r="A19">
            <v>146</v>
          </cell>
          <cell r="B19" t="str">
            <v>Trek Domane SLR 6 - 2018</v>
          </cell>
          <cell r="C19">
            <v>9</v>
          </cell>
          <cell r="D19">
            <v>7</v>
          </cell>
        </row>
        <row r="20">
          <cell r="A20">
            <v>153</v>
          </cell>
          <cell r="B20" t="str">
            <v>Trek Domane SL 7 Women's - 2018</v>
          </cell>
          <cell r="C20">
            <v>9</v>
          </cell>
          <cell r="D20">
            <v>7</v>
          </cell>
        </row>
        <row r="21">
          <cell r="A21">
            <v>203</v>
          </cell>
          <cell r="B21" t="str">
            <v>Trek Powerfly 7 FS - 2018</v>
          </cell>
          <cell r="C21">
            <v>9</v>
          </cell>
          <cell r="D21">
            <v>5</v>
          </cell>
        </row>
        <row r="22">
          <cell r="A22">
            <v>205</v>
          </cell>
          <cell r="B22" t="str">
            <v>Trek Super Commuter+ 8S - 2018</v>
          </cell>
          <cell r="C22">
            <v>9</v>
          </cell>
          <cell r="D22">
            <v>5</v>
          </cell>
        </row>
        <row r="23">
          <cell r="A23">
            <v>150</v>
          </cell>
          <cell r="B23" t="str">
            <v>Trek Emonda SL 7 - 2018</v>
          </cell>
          <cell r="C23">
            <v>9</v>
          </cell>
          <cell r="D23">
            <v>7</v>
          </cell>
        </row>
        <row r="24">
          <cell r="A24">
            <v>160</v>
          </cell>
          <cell r="B24" t="str">
            <v>Trek Emonda SLR 6 - 2018</v>
          </cell>
          <cell r="C24">
            <v>9</v>
          </cell>
          <cell r="D24">
            <v>7</v>
          </cell>
        </row>
        <row r="25">
          <cell r="A25">
            <v>186</v>
          </cell>
          <cell r="B25" t="str">
            <v>Trek CrossRip+ - 2018</v>
          </cell>
          <cell r="C25">
            <v>9</v>
          </cell>
          <cell r="D25">
            <v>5</v>
          </cell>
        </row>
        <row r="26">
          <cell r="A26">
            <v>201</v>
          </cell>
          <cell r="B26" t="str">
            <v>Trek Powerfly 5 FS - 2018</v>
          </cell>
          <cell r="C26">
            <v>9</v>
          </cell>
          <cell r="D26">
            <v>5</v>
          </cell>
        </row>
        <row r="27">
          <cell r="A27">
            <v>7</v>
          </cell>
          <cell r="B27" t="str">
            <v>Trek Slash 8 27.5 - 2016</v>
          </cell>
          <cell r="C27">
            <v>9</v>
          </cell>
          <cell r="D27">
            <v>6</v>
          </cell>
        </row>
        <row r="28">
          <cell r="A28">
            <v>207</v>
          </cell>
          <cell r="B28" t="str">
            <v>Trek Boone 7 Disc - 2018</v>
          </cell>
          <cell r="C28">
            <v>9</v>
          </cell>
          <cell r="D28">
            <v>4</v>
          </cell>
        </row>
        <row r="29">
          <cell r="A29">
            <v>320</v>
          </cell>
          <cell r="B29" t="str">
            <v>Trek Checkpoint SL 6 - 2019</v>
          </cell>
          <cell r="C29">
            <v>9</v>
          </cell>
          <cell r="D29">
            <v>7</v>
          </cell>
        </row>
        <row r="30">
          <cell r="A30">
            <v>204</v>
          </cell>
          <cell r="B30" t="str">
            <v>Trek Super Commuter+ 7 - 2018</v>
          </cell>
          <cell r="C30">
            <v>9</v>
          </cell>
          <cell r="D30">
            <v>5</v>
          </cell>
        </row>
        <row r="31">
          <cell r="A31">
            <v>49</v>
          </cell>
          <cell r="B31" t="str">
            <v>Trek Domane SL 6 - 2017</v>
          </cell>
          <cell r="C31">
            <v>9</v>
          </cell>
          <cell r="D31">
            <v>7</v>
          </cell>
        </row>
        <row r="32">
          <cell r="A32">
            <v>62</v>
          </cell>
          <cell r="B32" t="str">
            <v>Trek Boone 7 - 2017</v>
          </cell>
          <cell r="C32">
            <v>9</v>
          </cell>
          <cell r="D32">
            <v>4</v>
          </cell>
        </row>
        <row r="33">
          <cell r="A33">
            <v>63</v>
          </cell>
          <cell r="B33" t="str">
            <v>Trek Boone Race Shop Limited - 2017</v>
          </cell>
          <cell r="C33">
            <v>9</v>
          </cell>
          <cell r="D33">
            <v>4</v>
          </cell>
        </row>
        <row r="34">
          <cell r="A34">
            <v>184</v>
          </cell>
          <cell r="B34" t="str">
            <v>Trek Domane SL 6 Disc - 2018</v>
          </cell>
          <cell r="C34">
            <v>9</v>
          </cell>
          <cell r="D34">
            <v>7</v>
          </cell>
        </row>
        <row r="35">
          <cell r="A35">
            <v>188</v>
          </cell>
          <cell r="B35" t="str">
            <v>Trek XM700+ Lowstep - 2018</v>
          </cell>
          <cell r="C35">
            <v>9</v>
          </cell>
          <cell r="D35">
            <v>5</v>
          </cell>
        </row>
        <row r="36">
          <cell r="A36">
            <v>194</v>
          </cell>
          <cell r="B36" t="str">
            <v>Trek XM700+ - 2018</v>
          </cell>
          <cell r="C36">
            <v>9</v>
          </cell>
          <cell r="D36">
            <v>5</v>
          </cell>
        </row>
        <row r="37">
          <cell r="A37">
            <v>200</v>
          </cell>
          <cell r="B37" t="str">
            <v>Trek Powerfly 5 - 2018</v>
          </cell>
          <cell r="C37">
            <v>9</v>
          </cell>
          <cell r="D37">
            <v>5</v>
          </cell>
        </row>
        <row r="38">
          <cell r="A38">
            <v>202</v>
          </cell>
          <cell r="B38" t="str">
            <v>Trek Powerfly 5 Women's - 2018</v>
          </cell>
          <cell r="C38">
            <v>9</v>
          </cell>
          <cell r="D38">
            <v>5</v>
          </cell>
        </row>
        <row r="39">
          <cell r="A39">
            <v>206</v>
          </cell>
          <cell r="B39" t="str">
            <v>Trek Boone 5 Disc - 2018</v>
          </cell>
          <cell r="C39">
            <v>9</v>
          </cell>
          <cell r="D39">
            <v>4</v>
          </cell>
        </row>
        <row r="40">
          <cell r="A40">
            <v>54</v>
          </cell>
          <cell r="B40" t="str">
            <v>Trek Domane SL Disc Frameset - 2017</v>
          </cell>
          <cell r="C40">
            <v>9</v>
          </cell>
          <cell r="D40">
            <v>7</v>
          </cell>
        </row>
        <row r="41">
          <cell r="A41">
            <v>115</v>
          </cell>
          <cell r="B41" t="str">
            <v>Trek Fuel EX 8 29 - 2018</v>
          </cell>
          <cell r="C41">
            <v>9</v>
          </cell>
          <cell r="D41">
            <v>6</v>
          </cell>
        </row>
        <row r="42">
          <cell r="A42">
            <v>142</v>
          </cell>
          <cell r="B42" t="str">
            <v>Trek Fuel EX 8 29 XT - 2018</v>
          </cell>
          <cell r="C42">
            <v>9</v>
          </cell>
          <cell r="D42">
            <v>6</v>
          </cell>
        </row>
        <row r="43">
          <cell r="A43">
            <v>171</v>
          </cell>
          <cell r="B43" t="str">
            <v>Trek Domane SL 6 - 2018</v>
          </cell>
          <cell r="C43">
            <v>9</v>
          </cell>
          <cell r="D43">
            <v>7</v>
          </cell>
        </row>
        <row r="44">
          <cell r="A44">
            <v>172</v>
          </cell>
          <cell r="B44" t="str">
            <v>Trek Domane ALR Disc Frameset - 2018</v>
          </cell>
          <cell r="C44">
            <v>9</v>
          </cell>
          <cell r="D44">
            <v>7</v>
          </cell>
        </row>
        <row r="45">
          <cell r="A45">
            <v>173</v>
          </cell>
          <cell r="B45" t="str">
            <v>Trek Domane ALR Frameset - 2018</v>
          </cell>
          <cell r="C45">
            <v>9</v>
          </cell>
          <cell r="D45">
            <v>7</v>
          </cell>
        </row>
        <row r="46">
          <cell r="A46">
            <v>174</v>
          </cell>
          <cell r="B46" t="str">
            <v>Trek Domane SLR Disc Frameset - 2018</v>
          </cell>
          <cell r="C46">
            <v>9</v>
          </cell>
          <cell r="D46">
            <v>7</v>
          </cell>
        </row>
        <row r="47">
          <cell r="A47">
            <v>175</v>
          </cell>
          <cell r="B47" t="str">
            <v>Trek Domane SLR Frameset - 2018</v>
          </cell>
          <cell r="C47">
            <v>9</v>
          </cell>
          <cell r="D47">
            <v>7</v>
          </cell>
        </row>
        <row r="48">
          <cell r="A48">
            <v>176</v>
          </cell>
          <cell r="B48" t="str">
            <v>Trek Madone 9 Frameset - 2018</v>
          </cell>
          <cell r="C48">
            <v>9</v>
          </cell>
          <cell r="D48">
            <v>7</v>
          </cell>
        </row>
        <row r="49">
          <cell r="A49">
            <v>321</v>
          </cell>
          <cell r="B49" t="str">
            <v>Trek Checkpoint ALR Frameset - 2019</v>
          </cell>
          <cell r="C49">
            <v>9</v>
          </cell>
          <cell r="D49">
            <v>7</v>
          </cell>
        </row>
        <row r="50">
          <cell r="A50">
            <v>9</v>
          </cell>
          <cell r="B50" t="str">
            <v>Trek Conduit+ - 2016</v>
          </cell>
          <cell r="C50">
            <v>9</v>
          </cell>
          <cell r="D50">
            <v>5</v>
          </cell>
        </row>
        <row r="51">
          <cell r="A51">
            <v>139</v>
          </cell>
          <cell r="B51" t="str">
            <v>Trek Remedy 7 27.5 - 2018</v>
          </cell>
          <cell r="C51">
            <v>9</v>
          </cell>
          <cell r="D51">
            <v>6</v>
          </cell>
        </row>
        <row r="52">
          <cell r="A52">
            <v>162</v>
          </cell>
          <cell r="B52" t="str">
            <v>Trek Emonda SL 6 Disc - 2018</v>
          </cell>
          <cell r="C52">
            <v>9</v>
          </cell>
          <cell r="D52">
            <v>7</v>
          </cell>
        </row>
        <row r="53">
          <cell r="A53">
            <v>198</v>
          </cell>
          <cell r="B53" t="str">
            <v>Electra Townie Commute Go! - 2018</v>
          </cell>
          <cell r="C53">
            <v>1</v>
          </cell>
          <cell r="D53">
            <v>5</v>
          </cell>
        </row>
        <row r="54">
          <cell r="A54">
            <v>199</v>
          </cell>
          <cell r="B54" t="str">
            <v>Electra Townie Commute Go! Ladies' - 2018</v>
          </cell>
          <cell r="C54">
            <v>1</v>
          </cell>
          <cell r="D54">
            <v>5</v>
          </cell>
        </row>
        <row r="55">
          <cell r="A55">
            <v>209</v>
          </cell>
          <cell r="B55" t="str">
            <v>Trek Crockett 7 Disc - 2018</v>
          </cell>
          <cell r="C55">
            <v>9</v>
          </cell>
          <cell r="D55">
            <v>4</v>
          </cell>
        </row>
        <row r="56">
          <cell r="A56">
            <v>251</v>
          </cell>
          <cell r="B56" t="str">
            <v>Electra Townie Commute Go! - 2018</v>
          </cell>
          <cell r="C56">
            <v>1</v>
          </cell>
          <cell r="D56">
            <v>3</v>
          </cell>
        </row>
        <row r="57">
          <cell r="A57">
            <v>252</v>
          </cell>
          <cell r="B57" t="str">
            <v>Electra Townie Commute Go! Ladies' - 2018</v>
          </cell>
          <cell r="C57">
            <v>1</v>
          </cell>
          <cell r="D57">
            <v>3</v>
          </cell>
        </row>
        <row r="58">
          <cell r="A58">
            <v>4</v>
          </cell>
          <cell r="B58" t="str">
            <v>Trek Fuel EX 8 29 - 2016</v>
          </cell>
          <cell r="C58">
            <v>9</v>
          </cell>
          <cell r="D58">
            <v>6</v>
          </cell>
        </row>
        <row r="59">
          <cell r="A59">
            <v>185</v>
          </cell>
          <cell r="B59" t="str">
            <v>Trek Conduit+ - 2018</v>
          </cell>
          <cell r="C59">
            <v>9</v>
          </cell>
          <cell r="D59">
            <v>5</v>
          </cell>
        </row>
        <row r="60">
          <cell r="A60">
            <v>187</v>
          </cell>
          <cell r="B60" t="str">
            <v>Trek Neko+ - 2018</v>
          </cell>
          <cell r="C60">
            <v>9</v>
          </cell>
          <cell r="D60">
            <v>5</v>
          </cell>
        </row>
        <row r="61">
          <cell r="A61">
            <v>189</v>
          </cell>
          <cell r="B61" t="str">
            <v>Trek Lift+ Lowstep - 2018</v>
          </cell>
          <cell r="C61">
            <v>9</v>
          </cell>
          <cell r="D61">
            <v>5</v>
          </cell>
        </row>
        <row r="62">
          <cell r="A62">
            <v>190</v>
          </cell>
          <cell r="B62" t="str">
            <v>Trek Dual Sport+ - 2018</v>
          </cell>
          <cell r="C62">
            <v>9</v>
          </cell>
          <cell r="D62">
            <v>5</v>
          </cell>
        </row>
        <row r="63">
          <cell r="A63">
            <v>191</v>
          </cell>
          <cell r="B63" t="str">
            <v>Electra Loft Go! 8i - 2018</v>
          </cell>
          <cell r="C63">
            <v>1</v>
          </cell>
          <cell r="D63">
            <v>5</v>
          </cell>
        </row>
        <row r="64">
          <cell r="A64">
            <v>193</v>
          </cell>
          <cell r="B64" t="str">
            <v>Trek Lift+ - 2018</v>
          </cell>
          <cell r="C64">
            <v>9</v>
          </cell>
          <cell r="D64">
            <v>5</v>
          </cell>
        </row>
        <row r="65">
          <cell r="A65">
            <v>319</v>
          </cell>
          <cell r="B65" t="str">
            <v>Trek Checkpoint SL 5 Women's - 2019</v>
          </cell>
          <cell r="C65">
            <v>9</v>
          </cell>
          <cell r="D65">
            <v>7</v>
          </cell>
        </row>
        <row r="66">
          <cell r="A66">
            <v>55</v>
          </cell>
          <cell r="B66" t="str">
            <v>Trek Domane S 6 - 2017</v>
          </cell>
          <cell r="C66">
            <v>9</v>
          </cell>
          <cell r="D66">
            <v>7</v>
          </cell>
        </row>
        <row r="67">
          <cell r="A67">
            <v>59</v>
          </cell>
          <cell r="B67" t="str">
            <v>Trek Domane S 5 Disc - 2017</v>
          </cell>
          <cell r="C67">
            <v>9</v>
          </cell>
          <cell r="D67">
            <v>7</v>
          </cell>
        </row>
        <row r="68">
          <cell r="A68">
            <v>192</v>
          </cell>
          <cell r="B68" t="str">
            <v>Electra Townie Go! 8i - 2017/2018</v>
          </cell>
          <cell r="C68">
            <v>1</v>
          </cell>
          <cell r="D68">
            <v>5</v>
          </cell>
        </row>
        <row r="69">
          <cell r="A69">
            <v>195</v>
          </cell>
          <cell r="B69" t="str">
            <v>Electra Townie Go! 8i Ladies' - 2018</v>
          </cell>
          <cell r="C69">
            <v>1</v>
          </cell>
          <cell r="D69">
            <v>5</v>
          </cell>
        </row>
        <row r="70">
          <cell r="A70">
            <v>250</v>
          </cell>
          <cell r="B70" t="str">
            <v>Electra Townie Go! 8i - 2017/2018</v>
          </cell>
          <cell r="C70">
            <v>1</v>
          </cell>
          <cell r="D70">
            <v>3</v>
          </cell>
        </row>
        <row r="71">
          <cell r="A71">
            <v>253</v>
          </cell>
          <cell r="B71" t="str">
            <v>Electra Townie Go! 8i Ladies' - 2018</v>
          </cell>
          <cell r="C71">
            <v>1</v>
          </cell>
          <cell r="D71">
            <v>3</v>
          </cell>
        </row>
        <row r="72">
          <cell r="A72">
            <v>303</v>
          </cell>
          <cell r="B72" t="str">
            <v>Electra Townie Go! 8i - 2017/2018</v>
          </cell>
          <cell r="C72">
            <v>1</v>
          </cell>
          <cell r="D72">
            <v>2</v>
          </cell>
        </row>
        <row r="73">
          <cell r="A73">
            <v>131</v>
          </cell>
          <cell r="B73" t="str">
            <v>Heller Bloodhound Trail - 2018</v>
          </cell>
          <cell r="C73">
            <v>3</v>
          </cell>
          <cell r="D73">
            <v>6</v>
          </cell>
        </row>
        <row r="74">
          <cell r="A74">
            <v>137</v>
          </cell>
          <cell r="B74" t="str">
            <v>Heller Shagamaw GX1 - 2018</v>
          </cell>
          <cell r="C74">
            <v>3</v>
          </cell>
          <cell r="D74">
            <v>6</v>
          </cell>
        </row>
        <row r="75">
          <cell r="A75">
            <v>28</v>
          </cell>
          <cell r="B75" t="str">
            <v>Surly Karate Monkey 27.5+ Frameset - 2017</v>
          </cell>
          <cell r="C75">
            <v>8</v>
          </cell>
          <cell r="D75">
            <v>6</v>
          </cell>
        </row>
        <row r="76">
          <cell r="A76">
            <v>120</v>
          </cell>
          <cell r="B76" t="str">
            <v>Trek Fuel EX 7 29 - 2018</v>
          </cell>
          <cell r="C76">
            <v>9</v>
          </cell>
          <cell r="D76">
            <v>6</v>
          </cell>
        </row>
        <row r="77">
          <cell r="A77">
            <v>121</v>
          </cell>
          <cell r="B77" t="str">
            <v>Surly Krampus Frameset - 2018</v>
          </cell>
          <cell r="C77">
            <v>8</v>
          </cell>
          <cell r="D77">
            <v>6</v>
          </cell>
        </row>
        <row r="78">
          <cell r="A78">
            <v>122</v>
          </cell>
          <cell r="B78" t="str">
            <v>Surly Troll Frameset - 2018</v>
          </cell>
          <cell r="C78">
            <v>8</v>
          </cell>
          <cell r="D78">
            <v>6</v>
          </cell>
        </row>
        <row r="79">
          <cell r="A79">
            <v>152</v>
          </cell>
          <cell r="B79" t="str">
            <v>Trek Domane SL 5 Disc Women's - 2018</v>
          </cell>
          <cell r="C79">
            <v>9</v>
          </cell>
          <cell r="D79">
            <v>7</v>
          </cell>
        </row>
        <row r="80">
          <cell r="A80">
            <v>165</v>
          </cell>
          <cell r="B80" t="str">
            <v>Trek 1120 - 2018</v>
          </cell>
          <cell r="C80">
            <v>9</v>
          </cell>
          <cell r="D80">
            <v>7</v>
          </cell>
        </row>
        <row r="81">
          <cell r="A81">
            <v>182</v>
          </cell>
          <cell r="B81" t="str">
            <v>Trek Domane SL 5 Disc - 2018</v>
          </cell>
          <cell r="C81">
            <v>9</v>
          </cell>
          <cell r="D81">
            <v>7</v>
          </cell>
        </row>
        <row r="82">
          <cell r="A82">
            <v>42</v>
          </cell>
          <cell r="B82" t="str">
            <v>Trek Fuel EX 5 27.5 Plus - 2017</v>
          </cell>
          <cell r="C82">
            <v>9</v>
          </cell>
          <cell r="D82">
            <v>6</v>
          </cell>
        </row>
        <row r="83">
          <cell r="A83">
            <v>159</v>
          </cell>
          <cell r="B83" t="str">
            <v>Trek Emonda ALR 6 - 2018</v>
          </cell>
          <cell r="C83">
            <v>9</v>
          </cell>
          <cell r="D83">
            <v>7</v>
          </cell>
        </row>
        <row r="84">
          <cell r="A84">
            <v>196</v>
          </cell>
          <cell r="B84" t="str">
            <v>Trek Verve+ - 2018</v>
          </cell>
          <cell r="C84">
            <v>9</v>
          </cell>
          <cell r="D84">
            <v>5</v>
          </cell>
        </row>
        <row r="85">
          <cell r="A85">
            <v>197</v>
          </cell>
          <cell r="B85" t="str">
            <v>Trek Verve+ Lowstep - 2018</v>
          </cell>
          <cell r="C85">
            <v>9</v>
          </cell>
          <cell r="D85">
            <v>5</v>
          </cell>
        </row>
        <row r="86">
          <cell r="A86">
            <v>138</v>
          </cell>
          <cell r="B86" t="str">
            <v>Trek Fuel EX 5 Plus - 2018</v>
          </cell>
          <cell r="C86">
            <v>9</v>
          </cell>
          <cell r="D86">
            <v>6</v>
          </cell>
        </row>
        <row r="87">
          <cell r="A87">
            <v>181</v>
          </cell>
          <cell r="B87" t="str">
            <v>Trek Domane SL 5 - 2018</v>
          </cell>
          <cell r="C87">
            <v>9</v>
          </cell>
          <cell r="D87">
            <v>7</v>
          </cell>
        </row>
        <row r="88">
          <cell r="A88">
            <v>183</v>
          </cell>
          <cell r="B88" t="str">
            <v>Trek Domane SL 5 Women's - 2018</v>
          </cell>
          <cell r="C88">
            <v>9</v>
          </cell>
          <cell r="D88">
            <v>7</v>
          </cell>
        </row>
        <row r="89">
          <cell r="A89">
            <v>57</v>
          </cell>
          <cell r="B89" t="str">
            <v>Trek Emonda S 5 - 2017</v>
          </cell>
          <cell r="C89">
            <v>9</v>
          </cell>
          <cell r="D89">
            <v>7</v>
          </cell>
        </row>
        <row r="90">
          <cell r="A90">
            <v>317</v>
          </cell>
          <cell r="B90" t="str">
            <v>Trek Checkpoint ALR 5 - 2019</v>
          </cell>
          <cell r="C90">
            <v>9</v>
          </cell>
          <cell r="D90">
            <v>7</v>
          </cell>
        </row>
        <row r="91">
          <cell r="A91">
            <v>318</v>
          </cell>
          <cell r="B91" t="str">
            <v>Trek Checkpoint ALR 5 Women's - 2019</v>
          </cell>
          <cell r="C91">
            <v>9</v>
          </cell>
          <cell r="D91">
            <v>7</v>
          </cell>
        </row>
        <row r="92">
          <cell r="A92">
            <v>128</v>
          </cell>
          <cell r="B92" t="str">
            <v>Surly ECR 27.5 - 2018</v>
          </cell>
          <cell r="C92">
            <v>8</v>
          </cell>
          <cell r="D92">
            <v>6</v>
          </cell>
        </row>
        <row r="93">
          <cell r="A93">
            <v>161</v>
          </cell>
          <cell r="B93" t="str">
            <v>Surly ECR - 2018</v>
          </cell>
          <cell r="C93">
            <v>8</v>
          </cell>
          <cell r="D93">
            <v>7</v>
          </cell>
        </row>
        <row r="94">
          <cell r="A94">
            <v>8</v>
          </cell>
          <cell r="B94" t="str">
            <v>Trek Remedy 29 Carbon Frameset - 2016</v>
          </cell>
          <cell r="C94">
            <v>9</v>
          </cell>
          <cell r="D94">
            <v>6</v>
          </cell>
        </row>
        <row r="95">
          <cell r="A95">
            <v>136</v>
          </cell>
          <cell r="B95" t="str">
            <v>Trek Procaliber 6 - 2018</v>
          </cell>
          <cell r="C95">
            <v>9</v>
          </cell>
          <cell r="D95">
            <v>6</v>
          </cell>
        </row>
        <row r="96">
          <cell r="A96">
            <v>145</v>
          </cell>
          <cell r="B96" t="str">
            <v>Trek Domane ALR 5 Disc - 2018</v>
          </cell>
          <cell r="C96">
            <v>9</v>
          </cell>
          <cell r="D96">
            <v>7</v>
          </cell>
        </row>
        <row r="97">
          <cell r="A97">
            <v>147</v>
          </cell>
          <cell r="B97" t="str">
            <v>Trek Domane ALR 5 Gravel - 2018</v>
          </cell>
          <cell r="C97">
            <v>9</v>
          </cell>
          <cell r="D97">
            <v>7</v>
          </cell>
        </row>
        <row r="98">
          <cell r="A98">
            <v>208</v>
          </cell>
          <cell r="B98" t="str">
            <v>Trek Crockett 5 Disc - 2018</v>
          </cell>
          <cell r="C98">
            <v>9</v>
          </cell>
          <cell r="D98">
            <v>4</v>
          </cell>
        </row>
        <row r="99">
          <cell r="A99">
            <v>316</v>
          </cell>
          <cell r="B99" t="str">
            <v>Trek Checkpoint ALR 4 Women's - 2019</v>
          </cell>
          <cell r="C99">
            <v>9</v>
          </cell>
          <cell r="D99">
            <v>7</v>
          </cell>
        </row>
        <row r="100">
          <cell r="A100">
            <v>11</v>
          </cell>
          <cell r="B100" t="str">
            <v>Surly Straggler 650b - 2016</v>
          </cell>
          <cell r="C100">
            <v>8</v>
          </cell>
          <cell r="D100">
            <v>4</v>
          </cell>
        </row>
        <row r="101">
          <cell r="A101">
            <v>31</v>
          </cell>
          <cell r="B101" t="str">
            <v>Surly Wednesday - 2017</v>
          </cell>
          <cell r="C101">
            <v>8</v>
          </cell>
          <cell r="D101">
            <v>6</v>
          </cell>
        </row>
        <row r="102">
          <cell r="A102">
            <v>141</v>
          </cell>
          <cell r="B102" t="str">
            <v>Trek Stache 5 - 2018</v>
          </cell>
          <cell r="C102">
            <v>9</v>
          </cell>
          <cell r="D102">
            <v>6</v>
          </cell>
        </row>
        <row r="103">
          <cell r="A103">
            <v>60</v>
          </cell>
          <cell r="B103" t="str">
            <v>Sun Bicycles ElectroLite - 2017</v>
          </cell>
          <cell r="C103">
            <v>7</v>
          </cell>
          <cell r="D103">
            <v>5</v>
          </cell>
        </row>
        <row r="104">
          <cell r="A104">
            <v>144</v>
          </cell>
          <cell r="B104" t="str">
            <v>Trek Domane ALR 4 Disc - 2018</v>
          </cell>
          <cell r="C104">
            <v>9</v>
          </cell>
          <cell r="D104">
            <v>7</v>
          </cell>
        </row>
        <row r="105">
          <cell r="A105">
            <v>151</v>
          </cell>
          <cell r="B105" t="str">
            <v>Trek Domane ALR 4 Disc Women's - 2018</v>
          </cell>
          <cell r="C105">
            <v>9</v>
          </cell>
          <cell r="D105">
            <v>7</v>
          </cell>
        </row>
        <row r="106">
          <cell r="A106">
            <v>10</v>
          </cell>
          <cell r="B106" t="str">
            <v>Surly Straggler - 2016</v>
          </cell>
          <cell r="C106">
            <v>8</v>
          </cell>
          <cell r="D106">
            <v>4</v>
          </cell>
        </row>
        <row r="107">
          <cell r="A107">
            <v>164</v>
          </cell>
          <cell r="B107" t="str">
            <v>Surly Straggler 650b - 2018</v>
          </cell>
          <cell r="C107">
            <v>8</v>
          </cell>
          <cell r="D107">
            <v>7</v>
          </cell>
        </row>
        <row r="108">
          <cell r="A108">
            <v>168</v>
          </cell>
          <cell r="B108" t="str">
            <v>Surly Straggler - 2018</v>
          </cell>
          <cell r="C108">
            <v>8</v>
          </cell>
          <cell r="D108">
            <v>7</v>
          </cell>
        </row>
        <row r="109">
          <cell r="A109">
            <v>210</v>
          </cell>
          <cell r="B109" t="str">
            <v>Surly Straggler - 2018</v>
          </cell>
          <cell r="C109">
            <v>8</v>
          </cell>
          <cell r="D109">
            <v>4</v>
          </cell>
        </row>
        <row r="110">
          <cell r="A110">
            <v>211</v>
          </cell>
          <cell r="B110" t="str">
            <v>Surly Straggler 650b - 2018</v>
          </cell>
          <cell r="C110">
            <v>8</v>
          </cell>
          <cell r="D110">
            <v>4</v>
          </cell>
        </row>
        <row r="111">
          <cell r="A111">
            <v>39</v>
          </cell>
          <cell r="B111" t="str">
            <v>Trek Stache 5 - 2017</v>
          </cell>
          <cell r="C111">
            <v>9</v>
          </cell>
          <cell r="D111">
            <v>6</v>
          </cell>
        </row>
        <row r="112">
          <cell r="A112">
            <v>48</v>
          </cell>
          <cell r="B112" t="str">
            <v>Trek Emonda S 4 - 2017</v>
          </cell>
          <cell r="C112">
            <v>9</v>
          </cell>
          <cell r="D112">
            <v>7</v>
          </cell>
        </row>
        <row r="113">
          <cell r="A113">
            <v>132</v>
          </cell>
          <cell r="B113" t="str">
            <v>Trek Procal AL Frameset - 2018</v>
          </cell>
          <cell r="C113">
            <v>9</v>
          </cell>
          <cell r="D113">
            <v>6</v>
          </cell>
        </row>
        <row r="114">
          <cell r="A114">
            <v>133</v>
          </cell>
          <cell r="B114" t="str">
            <v>Trek Procaliber Frameset - 2018</v>
          </cell>
          <cell r="C114">
            <v>9</v>
          </cell>
          <cell r="D114">
            <v>6</v>
          </cell>
        </row>
        <row r="115">
          <cell r="A115">
            <v>134</v>
          </cell>
          <cell r="B115" t="str">
            <v>Trek Remedy 27.5 C Frameset - 2018</v>
          </cell>
          <cell r="C115">
            <v>9</v>
          </cell>
          <cell r="D115">
            <v>6</v>
          </cell>
        </row>
        <row r="116">
          <cell r="A116">
            <v>135</v>
          </cell>
          <cell r="B116" t="str">
            <v>Trek X-Caliber Frameset - 2018</v>
          </cell>
          <cell r="C116">
            <v>9</v>
          </cell>
          <cell r="D116">
            <v>6</v>
          </cell>
        </row>
        <row r="117">
          <cell r="A117">
            <v>124</v>
          </cell>
          <cell r="B117" t="str">
            <v>Surly Krampus - 2018</v>
          </cell>
          <cell r="C117">
            <v>8</v>
          </cell>
          <cell r="D117">
            <v>6</v>
          </cell>
        </row>
        <row r="118">
          <cell r="A118">
            <v>41</v>
          </cell>
          <cell r="B118" t="str">
            <v>Haro Shift R3 - 2017</v>
          </cell>
          <cell r="C118">
            <v>2</v>
          </cell>
          <cell r="D118">
            <v>6</v>
          </cell>
        </row>
        <row r="119">
          <cell r="A119">
            <v>117</v>
          </cell>
          <cell r="B119" t="str">
            <v>Trek Ticket S Frame - 2018</v>
          </cell>
          <cell r="C119">
            <v>9</v>
          </cell>
          <cell r="D119">
            <v>6</v>
          </cell>
        </row>
        <row r="120">
          <cell r="A120">
            <v>46</v>
          </cell>
          <cell r="B120" t="str">
            <v>Haro SR 1.3 - 2017</v>
          </cell>
          <cell r="C120">
            <v>2</v>
          </cell>
          <cell r="D120">
            <v>6</v>
          </cell>
        </row>
        <row r="121">
          <cell r="A121">
            <v>163</v>
          </cell>
          <cell r="B121" t="str">
            <v>Surly Pack Rat - 2018</v>
          </cell>
          <cell r="C121">
            <v>8</v>
          </cell>
          <cell r="D121">
            <v>7</v>
          </cell>
        </row>
        <row r="122">
          <cell r="A122">
            <v>5</v>
          </cell>
          <cell r="B122" t="str">
            <v>Heller Shagamaw Frame - 2016</v>
          </cell>
          <cell r="C122">
            <v>3</v>
          </cell>
          <cell r="D122">
            <v>6</v>
          </cell>
        </row>
        <row r="123">
          <cell r="A123">
            <v>170</v>
          </cell>
          <cell r="B123" t="str">
            <v>Trek CrossRip 2 - 2018</v>
          </cell>
          <cell r="C123">
            <v>9</v>
          </cell>
          <cell r="D123">
            <v>7</v>
          </cell>
        </row>
        <row r="124">
          <cell r="A124">
            <v>258</v>
          </cell>
          <cell r="B124" t="str">
            <v>Electra Amsterdam Royal 8i - 2017/2018</v>
          </cell>
          <cell r="C124">
            <v>1</v>
          </cell>
          <cell r="D124">
            <v>3</v>
          </cell>
        </row>
        <row r="125">
          <cell r="A125">
            <v>259</v>
          </cell>
          <cell r="B125" t="str">
            <v>Electra Amsterdam Royal 8i Ladies - 2018</v>
          </cell>
          <cell r="C125">
            <v>1</v>
          </cell>
          <cell r="D125">
            <v>3</v>
          </cell>
        </row>
        <row r="126">
          <cell r="A126">
            <v>81</v>
          </cell>
          <cell r="B126" t="str">
            <v>Electra Amsterdam Fashion 7i Ladies' - 2017</v>
          </cell>
          <cell r="C126">
            <v>1</v>
          </cell>
          <cell r="D126">
            <v>3</v>
          </cell>
        </row>
        <row r="127">
          <cell r="A127">
            <v>143</v>
          </cell>
          <cell r="B127" t="str">
            <v>Trek Domane ALR 3 - 2018</v>
          </cell>
          <cell r="C127">
            <v>9</v>
          </cell>
          <cell r="D127">
            <v>7</v>
          </cell>
        </row>
        <row r="128">
          <cell r="A128">
            <v>3</v>
          </cell>
          <cell r="B128" t="str">
            <v>Surly Wednesday Frameset - 2016</v>
          </cell>
          <cell r="C128">
            <v>8</v>
          </cell>
          <cell r="D128">
            <v>6</v>
          </cell>
        </row>
        <row r="129">
          <cell r="A129">
            <v>27</v>
          </cell>
          <cell r="B129" t="str">
            <v>Surly Big Dummy Frameset - 2017</v>
          </cell>
          <cell r="C129">
            <v>8</v>
          </cell>
          <cell r="D129">
            <v>6</v>
          </cell>
        </row>
        <row r="130">
          <cell r="A130">
            <v>29</v>
          </cell>
          <cell r="B130" t="str">
            <v>Trek X-Caliber 8 - 2017</v>
          </cell>
          <cell r="C130">
            <v>9</v>
          </cell>
          <cell r="D130">
            <v>6</v>
          </cell>
        </row>
        <row r="131">
          <cell r="A131">
            <v>30</v>
          </cell>
          <cell r="B131" t="str">
            <v>Surly Ice Cream Truck Frameset - 2017</v>
          </cell>
          <cell r="C131">
            <v>8</v>
          </cell>
          <cell r="D131">
            <v>6</v>
          </cell>
        </row>
        <row r="132">
          <cell r="A132">
            <v>118</v>
          </cell>
          <cell r="B132" t="str">
            <v>Trek X-Caliber 8 - 2018</v>
          </cell>
          <cell r="C132">
            <v>9</v>
          </cell>
          <cell r="D132">
            <v>6</v>
          </cell>
        </row>
        <row r="133">
          <cell r="A133">
            <v>123</v>
          </cell>
          <cell r="B133" t="str">
            <v>Trek Farley Carbon Frameset - 2018</v>
          </cell>
          <cell r="C133">
            <v>9</v>
          </cell>
          <cell r="D133">
            <v>6</v>
          </cell>
        </row>
        <row r="134">
          <cell r="A134">
            <v>158</v>
          </cell>
          <cell r="B134" t="str">
            <v>Trek CrossRip 1 - 2018</v>
          </cell>
          <cell r="C134">
            <v>9</v>
          </cell>
          <cell r="D134">
            <v>7</v>
          </cell>
        </row>
        <row r="135">
          <cell r="A135">
            <v>225</v>
          </cell>
          <cell r="B135" t="str">
            <v>Electra Delivery 3i - 2016/2017/2018</v>
          </cell>
          <cell r="C135">
            <v>1</v>
          </cell>
          <cell r="D135">
            <v>3</v>
          </cell>
        </row>
        <row r="136">
          <cell r="A136">
            <v>129</v>
          </cell>
          <cell r="B136" t="str">
            <v>Trek X-Caliber 7 - 2018</v>
          </cell>
          <cell r="C136">
            <v>9</v>
          </cell>
          <cell r="D136">
            <v>6</v>
          </cell>
        </row>
        <row r="137">
          <cell r="A137">
            <v>130</v>
          </cell>
          <cell r="B137" t="str">
            <v>Trek Stache Carbon Frameset - 2018</v>
          </cell>
          <cell r="C137">
            <v>9</v>
          </cell>
          <cell r="D137">
            <v>6</v>
          </cell>
        </row>
        <row r="138">
          <cell r="A138">
            <v>179</v>
          </cell>
          <cell r="B138" t="str">
            <v>Trek Domane AL 3 - 2018</v>
          </cell>
          <cell r="C138">
            <v>9</v>
          </cell>
          <cell r="D138">
            <v>7</v>
          </cell>
        </row>
        <row r="139">
          <cell r="A139">
            <v>180</v>
          </cell>
          <cell r="B139" t="str">
            <v>Trek Domane AL 3 Women's - 2018</v>
          </cell>
          <cell r="C139">
            <v>9</v>
          </cell>
          <cell r="D139">
            <v>7</v>
          </cell>
        </row>
        <row r="140">
          <cell r="A140">
            <v>217</v>
          </cell>
          <cell r="B140" t="str">
            <v>Electra Straight 8 3i - 2018</v>
          </cell>
          <cell r="C140">
            <v>1</v>
          </cell>
          <cell r="D140">
            <v>3</v>
          </cell>
        </row>
        <row r="141">
          <cell r="A141">
            <v>214</v>
          </cell>
          <cell r="B141" t="str">
            <v>Electra Tiger Shark 3i - 2018</v>
          </cell>
          <cell r="C141">
            <v>1</v>
          </cell>
          <cell r="D141">
            <v>3</v>
          </cell>
        </row>
        <row r="142">
          <cell r="A142">
            <v>216</v>
          </cell>
          <cell r="B142" t="str">
            <v>Electra Super Moto 8i - 2018</v>
          </cell>
          <cell r="C142">
            <v>1</v>
          </cell>
          <cell r="D142">
            <v>3</v>
          </cell>
        </row>
        <row r="143">
          <cell r="A143">
            <v>234</v>
          </cell>
          <cell r="B143" t="str">
            <v>Electra Daydreamer 3i Ladies' - 2018</v>
          </cell>
          <cell r="C143">
            <v>1</v>
          </cell>
          <cell r="D143">
            <v>3</v>
          </cell>
        </row>
        <row r="144">
          <cell r="A144">
            <v>235</v>
          </cell>
          <cell r="B144" t="str">
            <v>Electra Koa 3i Ladies' - 2018</v>
          </cell>
          <cell r="C144">
            <v>1</v>
          </cell>
          <cell r="D144">
            <v>3</v>
          </cell>
        </row>
        <row r="145">
          <cell r="A145">
            <v>240</v>
          </cell>
          <cell r="B145" t="str">
            <v>Electra Townie Commute 27D Ladies - 2018</v>
          </cell>
          <cell r="C145">
            <v>1</v>
          </cell>
          <cell r="D145">
            <v>3</v>
          </cell>
        </row>
        <row r="146">
          <cell r="A146">
            <v>255</v>
          </cell>
          <cell r="B146" t="str">
            <v>Electra Townie Balloon 7i EQ Ladies' - 2017/2018</v>
          </cell>
          <cell r="C146">
            <v>1</v>
          </cell>
          <cell r="D146">
            <v>3</v>
          </cell>
        </row>
        <row r="147">
          <cell r="A147">
            <v>256</v>
          </cell>
          <cell r="B147" t="str">
            <v>Electra Townie Commute 27D - 2018</v>
          </cell>
          <cell r="C147">
            <v>1</v>
          </cell>
          <cell r="D147">
            <v>3</v>
          </cell>
        </row>
        <row r="148">
          <cell r="A148">
            <v>257</v>
          </cell>
          <cell r="B148" t="str">
            <v>Electra Amsterdam Fashion 3i Ladies' - 2017/2018</v>
          </cell>
          <cell r="C148">
            <v>1</v>
          </cell>
          <cell r="D148">
            <v>3</v>
          </cell>
        </row>
        <row r="149">
          <cell r="A149">
            <v>261</v>
          </cell>
          <cell r="B149" t="str">
            <v>Electra Townie Balloon 7i EQ - 2018</v>
          </cell>
          <cell r="C149">
            <v>1</v>
          </cell>
          <cell r="D149">
            <v>3</v>
          </cell>
        </row>
        <row r="150">
          <cell r="A150">
            <v>301</v>
          </cell>
          <cell r="B150" t="str">
            <v>Electra Townie Balloon 7i EQ - 2018</v>
          </cell>
          <cell r="C150">
            <v>1</v>
          </cell>
          <cell r="D150">
            <v>2</v>
          </cell>
        </row>
        <row r="151">
          <cell r="A151">
            <v>306</v>
          </cell>
          <cell r="B151" t="str">
            <v>Electra Townie Balloon 7i EQ Ladies' - 2017/2018</v>
          </cell>
          <cell r="C151">
            <v>1</v>
          </cell>
          <cell r="D151">
            <v>2</v>
          </cell>
        </row>
        <row r="152">
          <cell r="A152">
            <v>309</v>
          </cell>
          <cell r="B152" t="str">
            <v>Electra Townie Commute 27D - 2018</v>
          </cell>
          <cell r="C152">
            <v>1</v>
          </cell>
          <cell r="D152">
            <v>2</v>
          </cell>
        </row>
        <row r="153">
          <cell r="A153">
            <v>310</v>
          </cell>
          <cell r="B153" t="str">
            <v>Electra Townie Commute 27D Ladies - 2018</v>
          </cell>
          <cell r="C153">
            <v>1</v>
          </cell>
          <cell r="D153">
            <v>2</v>
          </cell>
        </row>
        <row r="154">
          <cell r="A154">
            <v>52</v>
          </cell>
          <cell r="B154" t="str">
            <v>Surly Steamroller - 2017</v>
          </cell>
          <cell r="C154">
            <v>8</v>
          </cell>
          <cell r="D154">
            <v>7</v>
          </cell>
        </row>
        <row r="155">
          <cell r="A155">
            <v>45</v>
          </cell>
          <cell r="B155" t="str">
            <v>Haro SR 1.2 - 2017</v>
          </cell>
          <cell r="C155">
            <v>2</v>
          </cell>
          <cell r="D155">
            <v>6</v>
          </cell>
        </row>
        <row r="156">
          <cell r="A156">
            <v>237</v>
          </cell>
          <cell r="B156" t="str">
            <v>Electra Relic 3i - 2018</v>
          </cell>
          <cell r="C156">
            <v>1</v>
          </cell>
          <cell r="D156">
            <v>3</v>
          </cell>
        </row>
        <row r="157">
          <cell r="A157">
            <v>35</v>
          </cell>
          <cell r="B157" t="str">
            <v>Sun Bicycles Spider 3i - 2017</v>
          </cell>
          <cell r="C157">
            <v>7</v>
          </cell>
          <cell r="D157">
            <v>6</v>
          </cell>
        </row>
        <row r="158">
          <cell r="A158">
            <v>36</v>
          </cell>
          <cell r="B158" t="str">
            <v>Surly Troll Frameset - 2017</v>
          </cell>
          <cell r="C158">
            <v>8</v>
          </cell>
          <cell r="D158">
            <v>6</v>
          </cell>
        </row>
        <row r="159">
          <cell r="A159">
            <v>77</v>
          </cell>
          <cell r="B159" t="str">
            <v>Electra Glam Punk 3i Ladies' - 2017</v>
          </cell>
          <cell r="C159">
            <v>1</v>
          </cell>
          <cell r="D159">
            <v>3</v>
          </cell>
        </row>
        <row r="160">
          <cell r="A160">
            <v>260</v>
          </cell>
          <cell r="B160" t="str">
            <v>Electra Townie Balloon 3i EQ Ladies' - 2018</v>
          </cell>
          <cell r="C160">
            <v>1</v>
          </cell>
          <cell r="D160">
            <v>3</v>
          </cell>
        </row>
        <row r="161">
          <cell r="A161">
            <v>300</v>
          </cell>
          <cell r="B161" t="str">
            <v>Electra Townie Balloon 3i EQ Ladies' - 2018</v>
          </cell>
          <cell r="C161">
            <v>1</v>
          </cell>
          <cell r="D161">
            <v>2</v>
          </cell>
        </row>
        <row r="162">
          <cell r="A162">
            <v>80</v>
          </cell>
          <cell r="B162" t="str">
            <v>Sun Bicycles Brickell Tandem CB - 2017</v>
          </cell>
          <cell r="C162">
            <v>7</v>
          </cell>
          <cell r="D162">
            <v>3</v>
          </cell>
        </row>
        <row r="163">
          <cell r="A163">
            <v>2</v>
          </cell>
          <cell r="B163" t="str">
            <v>Ritchey Timberwolf Frameset - 2016</v>
          </cell>
          <cell r="C163">
            <v>5</v>
          </cell>
          <cell r="D163">
            <v>6</v>
          </cell>
        </row>
        <row r="164">
          <cell r="A164">
            <v>53</v>
          </cell>
          <cell r="B164" t="str">
            <v>Surly Ogre Frameset - 2017</v>
          </cell>
          <cell r="C164">
            <v>8</v>
          </cell>
          <cell r="D164">
            <v>7</v>
          </cell>
        </row>
        <row r="165">
          <cell r="A165">
            <v>73</v>
          </cell>
          <cell r="B165" t="str">
            <v>Sun Bicycles Brickell Tandem 7 - 2017</v>
          </cell>
          <cell r="C165">
            <v>7</v>
          </cell>
          <cell r="D165">
            <v>3</v>
          </cell>
        </row>
        <row r="166">
          <cell r="A166">
            <v>116</v>
          </cell>
          <cell r="B166" t="str">
            <v>Trek Marlin 7 - 2017/2018</v>
          </cell>
          <cell r="C166">
            <v>9</v>
          </cell>
          <cell r="D166">
            <v>6</v>
          </cell>
        </row>
        <row r="167">
          <cell r="A167">
            <v>166</v>
          </cell>
          <cell r="B167" t="str">
            <v>Trek Domane AL 2 Women's - 2018</v>
          </cell>
          <cell r="C167">
            <v>9</v>
          </cell>
          <cell r="D167">
            <v>7</v>
          </cell>
        </row>
        <row r="168">
          <cell r="A168">
            <v>167</v>
          </cell>
          <cell r="B168" t="str">
            <v>Surly ECR Frameset - 2018</v>
          </cell>
          <cell r="C168">
            <v>8</v>
          </cell>
          <cell r="D168">
            <v>7</v>
          </cell>
        </row>
        <row r="169">
          <cell r="A169">
            <v>178</v>
          </cell>
          <cell r="B169" t="str">
            <v>Trek Domane AL 2 - 2018</v>
          </cell>
          <cell r="C169">
            <v>9</v>
          </cell>
          <cell r="D169">
            <v>7</v>
          </cell>
        </row>
        <row r="170">
          <cell r="A170">
            <v>215</v>
          </cell>
          <cell r="B170" t="str">
            <v>Electra Queen of Hearts 3i - 2018</v>
          </cell>
          <cell r="C170">
            <v>1</v>
          </cell>
          <cell r="D170">
            <v>3</v>
          </cell>
        </row>
        <row r="171">
          <cell r="A171">
            <v>236</v>
          </cell>
          <cell r="B171" t="str">
            <v>Electra Morningstar 3i Ladies' - 2018</v>
          </cell>
          <cell r="C171">
            <v>1</v>
          </cell>
          <cell r="D171">
            <v>3</v>
          </cell>
        </row>
        <row r="172">
          <cell r="A172">
            <v>238</v>
          </cell>
          <cell r="B172" t="str">
            <v>Electra Townie Balloon 8D EQ - 2016/2017/2018</v>
          </cell>
          <cell r="C172">
            <v>1</v>
          </cell>
          <cell r="D172">
            <v>3</v>
          </cell>
        </row>
        <row r="173">
          <cell r="A173">
            <v>239</v>
          </cell>
          <cell r="B173" t="str">
            <v>Electra Townie Balloon 8D EQ Ladies' - 2016/2017/2018</v>
          </cell>
          <cell r="C173">
            <v>1</v>
          </cell>
          <cell r="D173">
            <v>3</v>
          </cell>
        </row>
        <row r="174">
          <cell r="A174">
            <v>241</v>
          </cell>
          <cell r="B174" t="str">
            <v>Electra Townie Commute 8D - 2018</v>
          </cell>
          <cell r="C174">
            <v>1</v>
          </cell>
          <cell r="D174">
            <v>3</v>
          </cell>
        </row>
        <row r="175">
          <cell r="A175">
            <v>249</v>
          </cell>
          <cell r="B175" t="str">
            <v>Electra White Water 3i - 2018</v>
          </cell>
          <cell r="C175">
            <v>1</v>
          </cell>
          <cell r="D175">
            <v>3</v>
          </cell>
        </row>
        <row r="176">
          <cell r="A176">
            <v>254</v>
          </cell>
          <cell r="B176" t="str">
            <v>Electra Townie Balloon 3i EQ - 2017/2018</v>
          </cell>
          <cell r="C176">
            <v>1</v>
          </cell>
          <cell r="D176">
            <v>3</v>
          </cell>
        </row>
        <row r="177">
          <cell r="A177">
            <v>305</v>
          </cell>
          <cell r="B177" t="str">
            <v>Electra Townie Balloon 3i EQ - 2017/2018</v>
          </cell>
          <cell r="C177">
            <v>1</v>
          </cell>
          <cell r="D177">
            <v>2</v>
          </cell>
        </row>
        <row r="178">
          <cell r="A178">
            <v>307</v>
          </cell>
          <cell r="B178" t="str">
            <v>Electra Townie Balloon 8D EQ - 2016/2017/2018</v>
          </cell>
          <cell r="C178">
            <v>1</v>
          </cell>
          <cell r="D178">
            <v>2</v>
          </cell>
        </row>
        <row r="179">
          <cell r="A179">
            <v>308</v>
          </cell>
          <cell r="B179" t="str">
            <v>Electra Townie Balloon 8D EQ Ladies' - 2016/2017/2018</v>
          </cell>
          <cell r="C179">
            <v>1</v>
          </cell>
          <cell r="D179">
            <v>2</v>
          </cell>
        </row>
        <row r="180">
          <cell r="A180">
            <v>311</v>
          </cell>
          <cell r="B180" t="str">
            <v>Electra Townie Commute 8D - 2018</v>
          </cell>
          <cell r="C180">
            <v>1</v>
          </cell>
          <cell r="D180">
            <v>2</v>
          </cell>
        </row>
        <row r="181">
          <cell r="A181">
            <v>242</v>
          </cell>
          <cell r="B181" t="str">
            <v>Electra Townie Commute 8D Ladies' - 2018</v>
          </cell>
          <cell r="C181">
            <v>1</v>
          </cell>
          <cell r="D181">
            <v>3</v>
          </cell>
        </row>
        <row r="182">
          <cell r="A182">
            <v>312</v>
          </cell>
          <cell r="B182" t="str">
            <v>Electra Townie Commute 8D Ladies' - 2018</v>
          </cell>
          <cell r="C182">
            <v>1</v>
          </cell>
          <cell r="D182">
            <v>2</v>
          </cell>
        </row>
        <row r="183">
          <cell r="A183">
            <v>226</v>
          </cell>
          <cell r="B183" t="str">
            <v>Electra Townie Original 21D EQ - 2017/2018</v>
          </cell>
          <cell r="C183">
            <v>1</v>
          </cell>
          <cell r="D183">
            <v>3</v>
          </cell>
        </row>
        <row r="184">
          <cell r="A184">
            <v>243</v>
          </cell>
          <cell r="B184" t="str">
            <v>Electra Townie Original 21D EQ Ladies' - 2018</v>
          </cell>
          <cell r="C184">
            <v>1</v>
          </cell>
          <cell r="D184">
            <v>3</v>
          </cell>
        </row>
        <row r="185">
          <cell r="A185">
            <v>304</v>
          </cell>
          <cell r="B185" t="str">
            <v>Electra Townie Original 21D EQ - 2017/2018</v>
          </cell>
          <cell r="C185">
            <v>1</v>
          </cell>
          <cell r="D185">
            <v>2</v>
          </cell>
        </row>
        <row r="186">
          <cell r="A186">
            <v>314</v>
          </cell>
          <cell r="B186" t="str">
            <v>Electra Townie Original 21D EQ Ladies' - 2018</v>
          </cell>
          <cell r="C186">
            <v>1</v>
          </cell>
          <cell r="D186">
            <v>2</v>
          </cell>
        </row>
        <row r="187">
          <cell r="A187">
            <v>70</v>
          </cell>
          <cell r="B187" t="str">
            <v>Electra Amsterdam Original 3i - 2015/2017</v>
          </cell>
          <cell r="C187">
            <v>1</v>
          </cell>
          <cell r="D187">
            <v>3</v>
          </cell>
        </row>
        <row r="188">
          <cell r="A188">
            <v>82</v>
          </cell>
          <cell r="B188" t="str">
            <v>Electra Amsterdam Original 3i Ladies' - 2017</v>
          </cell>
          <cell r="C188">
            <v>1</v>
          </cell>
          <cell r="D188">
            <v>3</v>
          </cell>
        </row>
        <row r="189">
          <cell r="A189">
            <v>245</v>
          </cell>
          <cell r="B189" t="str">
            <v>Electra Townie Original 3i EQ - 2017/2018</v>
          </cell>
          <cell r="C189">
            <v>1</v>
          </cell>
          <cell r="D189">
            <v>3</v>
          </cell>
        </row>
        <row r="190">
          <cell r="A190">
            <v>78</v>
          </cell>
          <cell r="B190" t="str">
            <v>Sun Bicycles Biscayne Tandem CB - 2017</v>
          </cell>
          <cell r="C190">
            <v>7</v>
          </cell>
          <cell r="D190">
            <v>3</v>
          </cell>
        </row>
        <row r="191">
          <cell r="A191">
            <v>219</v>
          </cell>
          <cell r="B191" t="str">
            <v>Electra Moto 3i - 2018</v>
          </cell>
          <cell r="C191">
            <v>1</v>
          </cell>
          <cell r="D191">
            <v>3</v>
          </cell>
        </row>
        <row r="192">
          <cell r="A192">
            <v>233</v>
          </cell>
          <cell r="B192" t="str">
            <v>Electra Cruiser Lux Fat Tire 7D - 2018</v>
          </cell>
          <cell r="C192">
            <v>1</v>
          </cell>
          <cell r="D192">
            <v>3</v>
          </cell>
        </row>
        <row r="193">
          <cell r="A193">
            <v>246</v>
          </cell>
          <cell r="B193" t="str">
            <v>Electra Townie Original 3i EQ Ladies' - 2018</v>
          </cell>
          <cell r="C193">
            <v>1</v>
          </cell>
          <cell r="D193">
            <v>3</v>
          </cell>
        </row>
        <row r="194">
          <cell r="A194">
            <v>72</v>
          </cell>
          <cell r="B194" t="str">
            <v>Sun Bicycles Biscayne Tandem 7 - 2017</v>
          </cell>
          <cell r="C194">
            <v>7</v>
          </cell>
          <cell r="D194">
            <v>3</v>
          </cell>
        </row>
        <row r="195">
          <cell r="A195">
            <v>16</v>
          </cell>
          <cell r="B195" t="str">
            <v>Electra Townie Original 7D EQ - 2016</v>
          </cell>
          <cell r="C195">
            <v>1</v>
          </cell>
          <cell r="D195">
            <v>3</v>
          </cell>
        </row>
        <row r="196">
          <cell r="A196">
            <v>20</v>
          </cell>
          <cell r="B196" t="str">
            <v>Electra Townie Original 7D EQ - Women's - 2016</v>
          </cell>
          <cell r="C196">
            <v>1</v>
          </cell>
          <cell r="D196">
            <v>3</v>
          </cell>
        </row>
        <row r="197">
          <cell r="A197">
            <v>26</v>
          </cell>
          <cell r="B197" t="str">
            <v>Electra Townie Original 7D EQ - 2016</v>
          </cell>
          <cell r="C197">
            <v>1</v>
          </cell>
          <cell r="D197">
            <v>2</v>
          </cell>
        </row>
        <row r="198">
          <cell r="A198">
            <v>75</v>
          </cell>
          <cell r="B198" t="str">
            <v>Electra Cruiser Lux Fat Tire 1 Ladies - 2017</v>
          </cell>
          <cell r="C198">
            <v>1</v>
          </cell>
          <cell r="D198">
            <v>3</v>
          </cell>
        </row>
        <row r="199">
          <cell r="A199">
            <v>247</v>
          </cell>
          <cell r="B199" t="str">
            <v>Electra Townie Original 7D EQ - 2018</v>
          </cell>
          <cell r="C199">
            <v>1</v>
          </cell>
          <cell r="D199">
            <v>3</v>
          </cell>
        </row>
        <row r="200">
          <cell r="A200">
            <v>248</v>
          </cell>
          <cell r="B200" t="str">
            <v>Electra Townie Original 7D EQ Ladies' - 2017/2018</v>
          </cell>
          <cell r="C200">
            <v>1</v>
          </cell>
          <cell r="D200">
            <v>3</v>
          </cell>
        </row>
        <row r="201">
          <cell r="A201">
            <v>114</v>
          </cell>
          <cell r="B201" t="str">
            <v>Trek Marlin 6 - 2018</v>
          </cell>
          <cell r="C201">
            <v>9</v>
          </cell>
          <cell r="D201">
            <v>6</v>
          </cell>
        </row>
        <row r="202">
          <cell r="A202">
            <v>212</v>
          </cell>
          <cell r="B202" t="str">
            <v>Electra Townie Original 21D - 2018</v>
          </cell>
          <cell r="C202">
            <v>1</v>
          </cell>
          <cell r="D202">
            <v>3</v>
          </cell>
        </row>
        <row r="203">
          <cell r="A203">
            <v>244</v>
          </cell>
          <cell r="B203" t="str">
            <v>Electra Townie Original 21D Ladies' - 2018</v>
          </cell>
          <cell r="C203">
            <v>1</v>
          </cell>
          <cell r="D203">
            <v>3</v>
          </cell>
        </row>
        <row r="204">
          <cell r="A204">
            <v>299</v>
          </cell>
          <cell r="B204" t="str">
            <v>Electra Townie Original 21D - 2018</v>
          </cell>
          <cell r="C204">
            <v>1</v>
          </cell>
          <cell r="D204">
            <v>2</v>
          </cell>
        </row>
        <row r="205">
          <cell r="A205">
            <v>315</v>
          </cell>
          <cell r="B205" t="str">
            <v>Electra Townie Original 21D Ladies' - 2018</v>
          </cell>
          <cell r="C205">
            <v>1</v>
          </cell>
          <cell r="D205">
            <v>2</v>
          </cell>
        </row>
        <row r="206">
          <cell r="A206">
            <v>103</v>
          </cell>
          <cell r="B206" t="str">
            <v>Sun Bicycles Streamway 3 - 2017</v>
          </cell>
          <cell r="C206">
            <v>7</v>
          </cell>
          <cell r="D206">
            <v>2</v>
          </cell>
        </row>
        <row r="207">
          <cell r="A207">
            <v>12</v>
          </cell>
          <cell r="B207" t="str">
            <v>Electra Townie Original 21D - 2016</v>
          </cell>
          <cell r="C207">
            <v>1</v>
          </cell>
          <cell r="D207">
            <v>3</v>
          </cell>
        </row>
        <row r="208">
          <cell r="A208">
            <v>24</v>
          </cell>
          <cell r="B208" t="str">
            <v>Electra Townie Original 21D - 2016</v>
          </cell>
          <cell r="C208">
            <v>1</v>
          </cell>
          <cell r="D208">
            <v>2</v>
          </cell>
        </row>
        <row r="209">
          <cell r="A209">
            <v>38</v>
          </cell>
          <cell r="B209" t="str">
            <v>Haro Flightline Two 26 Plus - 2017</v>
          </cell>
          <cell r="C209">
            <v>2</v>
          </cell>
          <cell r="D209">
            <v>6</v>
          </cell>
        </row>
        <row r="210">
          <cell r="A210">
            <v>44</v>
          </cell>
          <cell r="B210" t="str">
            <v>Haro SR 1.1 - 2017</v>
          </cell>
          <cell r="C210">
            <v>2</v>
          </cell>
          <cell r="D210">
            <v>6</v>
          </cell>
        </row>
        <row r="211">
          <cell r="A211">
            <v>105</v>
          </cell>
          <cell r="B211" t="str">
            <v>Sun Bicycles Streamway 7 - 2017</v>
          </cell>
          <cell r="C211">
            <v>7</v>
          </cell>
          <cell r="D211">
            <v>2</v>
          </cell>
        </row>
        <row r="212">
          <cell r="A212">
            <v>15</v>
          </cell>
          <cell r="B212" t="str">
            <v>Electra Moto 1 - 2016</v>
          </cell>
          <cell r="C212">
            <v>1</v>
          </cell>
          <cell r="D212">
            <v>3</v>
          </cell>
        </row>
        <row r="213">
          <cell r="A213">
            <v>223</v>
          </cell>
          <cell r="B213" t="str">
            <v>Electra Cruiser Lux 3i - 2018</v>
          </cell>
          <cell r="C213">
            <v>1</v>
          </cell>
          <cell r="D213">
            <v>3</v>
          </cell>
        </row>
        <row r="214">
          <cell r="A214">
            <v>231</v>
          </cell>
          <cell r="B214" t="str">
            <v>Electra Cruiser Lux 3i Ladies' - 2018</v>
          </cell>
          <cell r="C214">
            <v>1</v>
          </cell>
          <cell r="D214">
            <v>3</v>
          </cell>
        </row>
        <row r="215">
          <cell r="A215">
            <v>25</v>
          </cell>
          <cell r="B215" t="str">
            <v>Electra Townie Original 7D - 2015/2016</v>
          </cell>
          <cell r="C215">
            <v>1</v>
          </cell>
          <cell r="D215">
            <v>2</v>
          </cell>
        </row>
        <row r="216">
          <cell r="A216">
            <v>64</v>
          </cell>
          <cell r="B216" t="str">
            <v>Electra Townie Original 7D - 2017</v>
          </cell>
          <cell r="C216">
            <v>1</v>
          </cell>
          <cell r="D216">
            <v>3</v>
          </cell>
        </row>
        <row r="217">
          <cell r="A217">
            <v>98</v>
          </cell>
          <cell r="B217" t="str">
            <v>Electra Straight 8 3i (20-inch) - Boy's - 2017</v>
          </cell>
          <cell r="C217">
            <v>1</v>
          </cell>
          <cell r="D217">
            <v>1</v>
          </cell>
        </row>
        <row r="218">
          <cell r="A218">
            <v>100</v>
          </cell>
          <cell r="B218" t="str">
            <v>Electra Townie 3i EQ (20-inch) - Boys' - 2017</v>
          </cell>
          <cell r="C218">
            <v>1</v>
          </cell>
          <cell r="D218">
            <v>1</v>
          </cell>
        </row>
        <row r="219">
          <cell r="A219">
            <v>102</v>
          </cell>
          <cell r="B219" t="str">
            <v>Electra Townie Original 7D - 2017</v>
          </cell>
          <cell r="C219">
            <v>1</v>
          </cell>
          <cell r="D219">
            <v>2</v>
          </cell>
        </row>
        <row r="220">
          <cell r="A220">
            <v>113</v>
          </cell>
          <cell r="B220" t="str">
            <v>Trek Marlin 5 - 2018</v>
          </cell>
          <cell r="C220">
            <v>9</v>
          </cell>
          <cell r="D220">
            <v>6</v>
          </cell>
        </row>
        <row r="221">
          <cell r="A221">
            <v>280</v>
          </cell>
          <cell r="B221" t="str">
            <v>Trek Superfly 24 - 2017/2018</v>
          </cell>
          <cell r="C221">
            <v>9</v>
          </cell>
          <cell r="D221">
            <v>1</v>
          </cell>
        </row>
        <row r="222">
          <cell r="A222">
            <v>104</v>
          </cell>
          <cell r="B222" t="str">
            <v>Sun Bicycles Streamway - 2017</v>
          </cell>
          <cell r="C222">
            <v>7</v>
          </cell>
          <cell r="D222">
            <v>2</v>
          </cell>
        </row>
        <row r="223">
          <cell r="A223">
            <v>224</v>
          </cell>
          <cell r="B223" t="str">
            <v>Electra Cruiser Lux 7D - 2018</v>
          </cell>
          <cell r="C223">
            <v>1</v>
          </cell>
          <cell r="D223">
            <v>3</v>
          </cell>
        </row>
        <row r="224">
          <cell r="A224">
            <v>232</v>
          </cell>
          <cell r="B224" t="str">
            <v>Electra Cruiser Lux 7D Ladies' - 2018</v>
          </cell>
          <cell r="C224">
            <v>1</v>
          </cell>
          <cell r="D224">
            <v>3</v>
          </cell>
        </row>
        <row r="225">
          <cell r="A225">
            <v>110</v>
          </cell>
          <cell r="B225" t="str">
            <v>Sun Bicycles Drifter 7 - 2017</v>
          </cell>
          <cell r="C225">
            <v>7</v>
          </cell>
          <cell r="D225">
            <v>2</v>
          </cell>
        </row>
        <row r="226">
          <cell r="A226">
            <v>111</v>
          </cell>
          <cell r="B226" t="str">
            <v>Sun Bicycles Drifter 7 - Women's - 2017</v>
          </cell>
          <cell r="C226">
            <v>7</v>
          </cell>
          <cell r="D226">
            <v>2</v>
          </cell>
        </row>
        <row r="227">
          <cell r="A227">
            <v>6</v>
          </cell>
          <cell r="B227" t="str">
            <v>Surly Ice Cream Truck Frameset - 2016</v>
          </cell>
          <cell r="C227">
            <v>8</v>
          </cell>
          <cell r="D227">
            <v>6</v>
          </cell>
        </row>
        <row r="228">
          <cell r="A228">
            <v>32</v>
          </cell>
          <cell r="B228" t="str">
            <v>Trek Farley Alloy Frameset - 2017</v>
          </cell>
          <cell r="C228">
            <v>9</v>
          </cell>
          <cell r="D228">
            <v>6</v>
          </cell>
        </row>
        <row r="229">
          <cell r="A229">
            <v>33</v>
          </cell>
          <cell r="B229" t="str">
            <v>Surly Wednesday Frameset - 2017</v>
          </cell>
          <cell r="C229">
            <v>8</v>
          </cell>
          <cell r="D229">
            <v>6</v>
          </cell>
        </row>
        <row r="230">
          <cell r="A230">
            <v>34</v>
          </cell>
          <cell r="B230" t="str">
            <v>Trek Session DH 27.5 Carbon Frameset - 2017</v>
          </cell>
          <cell r="C230">
            <v>9</v>
          </cell>
          <cell r="D230">
            <v>6</v>
          </cell>
        </row>
        <row r="231">
          <cell r="A231">
            <v>119</v>
          </cell>
          <cell r="B231" t="str">
            <v>Trek Kids' Neko - 2018</v>
          </cell>
          <cell r="C231">
            <v>9</v>
          </cell>
          <cell r="D231">
            <v>6</v>
          </cell>
        </row>
        <row r="232">
          <cell r="A232">
            <v>125</v>
          </cell>
          <cell r="B232" t="str">
            <v>Trek Kids' Dual Sport - 2018</v>
          </cell>
          <cell r="C232">
            <v>9</v>
          </cell>
          <cell r="D232">
            <v>6</v>
          </cell>
        </row>
        <row r="233">
          <cell r="A233">
            <v>126</v>
          </cell>
          <cell r="B233" t="str">
            <v>Surly Big Fat Dummy Frameset - 2018</v>
          </cell>
          <cell r="C233">
            <v>8</v>
          </cell>
          <cell r="D233">
            <v>6</v>
          </cell>
        </row>
        <row r="234">
          <cell r="A234">
            <v>127</v>
          </cell>
          <cell r="B234" t="str">
            <v>Surly Pack Rat Frameset - 2018</v>
          </cell>
          <cell r="C234">
            <v>8</v>
          </cell>
          <cell r="D234">
            <v>6</v>
          </cell>
        </row>
        <row r="235">
          <cell r="A235">
            <v>68</v>
          </cell>
          <cell r="B235" t="str">
            <v>Sun Bicycles Cruz 3 - 2017</v>
          </cell>
          <cell r="C235">
            <v>7</v>
          </cell>
          <cell r="D235">
            <v>3</v>
          </cell>
        </row>
        <row r="236">
          <cell r="A236">
            <v>106</v>
          </cell>
          <cell r="B236" t="str">
            <v>Sun Bicycles Cruz 3 - 2017</v>
          </cell>
          <cell r="C236">
            <v>7</v>
          </cell>
          <cell r="D236">
            <v>2</v>
          </cell>
        </row>
        <row r="237">
          <cell r="A237">
            <v>108</v>
          </cell>
          <cell r="B237" t="str">
            <v>Sun Bicycles Cruz 3 - Women's - 2017</v>
          </cell>
          <cell r="C237">
            <v>7</v>
          </cell>
          <cell r="D237">
            <v>2</v>
          </cell>
        </row>
        <row r="238">
          <cell r="A238">
            <v>302</v>
          </cell>
          <cell r="B238" t="str">
            <v>Electra Townie Original 1 - 2018</v>
          </cell>
          <cell r="C238">
            <v>1</v>
          </cell>
          <cell r="D238">
            <v>2</v>
          </cell>
        </row>
        <row r="239">
          <cell r="A239">
            <v>313</v>
          </cell>
          <cell r="B239" t="str">
            <v>Electra Townie Original 1 Ladies' - 2018</v>
          </cell>
          <cell r="C239">
            <v>1</v>
          </cell>
          <cell r="D239">
            <v>2</v>
          </cell>
        </row>
        <row r="240">
          <cell r="A240">
            <v>18</v>
          </cell>
          <cell r="B240" t="str">
            <v>Pure Cycles Western 3-Speed - Women's - 2015/2016</v>
          </cell>
          <cell r="C240">
            <v>4</v>
          </cell>
          <cell r="D240">
            <v>3</v>
          </cell>
        </row>
        <row r="241">
          <cell r="A241">
            <v>19</v>
          </cell>
          <cell r="B241" t="str">
            <v>Pure Cycles William 3-Speed - 2016</v>
          </cell>
          <cell r="C241">
            <v>4</v>
          </cell>
          <cell r="D241">
            <v>3</v>
          </cell>
        </row>
        <row r="242">
          <cell r="A242">
            <v>74</v>
          </cell>
          <cell r="B242" t="str">
            <v>Electra Cruiser Lux 1 - 2017</v>
          </cell>
          <cell r="C242">
            <v>1</v>
          </cell>
          <cell r="D242">
            <v>3</v>
          </cell>
        </row>
        <row r="243">
          <cell r="A243">
            <v>229</v>
          </cell>
          <cell r="B243" t="str">
            <v>Electra Cruiser Lux 1 - 2016/2018</v>
          </cell>
          <cell r="C243">
            <v>1</v>
          </cell>
          <cell r="D243">
            <v>3</v>
          </cell>
        </row>
        <row r="244">
          <cell r="A244">
            <v>230</v>
          </cell>
          <cell r="B244" t="str">
            <v>Electra Cruiser Lux 1 Ladies' - 2018</v>
          </cell>
          <cell r="C244">
            <v>1</v>
          </cell>
          <cell r="D244">
            <v>3</v>
          </cell>
        </row>
        <row r="245">
          <cell r="A245">
            <v>17</v>
          </cell>
          <cell r="B245" t="str">
            <v>Pure Cycles Vine 8-Speed - 2016</v>
          </cell>
          <cell r="C245">
            <v>4</v>
          </cell>
          <cell r="D245">
            <v>3</v>
          </cell>
        </row>
        <row r="246">
          <cell r="A246">
            <v>69</v>
          </cell>
          <cell r="B246" t="str">
            <v>Sun Bicycles Cruz 7 - 2017</v>
          </cell>
          <cell r="C246">
            <v>7</v>
          </cell>
          <cell r="D246">
            <v>3</v>
          </cell>
        </row>
        <row r="247">
          <cell r="A247">
            <v>71</v>
          </cell>
          <cell r="B247" t="str">
            <v>Sun Bicycles Atlas X-Type - 2017</v>
          </cell>
          <cell r="C247">
            <v>7</v>
          </cell>
          <cell r="D247">
            <v>3</v>
          </cell>
        </row>
        <row r="248">
          <cell r="A248">
            <v>107</v>
          </cell>
          <cell r="B248" t="str">
            <v>Sun Bicycles Cruz 7 - 2017</v>
          </cell>
          <cell r="C248">
            <v>7</v>
          </cell>
          <cell r="D248">
            <v>2</v>
          </cell>
        </row>
        <row r="249">
          <cell r="A249">
            <v>109</v>
          </cell>
          <cell r="B249" t="str">
            <v>Sun Bicycles Cruz 7 - Women's - 2017</v>
          </cell>
          <cell r="C249">
            <v>7</v>
          </cell>
          <cell r="D249">
            <v>2</v>
          </cell>
        </row>
        <row r="250">
          <cell r="A250">
            <v>79</v>
          </cell>
          <cell r="B250" t="str">
            <v>Sun Bicycles Boardwalk (24-inch Wheels) - 2017</v>
          </cell>
          <cell r="C250">
            <v>7</v>
          </cell>
          <cell r="D250">
            <v>3</v>
          </cell>
        </row>
        <row r="251">
          <cell r="A251">
            <v>266</v>
          </cell>
          <cell r="B251" t="str">
            <v>Trek Superfly 20 - 2018</v>
          </cell>
          <cell r="C251">
            <v>9</v>
          </cell>
          <cell r="D251">
            <v>1</v>
          </cell>
        </row>
        <row r="252">
          <cell r="A252">
            <v>288</v>
          </cell>
          <cell r="B252" t="str">
            <v>Electra Straight 8 1 (20-inch) - Boy's - 2018</v>
          </cell>
          <cell r="C252">
            <v>1</v>
          </cell>
          <cell r="D252">
            <v>1</v>
          </cell>
        </row>
        <row r="253">
          <cell r="A253">
            <v>1</v>
          </cell>
          <cell r="B253" t="str">
            <v>Trek 820 - 2016</v>
          </cell>
          <cell r="C253">
            <v>9</v>
          </cell>
          <cell r="D253">
            <v>6</v>
          </cell>
        </row>
        <row r="254">
          <cell r="A254">
            <v>37</v>
          </cell>
          <cell r="B254" t="str">
            <v>Haro Flightline One ST - 2017</v>
          </cell>
          <cell r="C254">
            <v>2</v>
          </cell>
          <cell r="D254">
            <v>6</v>
          </cell>
        </row>
        <row r="255">
          <cell r="A255">
            <v>112</v>
          </cell>
          <cell r="B255" t="str">
            <v>Trek 820 - 2018</v>
          </cell>
          <cell r="C255">
            <v>9</v>
          </cell>
          <cell r="D255">
            <v>6</v>
          </cell>
        </row>
        <row r="256">
          <cell r="A256">
            <v>277</v>
          </cell>
          <cell r="B256" t="str">
            <v>Trek Precaliber 24 21-speed Boy's - 2018</v>
          </cell>
          <cell r="C256">
            <v>9</v>
          </cell>
          <cell r="D256">
            <v>1</v>
          </cell>
        </row>
        <row r="257">
          <cell r="A257">
            <v>278</v>
          </cell>
          <cell r="B257" t="str">
            <v>Trek Precaliber 24 21-speed Girl's - 2018</v>
          </cell>
          <cell r="C257">
            <v>9</v>
          </cell>
          <cell r="D257">
            <v>1</v>
          </cell>
        </row>
        <row r="258">
          <cell r="A258">
            <v>290</v>
          </cell>
          <cell r="B258" t="str">
            <v>Electra Superbolt 3i 20" - 2018</v>
          </cell>
          <cell r="C258">
            <v>1</v>
          </cell>
          <cell r="D258">
            <v>1</v>
          </cell>
        </row>
        <row r="259">
          <cell r="A259">
            <v>292</v>
          </cell>
          <cell r="B259" t="str">
            <v>Electra Sweet Ride 3i (20-inch) - Girls' - 2018</v>
          </cell>
          <cell r="C259">
            <v>1</v>
          </cell>
          <cell r="D259">
            <v>1</v>
          </cell>
        </row>
        <row r="260">
          <cell r="A260">
            <v>294</v>
          </cell>
          <cell r="B260" t="str">
            <v>Electra Tiger Shark 3i (20-inch) - Boys' - 2018</v>
          </cell>
          <cell r="C260">
            <v>1</v>
          </cell>
          <cell r="D260">
            <v>1</v>
          </cell>
        </row>
        <row r="261">
          <cell r="A261">
            <v>296</v>
          </cell>
          <cell r="B261" t="str">
            <v>Electra Treasure 3i 20" - 2018</v>
          </cell>
          <cell r="C261">
            <v>1</v>
          </cell>
          <cell r="D261">
            <v>1</v>
          </cell>
        </row>
        <row r="262">
          <cell r="A262">
            <v>91</v>
          </cell>
          <cell r="B262" t="str">
            <v>Trek Precaliber 24 (21-Speed) - Girls - 2017</v>
          </cell>
          <cell r="C262">
            <v>9</v>
          </cell>
          <cell r="D262">
            <v>1</v>
          </cell>
        </row>
        <row r="263">
          <cell r="A263">
            <v>96</v>
          </cell>
          <cell r="B263" t="str">
            <v>Electra Moto 3i (20-inch) - Boy's - 2017</v>
          </cell>
          <cell r="C263">
            <v>1</v>
          </cell>
          <cell r="D263">
            <v>1</v>
          </cell>
        </row>
        <row r="264">
          <cell r="A264">
            <v>97</v>
          </cell>
          <cell r="B264" t="str">
            <v>Electra Savannah 3i (20-inch) - Girl's - 2017</v>
          </cell>
          <cell r="C264">
            <v>1</v>
          </cell>
          <cell r="D264">
            <v>1</v>
          </cell>
        </row>
        <row r="265">
          <cell r="A265">
            <v>65</v>
          </cell>
          <cell r="B265" t="str">
            <v>Sun Bicycles Lil Bolt Type-R - 2017</v>
          </cell>
          <cell r="C265">
            <v>7</v>
          </cell>
          <cell r="D265">
            <v>3</v>
          </cell>
        </row>
        <row r="266">
          <cell r="A266">
            <v>101</v>
          </cell>
          <cell r="B266" t="str">
            <v>Electra Townie 7D (20-inch) - Boys' - 2017</v>
          </cell>
          <cell r="C266">
            <v>1</v>
          </cell>
          <cell r="D266">
            <v>1</v>
          </cell>
        </row>
        <row r="267">
          <cell r="A267">
            <v>85</v>
          </cell>
          <cell r="B267" t="str">
            <v>Haro Downtown 16 - 2017</v>
          </cell>
          <cell r="C267">
            <v>2</v>
          </cell>
          <cell r="D267">
            <v>1</v>
          </cell>
        </row>
        <row r="268">
          <cell r="A268">
            <v>218</v>
          </cell>
          <cell r="B268" t="str">
            <v>Electra Cruiser 7D - 2016/2017/2018</v>
          </cell>
          <cell r="C268">
            <v>1</v>
          </cell>
          <cell r="D268">
            <v>3</v>
          </cell>
        </row>
        <row r="269">
          <cell r="A269">
            <v>221</v>
          </cell>
          <cell r="B269" t="str">
            <v>Electra Cruiser 7D Ladies' - 2016/2018</v>
          </cell>
          <cell r="C269">
            <v>1</v>
          </cell>
          <cell r="D269">
            <v>3</v>
          </cell>
        </row>
        <row r="270">
          <cell r="A270">
            <v>227</v>
          </cell>
          <cell r="B270" t="str">
            <v>Electra Cruiser 7D (24-Inch) Ladies' - 2016/2018</v>
          </cell>
          <cell r="C270">
            <v>1</v>
          </cell>
          <cell r="D270">
            <v>3</v>
          </cell>
        </row>
        <row r="271">
          <cell r="A271">
            <v>228</v>
          </cell>
          <cell r="B271" t="str">
            <v>Electra Cruiser 7D Tall - 2016/2018</v>
          </cell>
          <cell r="C271">
            <v>1</v>
          </cell>
          <cell r="D271">
            <v>3</v>
          </cell>
        </row>
        <row r="272">
          <cell r="A272">
            <v>276</v>
          </cell>
          <cell r="B272" t="str">
            <v>Trek Precaliber 24 (7-Speed) - Boys - 2018</v>
          </cell>
          <cell r="C272">
            <v>9</v>
          </cell>
          <cell r="D272">
            <v>1</v>
          </cell>
        </row>
        <row r="273">
          <cell r="A273">
            <v>279</v>
          </cell>
          <cell r="B273" t="str">
            <v>Trek Precaliber 24 7-speed Girl's - 2018</v>
          </cell>
          <cell r="C273">
            <v>9</v>
          </cell>
          <cell r="D273">
            <v>1</v>
          </cell>
        </row>
        <row r="274">
          <cell r="A274">
            <v>281</v>
          </cell>
          <cell r="B274" t="str">
            <v>Electra Cruiser 7D (24-Inch) Ladies' - 2016/2018</v>
          </cell>
          <cell r="C274">
            <v>1</v>
          </cell>
          <cell r="D274">
            <v>1</v>
          </cell>
        </row>
        <row r="275">
          <cell r="A275">
            <v>283</v>
          </cell>
          <cell r="B275" t="str">
            <v>Electra Heartchya 1 (20-inch) - Girl's - 2018</v>
          </cell>
          <cell r="C275">
            <v>1</v>
          </cell>
          <cell r="D275">
            <v>1</v>
          </cell>
        </row>
        <row r="276">
          <cell r="A276">
            <v>284</v>
          </cell>
          <cell r="B276" t="str">
            <v>Electra Savannah 1 (20-inch) - Girl's - 2018</v>
          </cell>
          <cell r="C276">
            <v>1</v>
          </cell>
          <cell r="D276">
            <v>1</v>
          </cell>
        </row>
        <row r="277">
          <cell r="A277">
            <v>289</v>
          </cell>
          <cell r="B277" t="str">
            <v>Electra Superbolt 1 20" - 2018</v>
          </cell>
          <cell r="C277">
            <v>1</v>
          </cell>
          <cell r="D277">
            <v>1</v>
          </cell>
        </row>
        <row r="278">
          <cell r="A278">
            <v>291</v>
          </cell>
          <cell r="B278" t="str">
            <v>Electra Sweet Ride 1 (20-inch) - Girl's - 2018</v>
          </cell>
          <cell r="C278">
            <v>1</v>
          </cell>
          <cell r="D278">
            <v>1</v>
          </cell>
        </row>
        <row r="279">
          <cell r="A279">
            <v>293</v>
          </cell>
          <cell r="B279" t="str">
            <v>Electra Tiger Shark 1 (20-inch) - Boys' - 2018</v>
          </cell>
          <cell r="C279">
            <v>1</v>
          </cell>
          <cell r="D279">
            <v>1</v>
          </cell>
        </row>
        <row r="280">
          <cell r="A280">
            <v>295</v>
          </cell>
          <cell r="B280" t="str">
            <v>Electra Treasure 1 20" - 2018</v>
          </cell>
          <cell r="C280">
            <v>1</v>
          </cell>
          <cell r="D280">
            <v>1</v>
          </cell>
        </row>
        <row r="281">
          <cell r="A281">
            <v>23</v>
          </cell>
          <cell r="B281" t="str">
            <v>Electra Girl's Hawaii 1 (20-inch) - 2015/2016</v>
          </cell>
          <cell r="C281">
            <v>1</v>
          </cell>
          <cell r="D281">
            <v>1</v>
          </cell>
        </row>
        <row r="282">
          <cell r="A282">
            <v>76</v>
          </cell>
          <cell r="B282" t="str">
            <v>Electra Girl's Hawaii 1 16" - 2017</v>
          </cell>
          <cell r="C282">
            <v>1</v>
          </cell>
          <cell r="D282">
            <v>3</v>
          </cell>
        </row>
        <row r="283">
          <cell r="A283">
            <v>95</v>
          </cell>
          <cell r="B283" t="str">
            <v>Electra Girl's Hawaii 1 16" - 2017</v>
          </cell>
          <cell r="C283">
            <v>1</v>
          </cell>
          <cell r="D283">
            <v>1</v>
          </cell>
        </row>
        <row r="284">
          <cell r="A284">
            <v>99</v>
          </cell>
          <cell r="B284" t="str">
            <v>Electra Sugar Skulls 1 (20-inch) - Girl's - 2017</v>
          </cell>
          <cell r="C284">
            <v>1</v>
          </cell>
          <cell r="D284">
            <v>1</v>
          </cell>
        </row>
        <row r="285">
          <cell r="A285">
            <v>265</v>
          </cell>
          <cell r="B285" t="str">
            <v>Strider Strider 20 Sport - 2018</v>
          </cell>
          <cell r="C285">
            <v>6</v>
          </cell>
          <cell r="D285">
            <v>1</v>
          </cell>
        </row>
        <row r="286">
          <cell r="A286">
            <v>272</v>
          </cell>
          <cell r="B286" t="str">
            <v>Trek Precaliber 20 6-speed Boy's - 2018</v>
          </cell>
          <cell r="C286">
            <v>9</v>
          </cell>
          <cell r="D286">
            <v>1</v>
          </cell>
        </row>
        <row r="287">
          <cell r="A287">
            <v>273</v>
          </cell>
          <cell r="B287" t="str">
            <v>Trek Precaliber 20 6-speed Girl's - 2018</v>
          </cell>
          <cell r="C287">
            <v>9</v>
          </cell>
          <cell r="D287">
            <v>1</v>
          </cell>
        </row>
        <row r="288">
          <cell r="A288">
            <v>282</v>
          </cell>
          <cell r="B288" t="str">
            <v>Electra Cyclosaurus 1 (16-inch) - Boy's - 2018</v>
          </cell>
          <cell r="C288">
            <v>1</v>
          </cell>
          <cell r="D288">
            <v>1</v>
          </cell>
        </row>
        <row r="289">
          <cell r="A289">
            <v>285</v>
          </cell>
          <cell r="B289" t="str">
            <v>Electra Soft Serve 1 (16-inch) - Girl's - 2018</v>
          </cell>
          <cell r="C289">
            <v>1</v>
          </cell>
          <cell r="D289">
            <v>1</v>
          </cell>
        </row>
        <row r="290">
          <cell r="A290">
            <v>286</v>
          </cell>
          <cell r="B290" t="str">
            <v>Electra Starship 1 16" - 2018</v>
          </cell>
          <cell r="C290">
            <v>1</v>
          </cell>
          <cell r="D290">
            <v>1</v>
          </cell>
        </row>
        <row r="291">
          <cell r="A291">
            <v>287</v>
          </cell>
          <cell r="B291" t="str">
            <v>Electra Straight 8 1 (16-inch) - Boy's - 2018</v>
          </cell>
          <cell r="C291">
            <v>1</v>
          </cell>
          <cell r="D291">
            <v>1</v>
          </cell>
        </row>
        <row r="292">
          <cell r="A292">
            <v>297</v>
          </cell>
          <cell r="B292" t="str">
            <v>Electra Under-The-Sea 1 16" - 2018</v>
          </cell>
          <cell r="C292">
            <v>1</v>
          </cell>
          <cell r="D292">
            <v>1</v>
          </cell>
        </row>
        <row r="293">
          <cell r="A293">
            <v>298</v>
          </cell>
          <cell r="B293" t="str">
            <v>Electra Water Lily 1 (16-inch) - Girl's - 2018</v>
          </cell>
          <cell r="C293">
            <v>1</v>
          </cell>
          <cell r="D293">
            <v>1</v>
          </cell>
        </row>
        <row r="294">
          <cell r="A294">
            <v>13</v>
          </cell>
          <cell r="B294" t="str">
            <v>Electra Cruiser 1 (24-Inch) - 2016</v>
          </cell>
          <cell r="C294">
            <v>1</v>
          </cell>
          <cell r="D294">
            <v>3</v>
          </cell>
        </row>
        <row r="295">
          <cell r="A295">
            <v>14</v>
          </cell>
          <cell r="B295" t="str">
            <v>Electra Girl's Hawaii 1 (16-inch) - 2015/2016</v>
          </cell>
          <cell r="C295">
            <v>1</v>
          </cell>
          <cell r="D295">
            <v>3</v>
          </cell>
        </row>
        <row r="296">
          <cell r="A296">
            <v>21</v>
          </cell>
          <cell r="B296" t="str">
            <v>Electra Cruiser 1 (24-Inch) - 2016</v>
          </cell>
          <cell r="C296">
            <v>1</v>
          </cell>
          <cell r="D296">
            <v>1</v>
          </cell>
        </row>
        <row r="297">
          <cell r="A297">
            <v>22</v>
          </cell>
          <cell r="B297" t="str">
            <v>Electra Girl's Hawaii 1 (16-inch) - 2015/2016</v>
          </cell>
          <cell r="C297">
            <v>1</v>
          </cell>
          <cell r="D297">
            <v>1</v>
          </cell>
        </row>
        <row r="298">
          <cell r="A298">
            <v>213</v>
          </cell>
          <cell r="B298" t="str">
            <v>Electra Cruiser 1 - 2016/2017/2018</v>
          </cell>
          <cell r="C298">
            <v>1</v>
          </cell>
          <cell r="D298">
            <v>3</v>
          </cell>
        </row>
        <row r="299">
          <cell r="A299">
            <v>220</v>
          </cell>
          <cell r="B299" t="str">
            <v>Electra Cruiser 1 Ladies' - 2018</v>
          </cell>
          <cell r="C299">
            <v>1</v>
          </cell>
          <cell r="D299">
            <v>3</v>
          </cell>
        </row>
        <row r="300">
          <cell r="A300">
            <v>222</v>
          </cell>
          <cell r="B300" t="str">
            <v>Electra Cruiser 1 Tall - 2016/2018</v>
          </cell>
          <cell r="C300">
            <v>1</v>
          </cell>
          <cell r="D300">
            <v>3</v>
          </cell>
        </row>
        <row r="301">
          <cell r="A301">
            <v>66</v>
          </cell>
          <cell r="B301" t="str">
            <v>Sun Bicycles Revolutions 24 - 2017</v>
          </cell>
          <cell r="C301">
            <v>7</v>
          </cell>
          <cell r="D301">
            <v>3</v>
          </cell>
        </row>
        <row r="302">
          <cell r="A302">
            <v>67</v>
          </cell>
          <cell r="B302" t="str">
            <v>Sun Bicycles Revolutions 24 - Girl's - 2017</v>
          </cell>
          <cell r="C302">
            <v>7</v>
          </cell>
          <cell r="D302">
            <v>3</v>
          </cell>
        </row>
        <row r="303">
          <cell r="A303">
            <v>94</v>
          </cell>
          <cell r="B303" t="str">
            <v>Haro Shredder Pro 20 - 2017</v>
          </cell>
          <cell r="C303">
            <v>2</v>
          </cell>
          <cell r="D303">
            <v>1</v>
          </cell>
        </row>
        <row r="304">
          <cell r="A304">
            <v>262</v>
          </cell>
          <cell r="B304" t="str">
            <v>Trek MT 201 - 2018</v>
          </cell>
          <cell r="C304">
            <v>9</v>
          </cell>
          <cell r="D304">
            <v>1</v>
          </cell>
        </row>
        <row r="305">
          <cell r="A305">
            <v>264</v>
          </cell>
          <cell r="B305" t="str">
            <v>Strider Sport 16 - 2018</v>
          </cell>
          <cell r="C305">
            <v>6</v>
          </cell>
          <cell r="D305">
            <v>1</v>
          </cell>
        </row>
        <row r="306">
          <cell r="A306">
            <v>274</v>
          </cell>
          <cell r="B306" t="str">
            <v>Trek Precaliber 20 Boy's - 2018</v>
          </cell>
          <cell r="C306">
            <v>9</v>
          </cell>
          <cell r="D306">
            <v>1</v>
          </cell>
        </row>
        <row r="307">
          <cell r="A307">
            <v>275</v>
          </cell>
          <cell r="B307" t="str">
            <v>Trek Precaliber 20 Girl's - 2018</v>
          </cell>
          <cell r="C307">
            <v>9</v>
          </cell>
          <cell r="D307">
            <v>1</v>
          </cell>
        </row>
        <row r="308">
          <cell r="A308">
            <v>89</v>
          </cell>
          <cell r="B308" t="str">
            <v>Trek Precaliber 16 Boys - 2017</v>
          </cell>
          <cell r="C308">
            <v>9</v>
          </cell>
          <cell r="D308">
            <v>1</v>
          </cell>
        </row>
        <row r="309">
          <cell r="A309">
            <v>90</v>
          </cell>
          <cell r="B309" t="str">
            <v>Trek Precaliber 16 Girls - 2017</v>
          </cell>
          <cell r="C309">
            <v>9</v>
          </cell>
          <cell r="D309">
            <v>1</v>
          </cell>
        </row>
        <row r="310">
          <cell r="A310">
            <v>92</v>
          </cell>
          <cell r="B310" t="str">
            <v>Haro Shredder 20 - 2017</v>
          </cell>
          <cell r="C310">
            <v>2</v>
          </cell>
          <cell r="D310">
            <v>1</v>
          </cell>
        </row>
        <row r="311">
          <cell r="A311">
            <v>93</v>
          </cell>
          <cell r="B311" t="str">
            <v>Haro Shredder 20 Girls - 2017</v>
          </cell>
          <cell r="C311">
            <v>2</v>
          </cell>
          <cell r="D311">
            <v>1</v>
          </cell>
        </row>
        <row r="312">
          <cell r="A312">
            <v>270</v>
          </cell>
          <cell r="B312" t="str">
            <v>Trek Precaliber 16 Boy's - 2018</v>
          </cell>
          <cell r="C312">
            <v>9</v>
          </cell>
          <cell r="D312">
            <v>1</v>
          </cell>
        </row>
        <row r="313">
          <cell r="A313">
            <v>271</v>
          </cell>
          <cell r="B313" t="str">
            <v>Trek Precaliber 16 Girl's - 2018</v>
          </cell>
          <cell r="C313">
            <v>9</v>
          </cell>
          <cell r="D313">
            <v>1</v>
          </cell>
        </row>
        <row r="314">
          <cell r="A314">
            <v>267</v>
          </cell>
          <cell r="B314" t="str">
            <v>Trek Precaliber 12 Girl's - 2018</v>
          </cell>
          <cell r="C314">
            <v>9</v>
          </cell>
          <cell r="D314">
            <v>1</v>
          </cell>
        </row>
        <row r="315">
          <cell r="A315">
            <v>269</v>
          </cell>
          <cell r="B315" t="str">
            <v>Trek Precaliber 12 Boy's - 2018</v>
          </cell>
          <cell r="C315">
            <v>9</v>
          </cell>
          <cell r="D315">
            <v>1</v>
          </cell>
        </row>
        <row r="316">
          <cell r="A316">
            <v>87</v>
          </cell>
          <cell r="B316" t="str">
            <v>Trek Precaliber 12 Boys - 2017</v>
          </cell>
          <cell r="C316">
            <v>9</v>
          </cell>
          <cell r="D316">
            <v>1</v>
          </cell>
        </row>
        <row r="317">
          <cell r="A317">
            <v>88</v>
          </cell>
          <cell r="B317" t="str">
            <v>Trek Precaliber 12 Girls - 2017</v>
          </cell>
          <cell r="C317">
            <v>9</v>
          </cell>
          <cell r="D317">
            <v>1</v>
          </cell>
        </row>
        <row r="318">
          <cell r="A318">
            <v>268</v>
          </cell>
          <cell r="B318" t="str">
            <v>Trek Kickster - 2018</v>
          </cell>
          <cell r="C318">
            <v>9</v>
          </cell>
          <cell r="D318">
            <v>1</v>
          </cell>
        </row>
        <row r="319">
          <cell r="A319">
            <v>83</v>
          </cell>
          <cell r="B319" t="str">
            <v>Trek Boy's Kickster - 2015/2017</v>
          </cell>
          <cell r="C319">
            <v>9</v>
          </cell>
          <cell r="D319">
            <v>1</v>
          </cell>
        </row>
        <row r="320">
          <cell r="A320">
            <v>86</v>
          </cell>
          <cell r="B320" t="str">
            <v>Trek Girl's Kickster - 2017</v>
          </cell>
          <cell r="C320">
            <v>9</v>
          </cell>
          <cell r="D320">
            <v>1</v>
          </cell>
        </row>
        <row r="321">
          <cell r="A321">
            <v>84</v>
          </cell>
          <cell r="B321" t="str">
            <v>Sun Bicycles Lil Kitt'n - 2017</v>
          </cell>
          <cell r="C321">
            <v>7</v>
          </cell>
          <cell r="D321">
            <v>1</v>
          </cell>
        </row>
        <row r="322">
          <cell r="A322">
            <v>263</v>
          </cell>
          <cell r="B322" t="str">
            <v>Strider Classic 12 Balance Bike - 2018</v>
          </cell>
          <cell r="C322">
            <v>6</v>
          </cell>
          <cell r="D32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tegories"/>
    </sheetNames>
    <sheetDataSet>
      <sheetData sheetId="0"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8.7731712963" refreshedBy="intrea" recordCount="4722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0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item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product_id" numFmtId="0">
      <sharedItems containsSemiMixedTypes="0" containsString="0" containsNumber="1" containsInteger="1" minValue="0" maxValue="315" count="307">
        <n v="20"/>
        <n v="8"/>
        <n v="10"/>
        <n v="16"/>
        <n v="4"/>
        <n v="3"/>
        <n v="2"/>
        <n v="17"/>
        <n v="26"/>
        <n v="18"/>
        <n v="12"/>
        <n v="9"/>
        <n v="15"/>
        <n v="22"/>
        <n v="7"/>
        <n v="14"/>
        <n v="11"/>
        <n v="13"/>
        <n v="6"/>
        <n v="23"/>
        <n v="21"/>
        <n v="5"/>
        <n v="25"/>
        <n v="19"/>
        <n v="24"/>
        <n v="85"/>
        <n v="106"/>
        <n v="103"/>
        <n v="56"/>
        <n v="53"/>
        <n v="73"/>
        <n v="72"/>
        <n v="61"/>
        <n v="32"/>
        <n v="30"/>
        <n v="76"/>
        <n v="109"/>
        <n v="62"/>
        <n v="64"/>
        <n v="68"/>
        <n v="99"/>
        <n v="42"/>
        <n v="47"/>
        <n v="95"/>
        <n v="97"/>
        <n v="90"/>
        <n v="78"/>
        <n v="79"/>
        <n v="102"/>
        <n v="94"/>
        <n v="67"/>
        <n v="74"/>
        <n v="43"/>
        <n v="80"/>
        <n v="88"/>
        <n v="110"/>
        <n v="83"/>
        <n v="33"/>
        <n v="52"/>
        <n v="54"/>
        <n v="49"/>
        <n v="29"/>
        <n v="39"/>
        <n v="70"/>
        <n v="59"/>
        <n v="63"/>
        <n v="55"/>
        <n v="41"/>
        <n v="71"/>
        <n v="50"/>
        <n v="101"/>
        <n v="58"/>
        <n v="98"/>
        <n v="84"/>
        <n v="48"/>
        <n v="108"/>
        <n v="28"/>
        <n v="104"/>
        <n v="45"/>
        <n v="69"/>
        <n v="51"/>
        <n v="96"/>
        <n v="66"/>
        <n v="38"/>
        <n v="89"/>
        <n v="75"/>
        <n v="105"/>
        <n v="91"/>
        <n v="37"/>
        <n v="81"/>
        <n v="82"/>
        <n v="60"/>
        <n v="107"/>
        <n v="31"/>
        <n v="57"/>
        <n v="40"/>
        <n v="100"/>
        <n v="27"/>
        <n v="34"/>
        <n v="44"/>
        <n v="35"/>
        <n v="93"/>
        <n v="92"/>
        <n v="111"/>
        <n v="77"/>
        <n v="65"/>
        <n v="86"/>
        <n v="36"/>
        <n v="87"/>
        <n v="46"/>
        <n v="120"/>
        <n v="235"/>
        <n v="139"/>
        <n v="257"/>
        <n v="209"/>
        <n v="190"/>
        <n v="269"/>
        <n v="151"/>
        <n v="180"/>
        <n v="241"/>
        <n v="129"/>
        <n v="228"/>
        <n v="311"/>
        <n v="247"/>
        <n v="143"/>
        <n v="283"/>
        <n v="232"/>
        <n v="243"/>
        <n v="230"/>
        <n v="282"/>
        <n v="253"/>
        <n v="290"/>
        <n v="145"/>
        <n v="300"/>
        <n v="296"/>
        <n v="179"/>
        <n v="298"/>
        <n v="205"/>
        <n v="304"/>
        <n v="203"/>
        <n v="160"/>
        <n v="138"/>
        <n v="157"/>
        <n v="207"/>
        <n v="185"/>
        <n v="153"/>
        <n v="169"/>
        <n v="175"/>
        <n v="237"/>
        <n v="215"/>
        <n v="234"/>
        <n v="270"/>
        <n v="244"/>
        <n v="184"/>
        <n v="206"/>
        <n v="172"/>
        <n v="164"/>
        <n v="134"/>
        <n v="150"/>
        <n v="249"/>
        <n v="263"/>
        <n v="148"/>
        <n v="147"/>
        <n v="168"/>
        <n v="305"/>
        <n v="250"/>
        <n v="159"/>
        <n v="297"/>
        <n v="133"/>
        <n v="136"/>
        <n v="233"/>
        <n v="166"/>
        <n v="149"/>
        <n v="313"/>
        <n v="192"/>
        <n v="199"/>
        <n v="276"/>
        <n v="130"/>
        <n v="307"/>
        <n v="163"/>
        <n v="204"/>
        <n v="155"/>
        <n v="152"/>
        <n v="144"/>
        <n v="236"/>
        <n v="115"/>
        <n v="128"/>
        <n v="200"/>
        <n v="132"/>
        <n v="131"/>
        <n v="124"/>
        <n v="113"/>
        <n v="186"/>
        <n v="213"/>
        <n v="208"/>
        <n v="223"/>
        <n v="181"/>
        <n v="182"/>
        <n v="188"/>
        <n v="142"/>
        <n v="118"/>
        <n v="255"/>
        <n v="229"/>
        <n v="274"/>
        <n v="214"/>
        <n v="225"/>
        <n v="135"/>
        <n v="238"/>
        <n v="292"/>
        <n v="262"/>
        <n v="306"/>
        <n v="251"/>
        <n v="171"/>
        <n v="227"/>
        <n v="295"/>
        <n v="277"/>
        <n v="240"/>
        <n v="268"/>
        <n v="165"/>
        <n v="226"/>
        <n v="127"/>
        <n v="210"/>
        <n v="224"/>
        <n v="217"/>
        <n v="275"/>
        <n v="112"/>
        <n v="254"/>
        <n v="189"/>
        <n v="273"/>
        <n v="220"/>
        <n v="193"/>
        <n v="162"/>
        <n v="266"/>
        <n v="114"/>
        <n v="137"/>
        <n v="301"/>
        <n v="170"/>
        <n v="265"/>
        <n v="222"/>
        <n v="308"/>
        <n v="264"/>
        <n v="245"/>
        <n v="194"/>
        <n v="242"/>
        <n v="219"/>
        <n v="197"/>
        <n v="302"/>
        <n v="140"/>
        <n v="281"/>
        <n v="216"/>
        <n v="126"/>
        <n v="187"/>
        <n v="221"/>
        <n v="252"/>
        <n v="161"/>
        <n v="198"/>
        <n v="286"/>
        <n v="141"/>
        <n v="260"/>
        <n v="116"/>
        <n v="178"/>
        <n v="271"/>
        <n v="123"/>
        <n v="239"/>
        <n v="173"/>
        <n v="299"/>
        <n v="117"/>
        <n v="246"/>
        <n v="272"/>
        <n v="258"/>
        <n v="201"/>
        <n v="167"/>
        <n v="294"/>
        <n v="310"/>
        <n v="278"/>
        <n v="287"/>
        <n v="261"/>
        <n v="248"/>
        <n v="191"/>
        <n v="256"/>
        <n v="280"/>
        <n v="122"/>
        <n v="196"/>
        <n v="218"/>
        <n v="293"/>
        <n v="231"/>
        <n v="259"/>
        <n v="288"/>
        <n v="202"/>
        <n v="158"/>
        <n v="303"/>
        <n v="314"/>
        <n v="156"/>
        <n v="183"/>
        <n v="177"/>
        <n v="119"/>
        <n v="315"/>
        <n v="285"/>
        <n v="174"/>
        <n v="309"/>
        <n v="279"/>
        <n v="146"/>
        <n v="312"/>
        <n v="212"/>
        <n v="211"/>
        <n v="176"/>
        <n v="289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list_price" numFmtId="0">
      <sharedItems containsSemiMixedTypes="0" containsString="0" containsNumber="1" minValue="0" maxValue="11999.99" count="104">
        <n v="599.99"/>
        <n v="1799.99"/>
        <n v="1549"/>
        <n v="2899.99"/>
        <n v="999.99"/>
        <n v="749.99"/>
        <n v="429"/>
        <n v="449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"/>
        <n v="3599.99"/>
        <n v="11999.99"/>
        <n v="1899"/>
        <n v="2599"/>
        <n v="1499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0">
      <sharedItems containsSemiMixedTypes="0" containsString="0" containsNumber="1" minValue="0" maxValue="0.2" count="4">
        <n v="0.2"/>
        <n v="0.07"/>
        <n v="0.05"/>
        <n v="0.1"/>
      </sharedItems>
    </cacheField>
    <cacheField name="total_price" numFmtId="0">
      <sharedItems containsSemiMixedTypes="0" containsString="0" containsNumber="1" minValue="0" maxValue="23999.88" count="648">
        <n v="599.79"/>
        <n v="3599.91"/>
        <n v="3097.95"/>
        <n v="1199.93"/>
        <n v="2899.79"/>
        <n v="599.92"/>
        <n v="999.94"/>
        <n v="599.94"/>
        <n v="1499.88"/>
        <n v="428.93"/>
        <n v="448.93"/>
        <n v="1099.93"/>
        <n v="599.89"/>
        <n v="1999.91"/>
        <n v="5999.91"/>
        <n v="529.92"/>
        <n v="999.89"/>
        <n v="857.9"/>
        <n v="269.94"/>
        <n v="1199.91"/>
        <n v="7999.88"/>
        <n v="269.89"/>
        <n v="1799.94"/>
        <n v="539.88"/>
        <n v="1199.78"/>
        <n v="5799.88"/>
        <n v="1680.94"/>
        <n v="857.95"/>
        <n v="1199.88"/>
        <n v="469.92"/>
        <n v="1099.91"/>
        <n v="1799.92"/>
        <n v="897.95"/>
        <n v="599.78"/>
        <n v="1799.79"/>
        <n v="539.91"/>
        <n v="269.92"/>
        <n v="299.89"/>
        <n v="1320.89"/>
        <n v="1499.78"/>
        <n v="3999.89"/>
        <n v="999.93"/>
        <n v="5999.88"/>
        <n v="1548.93"/>
        <n v="5999.78"/>
        <n v="2999.92"/>
        <n v="3097.93"/>
        <n v="428.9"/>
        <n v="1059.78"/>
        <n v="5799.93"/>
        <n v="599.88"/>
        <n v="269.79"/>
        <n v="1999.88"/>
        <n v="897.93"/>
        <n v="3097.8"/>
        <n v="3999.94"/>
        <n v="749.79"/>
        <n v="549.79"/>
        <n v="1320.79"/>
        <n v="448.8"/>
        <n v="1320.94"/>
        <n v="7999.78"/>
        <n v="469.94"/>
        <n v="469.79"/>
        <n v="539.93"/>
        <n v="448.9"/>
        <n v="2899.89"/>
        <n v="3361.93"/>
        <n v="999.88"/>
        <n v="599.91"/>
        <n v="3097.9"/>
        <n v="857.8"/>
        <n v="448.95"/>
        <n v="1999.78"/>
        <n v="7999.93"/>
        <n v="299.92"/>
        <n v="499.79"/>
        <n v="549.92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"/>
        <n v="999.79"/>
        <n v="999.78"/>
        <n v="749.89"/>
        <n v="499.89"/>
        <n v="1059.93"/>
        <n v="2641.78"/>
        <n v="3599.88"/>
        <n v="1099.88"/>
        <n v="549.89"/>
        <n v="1548.95"/>
        <n v="857.93"/>
        <n v="549.94"/>
        <n v="7999.91"/>
        <n v="529.79"/>
        <n v="3361.88"/>
        <n v="1320.92"/>
        <n v="897.9"/>
        <n v="469.89"/>
        <n v="3361.78"/>
        <n v="1059.91"/>
        <n v="939.88"/>
        <n v="499.94"/>
        <n v="1799.89"/>
        <n v="428.95"/>
        <n v="1680.79"/>
        <n v="299.94"/>
        <n v="749.92"/>
        <n v="939.78"/>
        <n v="1099.78"/>
        <n v="529.94"/>
        <n v="1059.88"/>
        <n v="2999.94"/>
        <n v="299.79"/>
        <n v="2899.92"/>
        <n v="939.93"/>
        <n v="1499.93"/>
        <n v="5999.93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2"/>
        <n v="2999.79"/>
        <n v="1680.92"/>
        <n v="2899.94"/>
        <n v="659.78"/>
        <n v="899.88"/>
        <n v="551.94"/>
        <n v="5499.79"/>
        <n v="619.94"/>
        <n v="9999.88"/>
        <n v="899.93"/>
        <n v="833.78"/>
        <n v="3499.79"/>
        <n v="489.79"/>
        <n v="899.91"/>
        <n v="4599.93"/>
        <n v="10599.91"/>
        <n v="699.88"/>
        <n v="209.92"/>
        <n v="647.94"/>
        <n v="402.89"/>
        <n v="329.94"/>
        <n v="979.93"/>
        <n v="499.93"/>
        <n v="489.89"/>
        <n v="6999.78"/>
        <n v="501.78"/>
        <n v="439.94"/>
        <n v="5299.89"/>
        <n v="761.79"/>
        <n v="379.91"/>
        <n v="941.91"/>
        <n v="699.91"/>
        <n v="250.89"/>
        <n v="149.89"/>
        <n v="875.94"/>
        <n v="6399.93"/>
        <n v="2999.91"/>
        <n v="659.94"/>
        <n v="9999.91"/>
        <n v="5199.91"/>
        <n v="10599.93"/>
        <n v="6999.91"/>
        <n v="5399.88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2"/>
        <n v="449.89"/>
        <n v="2499.92"/>
        <n v="963.78"/>
        <n v="1739.93"/>
        <n v="416.94"/>
        <n v="2699.79"/>
        <n v="833.91"/>
        <n v="12999.91"/>
        <n v="699.78"/>
        <n v="250.79"/>
        <n v="419.93"/>
        <n v="659.79"/>
        <n v="963.91"/>
        <n v="1067.91"/>
        <n v="699.93"/>
        <n v="6399.88"/>
        <n v="1751.93"/>
        <n v="759.91"/>
        <n v="299.93"/>
        <n v="2199.93"/>
        <n v="5999.92"/>
        <n v="3499.92"/>
        <n v="4999.79"/>
        <n v="1499.79"/>
        <n v="3119.78"/>
        <n v="5499.92"/>
        <n v="2599.94"/>
        <n v="10999.93"/>
        <n v="379.78"/>
        <n v="481.79"/>
        <n v="149.92"/>
        <n v="189.94"/>
        <n v="109.7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9"/>
        <n v="1559.79"/>
        <n v="489.92"/>
        <n v="5399.93"/>
        <n v="679.91"/>
        <n v="2299.94"/>
        <n v="2999.78"/>
        <n v="1999.79"/>
        <n v="2499.94"/>
        <n v="1239.93"/>
        <n v="1079.78"/>
        <n v="879.88"/>
        <n v="832.79"/>
        <n v="419.78"/>
        <n v="941.88"/>
        <n v="419.91"/>
        <n v="209.79"/>
        <n v="979.88"/>
        <n v="470.92"/>
        <n v="1739.91"/>
        <n v="963.88"/>
        <n v="449.92"/>
        <n v="489.94"/>
        <n v="209.89"/>
        <n v="349.94"/>
        <n v="1599.91"/>
        <n v="6999.88"/>
        <n v="647.92"/>
        <n v="1319.93"/>
        <n v="5499.89"/>
        <n v="349.89"/>
        <n v="679.88"/>
        <n v="5199.93"/>
        <n v="219.78"/>
        <n v="693.88"/>
        <n v="833.88"/>
        <n v="1319.91"/>
        <n v="1099.94"/>
        <n v="499.78"/>
        <n v="4999.94"/>
        <n v="833.93"/>
        <n v="761.94"/>
        <n v="647.89"/>
        <n v="149.79"/>
        <n v="1099.92"/>
        <n v="1469.92"/>
        <n v="1665.78"/>
        <n v="1295.88"/>
        <n v="3265.93"/>
        <n v="1665.88"/>
        <n v="879.91"/>
        <n v="1523.91"/>
        <n v="3999.88"/>
        <n v="693.91"/>
        <n v="416.79"/>
        <n v="1751.78"/>
        <n v="551.89"/>
        <n v="2699.92"/>
        <n v="2199.91"/>
        <n v="4999.78"/>
        <n v="346.94"/>
        <n v="470.79"/>
        <n v="3499.89"/>
        <n v="1599.93"/>
        <n v="1665.91"/>
        <n v="470.94"/>
        <n v="2299.79"/>
        <n v="551.79"/>
        <n v="189.79"/>
        <n v="551.92"/>
        <n v="1665.93"/>
        <n v="2499.79"/>
        <n v="416.89"/>
        <n v="832.89"/>
        <n v="339.94"/>
        <n v="5299.79"/>
        <n v="329.79"/>
        <n v="1999.92"/>
        <n v="1239.88"/>
        <n v="5199.78"/>
        <n v="501.88"/>
        <n v="3199.79"/>
        <n v="1559.94"/>
        <n v="2499.89"/>
        <n v="439.89"/>
        <n v="209.94"/>
        <n v="3199.92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"/>
        <n v="249.79"/>
        <n v="10999.91"/>
        <n v="299.78"/>
        <n v="1099.79"/>
        <n v="5299.94"/>
        <n v="1469.79"/>
        <n v="5399.91"/>
        <n v="1067.88"/>
        <n v="3199.94"/>
        <n v="869.79"/>
        <n v="647.79"/>
        <n v="899.78"/>
        <n v="6499.94"/>
        <n v="329.89"/>
        <n v="2299.89"/>
        <n v="619.89"/>
        <n v="1099.89"/>
        <n v="805.91"/>
        <n v="6999.93"/>
        <n v="2819.93"/>
        <n v="1103.91"/>
        <n v="2939.91"/>
        <n v="379.92"/>
        <n v="2819.91"/>
        <n v="9999.78"/>
        <n v="189.89"/>
        <n v="379.89"/>
        <n v="693.93"/>
        <n v="501.91"/>
        <n v="761.92"/>
        <n v="1409.92"/>
        <n v="693.78"/>
        <n v="3999.91"/>
        <n v="539.94"/>
        <n v="2819.78"/>
        <n v="659.89"/>
        <n v="5999.89"/>
        <n v="11999.91"/>
        <n v="533.94"/>
        <n v="5199.88"/>
        <n v="4999.91"/>
        <n v="3265.91"/>
        <n v="1409.94"/>
        <n v="219.91"/>
        <n v="346.92"/>
        <n v="249.89"/>
        <n v="449.94"/>
        <n v="1409.89"/>
        <n v="1632.89"/>
        <n v="539.89"/>
        <n v="799.79"/>
        <n v="1499.89"/>
        <n v="879.93"/>
        <n v="759.78"/>
        <n v="1559.89"/>
        <n v="12999.88"/>
        <n v="799.92"/>
        <n v="10999.78"/>
        <n v="539.92"/>
        <n v="1079.88"/>
        <n v="3499.94"/>
        <n v="4599.91"/>
        <n v="339.79"/>
        <n v="1239.78"/>
        <n v="2599.89"/>
        <n v="10599.88"/>
        <n v="1999.94"/>
        <n v="805.88"/>
        <n v="250.92"/>
        <n v="6499.89"/>
        <n v="1469.94"/>
        <n v="299.88"/>
        <n v="533.89"/>
        <n v="10599.78"/>
        <n v="439.79"/>
        <n v="2999.88"/>
        <n v="4999.88"/>
        <n v="941.78"/>
        <n v="1751.88"/>
        <n v="1523.93"/>
        <n v="2699.94"/>
        <n v="875.79"/>
        <n v="875.92"/>
        <n v="2199.78"/>
        <n v="1295.93"/>
        <n v="759.88"/>
        <n v="339.89"/>
        <n v="299.91"/>
        <n v="533.79"/>
        <n v="470.89"/>
        <n v="12999.93"/>
        <n v="2199.88"/>
        <n v="346.89"/>
        <n v="659.88"/>
        <n v="3119.93"/>
        <n v="379.94"/>
        <n v="4999.93"/>
        <n v="2699.89"/>
        <n v="3119.88"/>
        <n v="219.93"/>
        <n v="149.94"/>
        <n v="499.88"/>
        <n v="963.93"/>
        <n v="1559.92"/>
        <n v="402.92"/>
        <n v="2939.88"/>
        <n v="832.94"/>
        <n v="1409.79"/>
        <n v="189.92"/>
        <n v="941.93"/>
        <n v="5999.94"/>
        <n v="533.92"/>
        <n v="2939.78"/>
        <n v="2299.92"/>
        <n v="379.79"/>
        <n v="6399.78"/>
        <n v="3119.91"/>
        <n v="679.93"/>
        <n v="1067.93"/>
        <n v="832.92"/>
        <n v="3265.88"/>
        <n v="439.92"/>
        <n v="1469.89"/>
        <n v="1079.93"/>
        <n v="6499.92"/>
        <n v="1295.91"/>
        <n v="379.93"/>
        <n v="1523.78"/>
        <n v="499.91"/>
        <n v="481.94"/>
        <n v="4599.88"/>
        <n v="1295.78"/>
        <n v="3999.93"/>
        <n v="1239.91"/>
        <n v="869.89"/>
        <n v="1103.88"/>
        <n v="11999.78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3"/>
        <n v="2799.89"/>
        <n v="1699.93"/>
        <n v="1799.93"/>
        <n v="559.94"/>
        <n v="3299.89"/>
        <n v="4499.94"/>
        <n v="179.78"/>
        <n v="2599.92"/>
        <n v="559.78"/>
        <n v="559.88"/>
        <n v="639.92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3"/>
        <n v="919.94"/>
        <n v="6399.91"/>
        <n v="1839.78"/>
        <n v="179.88"/>
        <n v="859.91"/>
        <n v="459.78"/>
        <n v="959.89"/>
        <n v="4499.92"/>
        <n v="319.93"/>
        <n v="3599.79"/>
        <n v="679.89"/>
        <n v="2199.79"/>
        <n v="479.94"/>
        <n v="1819.78"/>
        <n v="229.89"/>
        <n v="429.94"/>
        <n v="5599.78"/>
        <n v="289.92"/>
        <n v="759.93"/>
        <n v="859.93"/>
        <n v="799.94"/>
        <n v="399.89"/>
        <n v="579.92"/>
        <n v="1799.91"/>
        <n v="1299.92"/>
        <n v="289.94"/>
        <n v="559.93"/>
        <n v="739.93"/>
        <n v="1399.88"/>
        <n v="1279.78"/>
        <n v="1898.9"/>
        <n v="679.94"/>
        <n v="639.93"/>
        <n v="89.92"/>
        <n v="319.94"/>
        <n v="1898.8"/>
        <n v="249.92"/>
        <n v="3199.91"/>
        <n v="1119.91"/>
        <n v="3199.93"/>
        <n v="959.79"/>
        <n v="2598.9"/>
        <n v="89.79"/>
        <n v="7499.94"/>
        <n v="4499.89"/>
        <n v="1399.78"/>
        <n v="1279.88"/>
        <n v="1279.93"/>
        <n v="559.79"/>
        <n v="899.79"/>
        <n v="1498.8"/>
        <n v="5599.93"/>
        <n v="319.88"/>
        <n v="289.89"/>
        <n v="159.79"/>
        <n v="1259.8"/>
        <n v="369.89"/>
        <n v="3099.93"/>
        <n v="739.88"/>
        <n v="199.94"/>
        <n v="3797.95"/>
        <n v="579.88"/>
        <n v="1919.91"/>
        <n v="919.89"/>
        <n v="1359.91"/>
        <n v="639.91"/>
        <n v="319.79"/>
        <n v="199.89"/>
        <n v="3099.78"/>
        <n v="429.89"/>
        <n v="859.88"/>
        <n v="899.92"/>
        <n v="959.93"/>
        <n v="1919.78"/>
        <n v="3199.78"/>
        <n v="909.89"/>
        <n v="14999.93"/>
        <n v="1199.92"/>
        <n v="2598.95"/>
        <n v="389.92"/>
        <n v="2997.8"/>
        <n v="909.92"/>
        <n v="2399.78"/>
        <n v="2997.93"/>
        <n v="579.93"/>
        <n v="1359.78"/>
        <n v="1599.92"/>
        <n v="2697.93"/>
        <n v="2799.92"/>
        <n v="11999.88"/>
        <n v="459.88"/>
        <n v="399.78"/>
        <n v="3299.92"/>
        <n v="279.79"/>
        <n v="5599.88"/>
        <n v="1119.93"/>
        <n v="319.89"/>
        <n v="4399.91"/>
        <n v="11999.92"/>
        <n v="559.92"/>
        <n v="919.92"/>
        <n v="5197.93"/>
        <n v="279.92"/>
        <n v="289.79"/>
        <n v="579.78"/>
        <n v="369.92"/>
        <n v="1159.78"/>
        <n v="459.93"/>
        <n v="699.89"/>
      </sharedItems>
    </cacheField>
    <cacheField name="product_name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category_id" numFmtId="0">
      <sharedItems containsSemiMixedTypes="0" containsString="0" containsNumber="1" containsInteger="1" minValue="0" maxValue="7" count="7">
        <n v="3"/>
        <n v="6"/>
        <n v="4"/>
        <n v="5"/>
        <n v="1"/>
        <n v="2"/>
        <n v="7"/>
      </sharedItems>
    </cacheField>
    <cacheField name="category_name" numFmtId="0">
      <sharedItems count="7">
        <s v="Cruisers Bicycles"/>
        <s v="Mountain Bikes"/>
        <s v="Cyclocross Bicycles"/>
        <s v="Electric Bikes"/>
        <s v="Children Bicycles"/>
        <s v="Comfort Bicycles"/>
        <s v="Road Bik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0"/>
    <x v="2"/>
    <x v="2"/>
    <x v="1"/>
    <x v="2"/>
    <x v="2"/>
    <x v="2"/>
    <x v="2"/>
    <x v="2"/>
    <x v="2"/>
  </r>
  <r>
    <x v="0"/>
    <x v="3"/>
    <x v="3"/>
    <x v="1"/>
    <x v="0"/>
    <x v="2"/>
    <x v="3"/>
    <x v="3"/>
    <x v="0"/>
    <x v="0"/>
  </r>
  <r>
    <x v="0"/>
    <x v="4"/>
    <x v="4"/>
    <x v="0"/>
    <x v="3"/>
    <x v="0"/>
    <x v="4"/>
    <x v="4"/>
    <x v="1"/>
    <x v="1"/>
  </r>
  <r>
    <x v="1"/>
    <x v="0"/>
    <x v="0"/>
    <x v="0"/>
    <x v="0"/>
    <x v="1"/>
    <x v="5"/>
    <x v="0"/>
    <x v="0"/>
    <x v="0"/>
  </r>
  <r>
    <x v="1"/>
    <x v="1"/>
    <x v="3"/>
    <x v="1"/>
    <x v="0"/>
    <x v="2"/>
    <x v="3"/>
    <x v="3"/>
    <x v="0"/>
    <x v="0"/>
  </r>
  <r>
    <x v="2"/>
    <x v="0"/>
    <x v="5"/>
    <x v="0"/>
    <x v="4"/>
    <x v="2"/>
    <x v="6"/>
    <x v="5"/>
    <x v="1"/>
    <x v="1"/>
  </r>
  <r>
    <x v="2"/>
    <x v="1"/>
    <x v="0"/>
    <x v="0"/>
    <x v="0"/>
    <x v="2"/>
    <x v="7"/>
    <x v="0"/>
    <x v="0"/>
    <x v="0"/>
  </r>
  <r>
    <x v="3"/>
    <x v="0"/>
    <x v="6"/>
    <x v="1"/>
    <x v="5"/>
    <x v="3"/>
    <x v="8"/>
    <x v="6"/>
    <x v="1"/>
    <x v="1"/>
  </r>
  <r>
    <x v="4"/>
    <x v="0"/>
    <x v="2"/>
    <x v="1"/>
    <x v="2"/>
    <x v="2"/>
    <x v="2"/>
    <x v="2"/>
    <x v="2"/>
    <x v="2"/>
  </r>
  <r>
    <x v="4"/>
    <x v="1"/>
    <x v="7"/>
    <x v="0"/>
    <x v="6"/>
    <x v="1"/>
    <x v="9"/>
    <x v="7"/>
    <x v="0"/>
    <x v="0"/>
  </r>
  <r>
    <x v="4"/>
    <x v="2"/>
    <x v="8"/>
    <x v="0"/>
    <x v="0"/>
    <x v="1"/>
    <x v="5"/>
    <x v="3"/>
    <x v="0"/>
    <x v="0"/>
  </r>
  <r>
    <x v="5"/>
    <x v="0"/>
    <x v="9"/>
    <x v="0"/>
    <x v="7"/>
    <x v="1"/>
    <x v="10"/>
    <x v="8"/>
    <x v="0"/>
    <x v="0"/>
  </r>
  <r>
    <x v="5"/>
    <x v="1"/>
    <x v="10"/>
    <x v="1"/>
    <x v="8"/>
    <x v="2"/>
    <x v="11"/>
    <x v="9"/>
    <x v="0"/>
    <x v="0"/>
  </r>
  <r>
    <x v="5"/>
    <x v="2"/>
    <x v="0"/>
    <x v="0"/>
    <x v="0"/>
    <x v="3"/>
    <x v="12"/>
    <x v="0"/>
    <x v="0"/>
    <x v="0"/>
  </r>
  <r>
    <x v="5"/>
    <x v="3"/>
    <x v="5"/>
    <x v="1"/>
    <x v="4"/>
    <x v="1"/>
    <x v="13"/>
    <x v="5"/>
    <x v="1"/>
    <x v="1"/>
  </r>
  <r>
    <x v="5"/>
    <x v="4"/>
    <x v="11"/>
    <x v="1"/>
    <x v="9"/>
    <x v="1"/>
    <x v="14"/>
    <x v="10"/>
    <x v="3"/>
    <x v="3"/>
  </r>
  <r>
    <x v="6"/>
    <x v="0"/>
    <x v="12"/>
    <x v="0"/>
    <x v="10"/>
    <x v="1"/>
    <x v="15"/>
    <x v="11"/>
    <x v="0"/>
    <x v="0"/>
  </r>
  <r>
    <x v="6"/>
    <x v="1"/>
    <x v="5"/>
    <x v="0"/>
    <x v="4"/>
    <x v="3"/>
    <x v="16"/>
    <x v="5"/>
    <x v="1"/>
    <x v="1"/>
  </r>
  <r>
    <x v="6"/>
    <x v="2"/>
    <x v="7"/>
    <x v="1"/>
    <x v="6"/>
    <x v="3"/>
    <x v="17"/>
    <x v="7"/>
    <x v="0"/>
    <x v="0"/>
  </r>
  <r>
    <x v="7"/>
    <x v="0"/>
    <x v="13"/>
    <x v="0"/>
    <x v="11"/>
    <x v="2"/>
    <x v="18"/>
    <x v="12"/>
    <x v="0"/>
    <x v="0"/>
  </r>
  <r>
    <x v="7"/>
    <x v="1"/>
    <x v="0"/>
    <x v="1"/>
    <x v="0"/>
    <x v="1"/>
    <x v="19"/>
    <x v="0"/>
    <x v="0"/>
    <x v="0"/>
  </r>
  <r>
    <x v="8"/>
    <x v="0"/>
    <x v="14"/>
    <x v="1"/>
    <x v="12"/>
    <x v="3"/>
    <x v="20"/>
    <x v="13"/>
    <x v="1"/>
    <x v="1"/>
  </r>
  <r>
    <x v="9"/>
    <x v="0"/>
    <x v="15"/>
    <x v="0"/>
    <x v="11"/>
    <x v="3"/>
    <x v="21"/>
    <x v="12"/>
    <x v="0"/>
    <x v="0"/>
  </r>
  <r>
    <x v="10"/>
    <x v="0"/>
    <x v="1"/>
    <x v="0"/>
    <x v="1"/>
    <x v="2"/>
    <x v="22"/>
    <x v="1"/>
    <x v="1"/>
    <x v="1"/>
  </r>
  <r>
    <x v="10"/>
    <x v="1"/>
    <x v="13"/>
    <x v="1"/>
    <x v="11"/>
    <x v="3"/>
    <x v="23"/>
    <x v="12"/>
    <x v="0"/>
    <x v="0"/>
  </r>
  <r>
    <x v="10"/>
    <x v="2"/>
    <x v="3"/>
    <x v="1"/>
    <x v="0"/>
    <x v="0"/>
    <x v="24"/>
    <x v="3"/>
    <x v="0"/>
    <x v="0"/>
  </r>
  <r>
    <x v="11"/>
    <x v="0"/>
    <x v="4"/>
    <x v="1"/>
    <x v="3"/>
    <x v="3"/>
    <x v="25"/>
    <x v="4"/>
    <x v="1"/>
    <x v="1"/>
  </r>
  <r>
    <x v="11"/>
    <x v="1"/>
    <x v="16"/>
    <x v="0"/>
    <x v="13"/>
    <x v="2"/>
    <x v="26"/>
    <x v="14"/>
    <x v="2"/>
    <x v="2"/>
  </r>
  <r>
    <x v="12"/>
    <x v="0"/>
    <x v="17"/>
    <x v="0"/>
    <x v="11"/>
    <x v="3"/>
    <x v="21"/>
    <x v="15"/>
    <x v="0"/>
    <x v="0"/>
  </r>
  <r>
    <x v="12"/>
    <x v="1"/>
    <x v="7"/>
    <x v="1"/>
    <x v="6"/>
    <x v="2"/>
    <x v="27"/>
    <x v="7"/>
    <x v="0"/>
    <x v="0"/>
  </r>
  <r>
    <x v="12"/>
    <x v="2"/>
    <x v="0"/>
    <x v="1"/>
    <x v="0"/>
    <x v="3"/>
    <x v="28"/>
    <x v="0"/>
    <x v="0"/>
    <x v="0"/>
  </r>
  <r>
    <x v="12"/>
    <x v="3"/>
    <x v="3"/>
    <x v="1"/>
    <x v="0"/>
    <x v="2"/>
    <x v="3"/>
    <x v="3"/>
    <x v="0"/>
    <x v="0"/>
  </r>
  <r>
    <x v="13"/>
    <x v="0"/>
    <x v="18"/>
    <x v="0"/>
    <x v="14"/>
    <x v="1"/>
    <x v="29"/>
    <x v="16"/>
    <x v="1"/>
    <x v="1"/>
  </r>
  <r>
    <x v="14"/>
    <x v="0"/>
    <x v="10"/>
    <x v="1"/>
    <x v="8"/>
    <x v="1"/>
    <x v="30"/>
    <x v="9"/>
    <x v="0"/>
    <x v="0"/>
  </r>
  <r>
    <x v="14"/>
    <x v="1"/>
    <x v="1"/>
    <x v="0"/>
    <x v="1"/>
    <x v="1"/>
    <x v="31"/>
    <x v="1"/>
    <x v="1"/>
    <x v="1"/>
  </r>
  <r>
    <x v="14"/>
    <x v="2"/>
    <x v="9"/>
    <x v="1"/>
    <x v="7"/>
    <x v="2"/>
    <x v="32"/>
    <x v="8"/>
    <x v="0"/>
    <x v="0"/>
  </r>
  <r>
    <x v="14"/>
    <x v="3"/>
    <x v="19"/>
    <x v="1"/>
    <x v="15"/>
    <x v="0"/>
    <x v="33"/>
    <x v="17"/>
    <x v="4"/>
    <x v="4"/>
  </r>
  <r>
    <x v="15"/>
    <x v="0"/>
    <x v="1"/>
    <x v="0"/>
    <x v="1"/>
    <x v="0"/>
    <x v="34"/>
    <x v="1"/>
    <x v="1"/>
    <x v="1"/>
  </r>
  <r>
    <x v="15"/>
    <x v="1"/>
    <x v="20"/>
    <x v="0"/>
    <x v="11"/>
    <x v="2"/>
    <x v="18"/>
    <x v="15"/>
    <x v="0"/>
    <x v="0"/>
  </r>
  <r>
    <x v="15"/>
    <x v="2"/>
    <x v="17"/>
    <x v="1"/>
    <x v="11"/>
    <x v="1"/>
    <x v="35"/>
    <x v="15"/>
    <x v="0"/>
    <x v="0"/>
  </r>
  <r>
    <x v="15"/>
    <x v="3"/>
    <x v="15"/>
    <x v="0"/>
    <x v="11"/>
    <x v="1"/>
    <x v="36"/>
    <x v="12"/>
    <x v="0"/>
    <x v="0"/>
  </r>
  <r>
    <x v="16"/>
    <x v="0"/>
    <x v="1"/>
    <x v="0"/>
    <x v="1"/>
    <x v="1"/>
    <x v="31"/>
    <x v="1"/>
    <x v="1"/>
    <x v="1"/>
  </r>
  <r>
    <x v="16"/>
    <x v="1"/>
    <x v="19"/>
    <x v="0"/>
    <x v="15"/>
    <x v="3"/>
    <x v="37"/>
    <x v="17"/>
    <x v="4"/>
    <x v="4"/>
  </r>
  <r>
    <x v="16"/>
    <x v="2"/>
    <x v="21"/>
    <x v="0"/>
    <x v="16"/>
    <x v="3"/>
    <x v="38"/>
    <x v="18"/>
    <x v="1"/>
    <x v="1"/>
  </r>
  <r>
    <x v="16"/>
    <x v="3"/>
    <x v="0"/>
    <x v="1"/>
    <x v="0"/>
    <x v="0"/>
    <x v="24"/>
    <x v="0"/>
    <x v="0"/>
    <x v="0"/>
  </r>
  <r>
    <x v="17"/>
    <x v="0"/>
    <x v="6"/>
    <x v="1"/>
    <x v="5"/>
    <x v="0"/>
    <x v="39"/>
    <x v="6"/>
    <x v="1"/>
    <x v="1"/>
  </r>
  <r>
    <x v="17"/>
    <x v="1"/>
    <x v="13"/>
    <x v="0"/>
    <x v="11"/>
    <x v="2"/>
    <x v="18"/>
    <x v="12"/>
    <x v="0"/>
    <x v="0"/>
  </r>
  <r>
    <x v="17"/>
    <x v="2"/>
    <x v="14"/>
    <x v="0"/>
    <x v="12"/>
    <x v="3"/>
    <x v="40"/>
    <x v="13"/>
    <x v="1"/>
    <x v="1"/>
  </r>
  <r>
    <x v="17"/>
    <x v="3"/>
    <x v="22"/>
    <x v="1"/>
    <x v="17"/>
    <x v="2"/>
    <x v="41"/>
    <x v="19"/>
    <x v="5"/>
    <x v="5"/>
  </r>
  <r>
    <x v="17"/>
    <x v="4"/>
    <x v="11"/>
    <x v="1"/>
    <x v="9"/>
    <x v="3"/>
    <x v="42"/>
    <x v="10"/>
    <x v="3"/>
    <x v="3"/>
  </r>
  <r>
    <x v="18"/>
    <x v="0"/>
    <x v="2"/>
    <x v="0"/>
    <x v="2"/>
    <x v="1"/>
    <x v="43"/>
    <x v="2"/>
    <x v="2"/>
    <x v="2"/>
  </r>
  <r>
    <x v="18"/>
    <x v="1"/>
    <x v="11"/>
    <x v="1"/>
    <x v="9"/>
    <x v="0"/>
    <x v="44"/>
    <x v="10"/>
    <x v="3"/>
    <x v="3"/>
  </r>
  <r>
    <x v="19"/>
    <x v="0"/>
    <x v="11"/>
    <x v="0"/>
    <x v="9"/>
    <x v="1"/>
    <x v="45"/>
    <x v="10"/>
    <x v="3"/>
    <x v="3"/>
  </r>
  <r>
    <x v="19"/>
    <x v="1"/>
    <x v="2"/>
    <x v="1"/>
    <x v="2"/>
    <x v="1"/>
    <x v="46"/>
    <x v="2"/>
    <x v="2"/>
    <x v="2"/>
  </r>
  <r>
    <x v="20"/>
    <x v="0"/>
    <x v="15"/>
    <x v="0"/>
    <x v="11"/>
    <x v="2"/>
    <x v="18"/>
    <x v="12"/>
    <x v="0"/>
    <x v="0"/>
  </r>
  <r>
    <x v="20"/>
    <x v="1"/>
    <x v="7"/>
    <x v="0"/>
    <x v="6"/>
    <x v="3"/>
    <x v="47"/>
    <x v="7"/>
    <x v="0"/>
    <x v="0"/>
  </r>
  <r>
    <x v="20"/>
    <x v="2"/>
    <x v="2"/>
    <x v="0"/>
    <x v="2"/>
    <x v="1"/>
    <x v="43"/>
    <x v="2"/>
    <x v="2"/>
    <x v="2"/>
  </r>
  <r>
    <x v="21"/>
    <x v="0"/>
    <x v="12"/>
    <x v="1"/>
    <x v="10"/>
    <x v="0"/>
    <x v="48"/>
    <x v="11"/>
    <x v="0"/>
    <x v="0"/>
  </r>
  <r>
    <x v="21"/>
    <x v="1"/>
    <x v="13"/>
    <x v="0"/>
    <x v="11"/>
    <x v="2"/>
    <x v="18"/>
    <x v="12"/>
    <x v="0"/>
    <x v="0"/>
  </r>
  <r>
    <x v="22"/>
    <x v="0"/>
    <x v="4"/>
    <x v="1"/>
    <x v="3"/>
    <x v="2"/>
    <x v="49"/>
    <x v="4"/>
    <x v="1"/>
    <x v="1"/>
  </r>
  <r>
    <x v="22"/>
    <x v="1"/>
    <x v="19"/>
    <x v="1"/>
    <x v="15"/>
    <x v="3"/>
    <x v="50"/>
    <x v="17"/>
    <x v="4"/>
    <x v="4"/>
  </r>
  <r>
    <x v="22"/>
    <x v="2"/>
    <x v="17"/>
    <x v="0"/>
    <x v="11"/>
    <x v="0"/>
    <x v="51"/>
    <x v="15"/>
    <x v="0"/>
    <x v="0"/>
  </r>
  <r>
    <x v="23"/>
    <x v="0"/>
    <x v="5"/>
    <x v="1"/>
    <x v="4"/>
    <x v="3"/>
    <x v="52"/>
    <x v="5"/>
    <x v="1"/>
    <x v="1"/>
  </r>
  <r>
    <x v="23"/>
    <x v="1"/>
    <x v="9"/>
    <x v="1"/>
    <x v="7"/>
    <x v="1"/>
    <x v="53"/>
    <x v="8"/>
    <x v="0"/>
    <x v="0"/>
  </r>
  <r>
    <x v="24"/>
    <x v="0"/>
    <x v="19"/>
    <x v="1"/>
    <x v="15"/>
    <x v="0"/>
    <x v="33"/>
    <x v="17"/>
    <x v="4"/>
    <x v="4"/>
  </r>
  <r>
    <x v="24"/>
    <x v="1"/>
    <x v="2"/>
    <x v="1"/>
    <x v="2"/>
    <x v="0"/>
    <x v="54"/>
    <x v="2"/>
    <x v="2"/>
    <x v="2"/>
  </r>
  <r>
    <x v="24"/>
    <x v="2"/>
    <x v="13"/>
    <x v="0"/>
    <x v="11"/>
    <x v="0"/>
    <x v="51"/>
    <x v="12"/>
    <x v="0"/>
    <x v="0"/>
  </r>
  <r>
    <x v="24"/>
    <x v="3"/>
    <x v="15"/>
    <x v="0"/>
    <x v="11"/>
    <x v="0"/>
    <x v="51"/>
    <x v="12"/>
    <x v="0"/>
    <x v="0"/>
  </r>
  <r>
    <x v="24"/>
    <x v="4"/>
    <x v="20"/>
    <x v="0"/>
    <x v="11"/>
    <x v="3"/>
    <x v="21"/>
    <x v="15"/>
    <x v="0"/>
    <x v="0"/>
  </r>
  <r>
    <x v="25"/>
    <x v="0"/>
    <x v="14"/>
    <x v="0"/>
    <x v="12"/>
    <x v="2"/>
    <x v="55"/>
    <x v="13"/>
    <x v="1"/>
    <x v="1"/>
  </r>
  <r>
    <x v="25"/>
    <x v="1"/>
    <x v="6"/>
    <x v="0"/>
    <x v="5"/>
    <x v="0"/>
    <x v="56"/>
    <x v="6"/>
    <x v="1"/>
    <x v="1"/>
  </r>
  <r>
    <x v="25"/>
    <x v="2"/>
    <x v="10"/>
    <x v="0"/>
    <x v="8"/>
    <x v="0"/>
    <x v="57"/>
    <x v="9"/>
    <x v="0"/>
    <x v="0"/>
  </r>
  <r>
    <x v="25"/>
    <x v="3"/>
    <x v="20"/>
    <x v="1"/>
    <x v="11"/>
    <x v="1"/>
    <x v="35"/>
    <x v="15"/>
    <x v="0"/>
    <x v="0"/>
  </r>
  <r>
    <x v="26"/>
    <x v="0"/>
    <x v="21"/>
    <x v="0"/>
    <x v="16"/>
    <x v="0"/>
    <x v="58"/>
    <x v="18"/>
    <x v="1"/>
    <x v="1"/>
  </r>
  <r>
    <x v="26"/>
    <x v="1"/>
    <x v="23"/>
    <x v="0"/>
    <x v="7"/>
    <x v="0"/>
    <x v="59"/>
    <x v="20"/>
    <x v="0"/>
    <x v="0"/>
  </r>
  <r>
    <x v="26"/>
    <x v="2"/>
    <x v="8"/>
    <x v="1"/>
    <x v="0"/>
    <x v="1"/>
    <x v="19"/>
    <x v="3"/>
    <x v="0"/>
    <x v="0"/>
  </r>
  <r>
    <x v="26"/>
    <x v="3"/>
    <x v="1"/>
    <x v="0"/>
    <x v="1"/>
    <x v="1"/>
    <x v="31"/>
    <x v="1"/>
    <x v="1"/>
    <x v="1"/>
  </r>
  <r>
    <x v="27"/>
    <x v="0"/>
    <x v="21"/>
    <x v="0"/>
    <x v="16"/>
    <x v="2"/>
    <x v="60"/>
    <x v="18"/>
    <x v="1"/>
    <x v="1"/>
  </r>
  <r>
    <x v="27"/>
    <x v="1"/>
    <x v="14"/>
    <x v="1"/>
    <x v="12"/>
    <x v="0"/>
    <x v="61"/>
    <x v="13"/>
    <x v="1"/>
    <x v="1"/>
  </r>
  <r>
    <x v="27"/>
    <x v="2"/>
    <x v="15"/>
    <x v="1"/>
    <x v="11"/>
    <x v="3"/>
    <x v="23"/>
    <x v="12"/>
    <x v="0"/>
    <x v="0"/>
  </r>
  <r>
    <x v="27"/>
    <x v="3"/>
    <x v="18"/>
    <x v="0"/>
    <x v="14"/>
    <x v="2"/>
    <x v="62"/>
    <x v="16"/>
    <x v="1"/>
    <x v="1"/>
  </r>
  <r>
    <x v="28"/>
    <x v="0"/>
    <x v="24"/>
    <x v="1"/>
    <x v="8"/>
    <x v="2"/>
    <x v="11"/>
    <x v="9"/>
    <x v="0"/>
    <x v="0"/>
  </r>
  <r>
    <x v="28"/>
    <x v="1"/>
    <x v="18"/>
    <x v="0"/>
    <x v="14"/>
    <x v="0"/>
    <x v="63"/>
    <x v="16"/>
    <x v="1"/>
    <x v="1"/>
  </r>
  <r>
    <x v="28"/>
    <x v="2"/>
    <x v="20"/>
    <x v="1"/>
    <x v="11"/>
    <x v="3"/>
    <x v="23"/>
    <x v="15"/>
    <x v="0"/>
    <x v="0"/>
  </r>
  <r>
    <x v="28"/>
    <x v="3"/>
    <x v="1"/>
    <x v="0"/>
    <x v="1"/>
    <x v="0"/>
    <x v="34"/>
    <x v="1"/>
    <x v="1"/>
    <x v="1"/>
  </r>
  <r>
    <x v="28"/>
    <x v="4"/>
    <x v="15"/>
    <x v="1"/>
    <x v="11"/>
    <x v="2"/>
    <x v="64"/>
    <x v="12"/>
    <x v="0"/>
    <x v="0"/>
  </r>
  <r>
    <x v="29"/>
    <x v="0"/>
    <x v="8"/>
    <x v="0"/>
    <x v="0"/>
    <x v="2"/>
    <x v="7"/>
    <x v="3"/>
    <x v="0"/>
    <x v="0"/>
  </r>
  <r>
    <x v="29"/>
    <x v="1"/>
    <x v="7"/>
    <x v="0"/>
    <x v="6"/>
    <x v="1"/>
    <x v="9"/>
    <x v="7"/>
    <x v="0"/>
    <x v="0"/>
  </r>
  <r>
    <x v="29"/>
    <x v="2"/>
    <x v="23"/>
    <x v="0"/>
    <x v="7"/>
    <x v="3"/>
    <x v="65"/>
    <x v="20"/>
    <x v="0"/>
    <x v="0"/>
  </r>
  <r>
    <x v="29"/>
    <x v="3"/>
    <x v="4"/>
    <x v="0"/>
    <x v="3"/>
    <x v="3"/>
    <x v="66"/>
    <x v="4"/>
    <x v="1"/>
    <x v="1"/>
  </r>
  <r>
    <x v="29"/>
    <x v="4"/>
    <x v="14"/>
    <x v="1"/>
    <x v="12"/>
    <x v="3"/>
    <x v="20"/>
    <x v="13"/>
    <x v="1"/>
    <x v="1"/>
  </r>
  <r>
    <x v="30"/>
    <x v="0"/>
    <x v="16"/>
    <x v="1"/>
    <x v="13"/>
    <x v="2"/>
    <x v="67"/>
    <x v="14"/>
    <x v="2"/>
    <x v="2"/>
  </r>
  <r>
    <x v="30"/>
    <x v="1"/>
    <x v="11"/>
    <x v="1"/>
    <x v="9"/>
    <x v="0"/>
    <x v="44"/>
    <x v="10"/>
    <x v="3"/>
    <x v="3"/>
  </r>
  <r>
    <x v="31"/>
    <x v="0"/>
    <x v="1"/>
    <x v="1"/>
    <x v="1"/>
    <x v="1"/>
    <x v="1"/>
    <x v="1"/>
    <x v="1"/>
    <x v="1"/>
  </r>
  <r>
    <x v="31"/>
    <x v="1"/>
    <x v="10"/>
    <x v="1"/>
    <x v="8"/>
    <x v="1"/>
    <x v="30"/>
    <x v="9"/>
    <x v="0"/>
    <x v="0"/>
  </r>
  <r>
    <x v="31"/>
    <x v="2"/>
    <x v="22"/>
    <x v="1"/>
    <x v="17"/>
    <x v="3"/>
    <x v="68"/>
    <x v="19"/>
    <x v="5"/>
    <x v="5"/>
  </r>
  <r>
    <x v="32"/>
    <x v="0"/>
    <x v="19"/>
    <x v="1"/>
    <x v="15"/>
    <x v="1"/>
    <x v="69"/>
    <x v="17"/>
    <x v="4"/>
    <x v="4"/>
  </r>
  <r>
    <x v="32"/>
    <x v="1"/>
    <x v="14"/>
    <x v="0"/>
    <x v="12"/>
    <x v="3"/>
    <x v="40"/>
    <x v="13"/>
    <x v="1"/>
    <x v="1"/>
  </r>
  <r>
    <x v="33"/>
    <x v="0"/>
    <x v="1"/>
    <x v="1"/>
    <x v="1"/>
    <x v="1"/>
    <x v="1"/>
    <x v="1"/>
    <x v="1"/>
    <x v="1"/>
  </r>
  <r>
    <x v="33"/>
    <x v="1"/>
    <x v="2"/>
    <x v="1"/>
    <x v="2"/>
    <x v="3"/>
    <x v="70"/>
    <x v="2"/>
    <x v="2"/>
    <x v="2"/>
  </r>
  <r>
    <x v="33"/>
    <x v="2"/>
    <x v="7"/>
    <x v="1"/>
    <x v="6"/>
    <x v="0"/>
    <x v="71"/>
    <x v="7"/>
    <x v="0"/>
    <x v="0"/>
  </r>
  <r>
    <x v="34"/>
    <x v="0"/>
    <x v="9"/>
    <x v="0"/>
    <x v="7"/>
    <x v="2"/>
    <x v="72"/>
    <x v="8"/>
    <x v="0"/>
    <x v="0"/>
  </r>
  <r>
    <x v="34"/>
    <x v="1"/>
    <x v="0"/>
    <x v="1"/>
    <x v="0"/>
    <x v="2"/>
    <x v="3"/>
    <x v="0"/>
    <x v="0"/>
    <x v="0"/>
  </r>
  <r>
    <x v="34"/>
    <x v="2"/>
    <x v="21"/>
    <x v="0"/>
    <x v="16"/>
    <x v="0"/>
    <x v="58"/>
    <x v="18"/>
    <x v="1"/>
    <x v="1"/>
  </r>
  <r>
    <x v="34"/>
    <x v="3"/>
    <x v="20"/>
    <x v="1"/>
    <x v="11"/>
    <x v="1"/>
    <x v="35"/>
    <x v="15"/>
    <x v="0"/>
    <x v="0"/>
  </r>
  <r>
    <x v="34"/>
    <x v="4"/>
    <x v="13"/>
    <x v="0"/>
    <x v="11"/>
    <x v="1"/>
    <x v="36"/>
    <x v="12"/>
    <x v="0"/>
    <x v="0"/>
  </r>
  <r>
    <x v="35"/>
    <x v="0"/>
    <x v="11"/>
    <x v="0"/>
    <x v="9"/>
    <x v="1"/>
    <x v="45"/>
    <x v="10"/>
    <x v="3"/>
    <x v="3"/>
  </r>
  <r>
    <x v="35"/>
    <x v="1"/>
    <x v="21"/>
    <x v="0"/>
    <x v="16"/>
    <x v="2"/>
    <x v="60"/>
    <x v="18"/>
    <x v="1"/>
    <x v="1"/>
  </r>
  <r>
    <x v="35"/>
    <x v="2"/>
    <x v="5"/>
    <x v="1"/>
    <x v="4"/>
    <x v="0"/>
    <x v="73"/>
    <x v="5"/>
    <x v="1"/>
    <x v="1"/>
  </r>
  <r>
    <x v="36"/>
    <x v="0"/>
    <x v="3"/>
    <x v="1"/>
    <x v="0"/>
    <x v="2"/>
    <x v="3"/>
    <x v="3"/>
    <x v="0"/>
    <x v="0"/>
  </r>
  <r>
    <x v="37"/>
    <x v="0"/>
    <x v="14"/>
    <x v="1"/>
    <x v="12"/>
    <x v="2"/>
    <x v="74"/>
    <x v="13"/>
    <x v="1"/>
    <x v="1"/>
  </r>
  <r>
    <x v="37"/>
    <x v="1"/>
    <x v="19"/>
    <x v="0"/>
    <x v="15"/>
    <x v="1"/>
    <x v="75"/>
    <x v="17"/>
    <x v="4"/>
    <x v="4"/>
  </r>
  <r>
    <x v="37"/>
    <x v="2"/>
    <x v="22"/>
    <x v="0"/>
    <x v="17"/>
    <x v="0"/>
    <x v="76"/>
    <x v="19"/>
    <x v="5"/>
    <x v="5"/>
  </r>
  <r>
    <x v="37"/>
    <x v="3"/>
    <x v="2"/>
    <x v="1"/>
    <x v="2"/>
    <x v="3"/>
    <x v="70"/>
    <x v="2"/>
    <x v="2"/>
    <x v="2"/>
  </r>
  <r>
    <x v="37"/>
    <x v="4"/>
    <x v="24"/>
    <x v="0"/>
    <x v="8"/>
    <x v="1"/>
    <x v="77"/>
    <x v="9"/>
    <x v="0"/>
    <x v="0"/>
  </r>
  <r>
    <x v="38"/>
    <x v="0"/>
    <x v="13"/>
    <x v="1"/>
    <x v="11"/>
    <x v="0"/>
    <x v="78"/>
    <x v="12"/>
    <x v="0"/>
    <x v="0"/>
  </r>
  <r>
    <x v="38"/>
    <x v="1"/>
    <x v="3"/>
    <x v="1"/>
    <x v="0"/>
    <x v="0"/>
    <x v="24"/>
    <x v="3"/>
    <x v="0"/>
    <x v="0"/>
  </r>
  <r>
    <x v="38"/>
    <x v="2"/>
    <x v="5"/>
    <x v="1"/>
    <x v="4"/>
    <x v="2"/>
    <x v="79"/>
    <x v="5"/>
    <x v="1"/>
    <x v="1"/>
  </r>
  <r>
    <x v="38"/>
    <x v="3"/>
    <x v="12"/>
    <x v="0"/>
    <x v="10"/>
    <x v="3"/>
    <x v="80"/>
    <x v="11"/>
    <x v="0"/>
    <x v="0"/>
  </r>
  <r>
    <x v="39"/>
    <x v="0"/>
    <x v="7"/>
    <x v="0"/>
    <x v="6"/>
    <x v="0"/>
    <x v="81"/>
    <x v="7"/>
    <x v="0"/>
    <x v="0"/>
  </r>
  <r>
    <x v="39"/>
    <x v="1"/>
    <x v="1"/>
    <x v="1"/>
    <x v="1"/>
    <x v="0"/>
    <x v="82"/>
    <x v="1"/>
    <x v="1"/>
    <x v="1"/>
  </r>
  <r>
    <x v="40"/>
    <x v="0"/>
    <x v="21"/>
    <x v="0"/>
    <x v="16"/>
    <x v="3"/>
    <x v="38"/>
    <x v="18"/>
    <x v="1"/>
    <x v="1"/>
  </r>
  <r>
    <x v="40"/>
    <x v="1"/>
    <x v="23"/>
    <x v="1"/>
    <x v="7"/>
    <x v="0"/>
    <x v="83"/>
    <x v="20"/>
    <x v="0"/>
    <x v="0"/>
  </r>
  <r>
    <x v="40"/>
    <x v="2"/>
    <x v="8"/>
    <x v="1"/>
    <x v="0"/>
    <x v="0"/>
    <x v="24"/>
    <x v="3"/>
    <x v="0"/>
    <x v="0"/>
  </r>
  <r>
    <x v="41"/>
    <x v="0"/>
    <x v="23"/>
    <x v="0"/>
    <x v="7"/>
    <x v="2"/>
    <x v="72"/>
    <x v="20"/>
    <x v="0"/>
    <x v="0"/>
  </r>
  <r>
    <x v="42"/>
    <x v="0"/>
    <x v="17"/>
    <x v="1"/>
    <x v="11"/>
    <x v="3"/>
    <x v="23"/>
    <x v="15"/>
    <x v="0"/>
    <x v="0"/>
  </r>
  <r>
    <x v="42"/>
    <x v="1"/>
    <x v="10"/>
    <x v="1"/>
    <x v="8"/>
    <x v="2"/>
    <x v="11"/>
    <x v="9"/>
    <x v="0"/>
    <x v="0"/>
  </r>
  <r>
    <x v="43"/>
    <x v="0"/>
    <x v="14"/>
    <x v="0"/>
    <x v="12"/>
    <x v="3"/>
    <x v="40"/>
    <x v="13"/>
    <x v="1"/>
    <x v="1"/>
  </r>
  <r>
    <x v="43"/>
    <x v="1"/>
    <x v="3"/>
    <x v="0"/>
    <x v="0"/>
    <x v="2"/>
    <x v="7"/>
    <x v="3"/>
    <x v="0"/>
    <x v="0"/>
  </r>
  <r>
    <x v="44"/>
    <x v="0"/>
    <x v="4"/>
    <x v="1"/>
    <x v="3"/>
    <x v="0"/>
    <x v="84"/>
    <x v="4"/>
    <x v="1"/>
    <x v="1"/>
  </r>
  <r>
    <x v="44"/>
    <x v="1"/>
    <x v="13"/>
    <x v="0"/>
    <x v="11"/>
    <x v="1"/>
    <x v="36"/>
    <x v="12"/>
    <x v="0"/>
    <x v="0"/>
  </r>
  <r>
    <x v="44"/>
    <x v="2"/>
    <x v="20"/>
    <x v="1"/>
    <x v="11"/>
    <x v="2"/>
    <x v="64"/>
    <x v="15"/>
    <x v="0"/>
    <x v="0"/>
  </r>
  <r>
    <x v="45"/>
    <x v="0"/>
    <x v="7"/>
    <x v="0"/>
    <x v="6"/>
    <x v="3"/>
    <x v="47"/>
    <x v="7"/>
    <x v="0"/>
    <x v="0"/>
  </r>
  <r>
    <x v="46"/>
    <x v="0"/>
    <x v="18"/>
    <x v="0"/>
    <x v="14"/>
    <x v="2"/>
    <x v="62"/>
    <x v="16"/>
    <x v="1"/>
    <x v="1"/>
  </r>
  <r>
    <x v="46"/>
    <x v="1"/>
    <x v="12"/>
    <x v="0"/>
    <x v="10"/>
    <x v="3"/>
    <x v="80"/>
    <x v="11"/>
    <x v="0"/>
    <x v="0"/>
  </r>
  <r>
    <x v="46"/>
    <x v="2"/>
    <x v="22"/>
    <x v="1"/>
    <x v="17"/>
    <x v="1"/>
    <x v="85"/>
    <x v="19"/>
    <x v="5"/>
    <x v="5"/>
  </r>
  <r>
    <x v="46"/>
    <x v="3"/>
    <x v="17"/>
    <x v="0"/>
    <x v="11"/>
    <x v="0"/>
    <x v="51"/>
    <x v="15"/>
    <x v="0"/>
    <x v="0"/>
  </r>
  <r>
    <x v="47"/>
    <x v="0"/>
    <x v="16"/>
    <x v="0"/>
    <x v="13"/>
    <x v="3"/>
    <x v="86"/>
    <x v="14"/>
    <x v="2"/>
    <x v="2"/>
  </r>
  <r>
    <x v="47"/>
    <x v="1"/>
    <x v="4"/>
    <x v="0"/>
    <x v="3"/>
    <x v="0"/>
    <x v="4"/>
    <x v="4"/>
    <x v="1"/>
    <x v="1"/>
  </r>
  <r>
    <x v="47"/>
    <x v="2"/>
    <x v="21"/>
    <x v="1"/>
    <x v="16"/>
    <x v="3"/>
    <x v="87"/>
    <x v="18"/>
    <x v="1"/>
    <x v="1"/>
  </r>
  <r>
    <x v="47"/>
    <x v="3"/>
    <x v="15"/>
    <x v="1"/>
    <x v="11"/>
    <x v="1"/>
    <x v="35"/>
    <x v="12"/>
    <x v="0"/>
    <x v="0"/>
  </r>
  <r>
    <x v="48"/>
    <x v="0"/>
    <x v="17"/>
    <x v="1"/>
    <x v="11"/>
    <x v="1"/>
    <x v="35"/>
    <x v="15"/>
    <x v="0"/>
    <x v="0"/>
  </r>
  <r>
    <x v="49"/>
    <x v="0"/>
    <x v="5"/>
    <x v="0"/>
    <x v="4"/>
    <x v="2"/>
    <x v="6"/>
    <x v="5"/>
    <x v="1"/>
    <x v="1"/>
  </r>
  <r>
    <x v="49"/>
    <x v="1"/>
    <x v="8"/>
    <x v="1"/>
    <x v="0"/>
    <x v="1"/>
    <x v="19"/>
    <x v="3"/>
    <x v="0"/>
    <x v="0"/>
  </r>
  <r>
    <x v="49"/>
    <x v="2"/>
    <x v="17"/>
    <x v="1"/>
    <x v="11"/>
    <x v="0"/>
    <x v="78"/>
    <x v="15"/>
    <x v="0"/>
    <x v="0"/>
  </r>
  <r>
    <x v="50"/>
    <x v="0"/>
    <x v="17"/>
    <x v="0"/>
    <x v="11"/>
    <x v="2"/>
    <x v="18"/>
    <x v="15"/>
    <x v="0"/>
    <x v="0"/>
  </r>
  <r>
    <x v="50"/>
    <x v="1"/>
    <x v="0"/>
    <x v="0"/>
    <x v="0"/>
    <x v="2"/>
    <x v="7"/>
    <x v="0"/>
    <x v="0"/>
    <x v="0"/>
  </r>
  <r>
    <x v="50"/>
    <x v="2"/>
    <x v="8"/>
    <x v="1"/>
    <x v="0"/>
    <x v="0"/>
    <x v="24"/>
    <x v="3"/>
    <x v="0"/>
    <x v="0"/>
  </r>
  <r>
    <x v="51"/>
    <x v="0"/>
    <x v="22"/>
    <x v="0"/>
    <x v="17"/>
    <x v="1"/>
    <x v="88"/>
    <x v="19"/>
    <x v="5"/>
    <x v="5"/>
  </r>
  <r>
    <x v="52"/>
    <x v="0"/>
    <x v="1"/>
    <x v="1"/>
    <x v="1"/>
    <x v="0"/>
    <x v="82"/>
    <x v="1"/>
    <x v="1"/>
    <x v="1"/>
  </r>
  <r>
    <x v="52"/>
    <x v="1"/>
    <x v="19"/>
    <x v="1"/>
    <x v="15"/>
    <x v="2"/>
    <x v="89"/>
    <x v="17"/>
    <x v="4"/>
    <x v="4"/>
  </r>
  <r>
    <x v="52"/>
    <x v="2"/>
    <x v="15"/>
    <x v="1"/>
    <x v="11"/>
    <x v="0"/>
    <x v="78"/>
    <x v="12"/>
    <x v="0"/>
    <x v="0"/>
  </r>
  <r>
    <x v="52"/>
    <x v="3"/>
    <x v="22"/>
    <x v="1"/>
    <x v="17"/>
    <x v="3"/>
    <x v="68"/>
    <x v="19"/>
    <x v="5"/>
    <x v="5"/>
  </r>
  <r>
    <x v="53"/>
    <x v="0"/>
    <x v="8"/>
    <x v="1"/>
    <x v="0"/>
    <x v="0"/>
    <x v="24"/>
    <x v="3"/>
    <x v="0"/>
    <x v="0"/>
  </r>
  <r>
    <x v="53"/>
    <x v="1"/>
    <x v="5"/>
    <x v="0"/>
    <x v="4"/>
    <x v="0"/>
    <x v="90"/>
    <x v="5"/>
    <x v="1"/>
    <x v="1"/>
  </r>
  <r>
    <x v="54"/>
    <x v="0"/>
    <x v="20"/>
    <x v="0"/>
    <x v="11"/>
    <x v="2"/>
    <x v="18"/>
    <x v="15"/>
    <x v="0"/>
    <x v="0"/>
  </r>
  <r>
    <x v="54"/>
    <x v="1"/>
    <x v="22"/>
    <x v="1"/>
    <x v="17"/>
    <x v="0"/>
    <x v="91"/>
    <x v="19"/>
    <x v="5"/>
    <x v="5"/>
  </r>
  <r>
    <x v="54"/>
    <x v="2"/>
    <x v="12"/>
    <x v="1"/>
    <x v="10"/>
    <x v="0"/>
    <x v="48"/>
    <x v="11"/>
    <x v="0"/>
    <x v="0"/>
  </r>
  <r>
    <x v="55"/>
    <x v="0"/>
    <x v="0"/>
    <x v="1"/>
    <x v="0"/>
    <x v="1"/>
    <x v="19"/>
    <x v="0"/>
    <x v="0"/>
    <x v="0"/>
  </r>
  <r>
    <x v="56"/>
    <x v="0"/>
    <x v="19"/>
    <x v="1"/>
    <x v="15"/>
    <x v="3"/>
    <x v="50"/>
    <x v="17"/>
    <x v="4"/>
    <x v="4"/>
  </r>
  <r>
    <x v="56"/>
    <x v="1"/>
    <x v="23"/>
    <x v="1"/>
    <x v="7"/>
    <x v="0"/>
    <x v="83"/>
    <x v="20"/>
    <x v="0"/>
    <x v="0"/>
  </r>
  <r>
    <x v="56"/>
    <x v="2"/>
    <x v="17"/>
    <x v="0"/>
    <x v="11"/>
    <x v="1"/>
    <x v="36"/>
    <x v="15"/>
    <x v="0"/>
    <x v="0"/>
  </r>
  <r>
    <x v="57"/>
    <x v="0"/>
    <x v="15"/>
    <x v="1"/>
    <x v="11"/>
    <x v="2"/>
    <x v="64"/>
    <x v="12"/>
    <x v="0"/>
    <x v="0"/>
  </r>
  <r>
    <x v="57"/>
    <x v="1"/>
    <x v="9"/>
    <x v="0"/>
    <x v="7"/>
    <x v="1"/>
    <x v="10"/>
    <x v="8"/>
    <x v="0"/>
    <x v="0"/>
  </r>
  <r>
    <x v="57"/>
    <x v="2"/>
    <x v="19"/>
    <x v="0"/>
    <x v="15"/>
    <x v="3"/>
    <x v="37"/>
    <x v="17"/>
    <x v="4"/>
    <x v="4"/>
  </r>
  <r>
    <x v="58"/>
    <x v="0"/>
    <x v="20"/>
    <x v="0"/>
    <x v="11"/>
    <x v="2"/>
    <x v="18"/>
    <x v="15"/>
    <x v="0"/>
    <x v="0"/>
  </r>
  <r>
    <x v="58"/>
    <x v="1"/>
    <x v="6"/>
    <x v="0"/>
    <x v="5"/>
    <x v="3"/>
    <x v="92"/>
    <x v="6"/>
    <x v="1"/>
    <x v="1"/>
  </r>
  <r>
    <x v="58"/>
    <x v="2"/>
    <x v="7"/>
    <x v="1"/>
    <x v="6"/>
    <x v="3"/>
    <x v="17"/>
    <x v="7"/>
    <x v="0"/>
    <x v="0"/>
  </r>
  <r>
    <x v="59"/>
    <x v="0"/>
    <x v="15"/>
    <x v="1"/>
    <x v="11"/>
    <x v="2"/>
    <x v="64"/>
    <x v="12"/>
    <x v="0"/>
    <x v="0"/>
  </r>
  <r>
    <x v="59"/>
    <x v="1"/>
    <x v="4"/>
    <x v="0"/>
    <x v="3"/>
    <x v="3"/>
    <x v="66"/>
    <x v="4"/>
    <x v="1"/>
    <x v="1"/>
  </r>
  <r>
    <x v="59"/>
    <x v="2"/>
    <x v="12"/>
    <x v="0"/>
    <x v="10"/>
    <x v="1"/>
    <x v="15"/>
    <x v="11"/>
    <x v="0"/>
    <x v="0"/>
  </r>
  <r>
    <x v="59"/>
    <x v="3"/>
    <x v="13"/>
    <x v="0"/>
    <x v="11"/>
    <x v="0"/>
    <x v="51"/>
    <x v="12"/>
    <x v="0"/>
    <x v="0"/>
  </r>
  <r>
    <x v="60"/>
    <x v="0"/>
    <x v="22"/>
    <x v="0"/>
    <x v="17"/>
    <x v="3"/>
    <x v="93"/>
    <x v="19"/>
    <x v="5"/>
    <x v="5"/>
  </r>
  <r>
    <x v="60"/>
    <x v="1"/>
    <x v="12"/>
    <x v="1"/>
    <x v="10"/>
    <x v="2"/>
    <x v="94"/>
    <x v="11"/>
    <x v="0"/>
    <x v="0"/>
  </r>
  <r>
    <x v="60"/>
    <x v="2"/>
    <x v="21"/>
    <x v="1"/>
    <x v="16"/>
    <x v="0"/>
    <x v="95"/>
    <x v="18"/>
    <x v="1"/>
    <x v="1"/>
  </r>
  <r>
    <x v="61"/>
    <x v="0"/>
    <x v="15"/>
    <x v="0"/>
    <x v="11"/>
    <x v="1"/>
    <x v="36"/>
    <x v="12"/>
    <x v="0"/>
    <x v="0"/>
  </r>
  <r>
    <x v="61"/>
    <x v="1"/>
    <x v="1"/>
    <x v="1"/>
    <x v="1"/>
    <x v="3"/>
    <x v="96"/>
    <x v="1"/>
    <x v="1"/>
    <x v="1"/>
  </r>
  <r>
    <x v="61"/>
    <x v="2"/>
    <x v="13"/>
    <x v="1"/>
    <x v="11"/>
    <x v="3"/>
    <x v="23"/>
    <x v="12"/>
    <x v="0"/>
    <x v="0"/>
  </r>
  <r>
    <x v="62"/>
    <x v="0"/>
    <x v="22"/>
    <x v="1"/>
    <x v="17"/>
    <x v="3"/>
    <x v="68"/>
    <x v="19"/>
    <x v="5"/>
    <x v="5"/>
  </r>
  <r>
    <x v="62"/>
    <x v="1"/>
    <x v="23"/>
    <x v="1"/>
    <x v="7"/>
    <x v="2"/>
    <x v="32"/>
    <x v="20"/>
    <x v="0"/>
    <x v="0"/>
  </r>
  <r>
    <x v="62"/>
    <x v="2"/>
    <x v="5"/>
    <x v="0"/>
    <x v="4"/>
    <x v="3"/>
    <x v="16"/>
    <x v="5"/>
    <x v="1"/>
    <x v="1"/>
  </r>
  <r>
    <x v="63"/>
    <x v="0"/>
    <x v="22"/>
    <x v="1"/>
    <x v="17"/>
    <x v="3"/>
    <x v="68"/>
    <x v="19"/>
    <x v="5"/>
    <x v="5"/>
  </r>
  <r>
    <x v="63"/>
    <x v="1"/>
    <x v="13"/>
    <x v="1"/>
    <x v="11"/>
    <x v="0"/>
    <x v="78"/>
    <x v="12"/>
    <x v="0"/>
    <x v="0"/>
  </r>
  <r>
    <x v="63"/>
    <x v="2"/>
    <x v="19"/>
    <x v="1"/>
    <x v="15"/>
    <x v="0"/>
    <x v="33"/>
    <x v="17"/>
    <x v="4"/>
    <x v="4"/>
  </r>
  <r>
    <x v="63"/>
    <x v="3"/>
    <x v="24"/>
    <x v="1"/>
    <x v="8"/>
    <x v="3"/>
    <x v="97"/>
    <x v="9"/>
    <x v="0"/>
    <x v="0"/>
  </r>
  <r>
    <x v="64"/>
    <x v="0"/>
    <x v="10"/>
    <x v="0"/>
    <x v="8"/>
    <x v="3"/>
    <x v="98"/>
    <x v="9"/>
    <x v="0"/>
    <x v="0"/>
  </r>
  <r>
    <x v="65"/>
    <x v="0"/>
    <x v="6"/>
    <x v="0"/>
    <x v="5"/>
    <x v="0"/>
    <x v="56"/>
    <x v="6"/>
    <x v="1"/>
    <x v="1"/>
  </r>
  <r>
    <x v="65"/>
    <x v="1"/>
    <x v="19"/>
    <x v="0"/>
    <x v="15"/>
    <x v="1"/>
    <x v="75"/>
    <x v="17"/>
    <x v="4"/>
    <x v="4"/>
  </r>
  <r>
    <x v="65"/>
    <x v="2"/>
    <x v="10"/>
    <x v="0"/>
    <x v="8"/>
    <x v="1"/>
    <x v="77"/>
    <x v="9"/>
    <x v="0"/>
    <x v="0"/>
  </r>
  <r>
    <x v="66"/>
    <x v="0"/>
    <x v="19"/>
    <x v="1"/>
    <x v="15"/>
    <x v="0"/>
    <x v="33"/>
    <x v="17"/>
    <x v="4"/>
    <x v="4"/>
  </r>
  <r>
    <x v="66"/>
    <x v="1"/>
    <x v="10"/>
    <x v="1"/>
    <x v="8"/>
    <x v="3"/>
    <x v="97"/>
    <x v="9"/>
    <x v="0"/>
    <x v="0"/>
  </r>
  <r>
    <x v="66"/>
    <x v="2"/>
    <x v="20"/>
    <x v="0"/>
    <x v="11"/>
    <x v="0"/>
    <x v="51"/>
    <x v="15"/>
    <x v="0"/>
    <x v="0"/>
  </r>
  <r>
    <x v="66"/>
    <x v="3"/>
    <x v="21"/>
    <x v="1"/>
    <x v="16"/>
    <x v="3"/>
    <x v="87"/>
    <x v="18"/>
    <x v="1"/>
    <x v="1"/>
  </r>
  <r>
    <x v="66"/>
    <x v="4"/>
    <x v="23"/>
    <x v="0"/>
    <x v="7"/>
    <x v="0"/>
    <x v="59"/>
    <x v="20"/>
    <x v="0"/>
    <x v="0"/>
  </r>
  <r>
    <x v="67"/>
    <x v="0"/>
    <x v="17"/>
    <x v="1"/>
    <x v="11"/>
    <x v="1"/>
    <x v="35"/>
    <x v="15"/>
    <x v="0"/>
    <x v="0"/>
  </r>
  <r>
    <x v="67"/>
    <x v="1"/>
    <x v="7"/>
    <x v="0"/>
    <x v="6"/>
    <x v="3"/>
    <x v="47"/>
    <x v="7"/>
    <x v="0"/>
    <x v="0"/>
  </r>
  <r>
    <x v="68"/>
    <x v="0"/>
    <x v="13"/>
    <x v="1"/>
    <x v="11"/>
    <x v="3"/>
    <x v="23"/>
    <x v="12"/>
    <x v="0"/>
    <x v="0"/>
  </r>
  <r>
    <x v="68"/>
    <x v="1"/>
    <x v="21"/>
    <x v="0"/>
    <x v="16"/>
    <x v="0"/>
    <x v="58"/>
    <x v="18"/>
    <x v="1"/>
    <x v="1"/>
  </r>
  <r>
    <x v="68"/>
    <x v="2"/>
    <x v="2"/>
    <x v="0"/>
    <x v="2"/>
    <x v="2"/>
    <x v="99"/>
    <x v="2"/>
    <x v="2"/>
    <x v="2"/>
  </r>
  <r>
    <x v="69"/>
    <x v="0"/>
    <x v="5"/>
    <x v="1"/>
    <x v="4"/>
    <x v="2"/>
    <x v="79"/>
    <x v="5"/>
    <x v="1"/>
    <x v="1"/>
  </r>
  <r>
    <x v="69"/>
    <x v="1"/>
    <x v="9"/>
    <x v="0"/>
    <x v="7"/>
    <x v="0"/>
    <x v="59"/>
    <x v="8"/>
    <x v="0"/>
    <x v="0"/>
  </r>
  <r>
    <x v="69"/>
    <x v="2"/>
    <x v="0"/>
    <x v="0"/>
    <x v="0"/>
    <x v="2"/>
    <x v="7"/>
    <x v="0"/>
    <x v="0"/>
    <x v="0"/>
  </r>
  <r>
    <x v="70"/>
    <x v="0"/>
    <x v="8"/>
    <x v="1"/>
    <x v="0"/>
    <x v="2"/>
    <x v="3"/>
    <x v="3"/>
    <x v="0"/>
    <x v="0"/>
  </r>
  <r>
    <x v="70"/>
    <x v="1"/>
    <x v="24"/>
    <x v="0"/>
    <x v="8"/>
    <x v="0"/>
    <x v="57"/>
    <x v="9"/>
    <x v="0"/>
    <x v="0"/>
  </r>
  <r>
    <x v="70"/>
    <x v="2"/>
    <x v="9"/>
    <x v="0"/>
    <x v="7"/>
    <x v="3"/>
    <x v="65"/>
    <x v="8"/>
    <x v="0"/>
    <x v="0"/>
  </r>
  <r>
    <x v="71"/>
    <x v="0"/>
    <x v="7"/>
    <x v="1"/>
    <x v="6"/>
    <x v="1"/>
    <x v="100"/>
    <x v="7"/>
    <x v="0"/>
    <x v="0"/>
  </r>
  <r>
    <x v="71"/>
    <x v="1"/>
    <x v="10"/>
    <x v="0"/>
    <x v="8"/>
    <x v="2"/>
    <x v="101"/>
    <x v="9"/>
    <x v="0"/>
    <x v="0"/>
  </r>
  <r>
    <x v="71"/>
    <x v="2"/>
    <x v="17"/>
    <x v="1"/>
    <x v="11"/>
    <x v="3"/>
    <x v="23"/>
    <x v="15"/>
    <x v="0"/>
    <x v="0"/>
  </r>
  <r>
    <x v="72"/>
    <x v="0"/>
    <x v="13"/>
    <x v="0"/>
    <x v="11"/>
    <x v="1"/>
    <x v="36"/>
    <x v="12"/>
    <x v="0"/>
    <x v="0"/>
  </r>
  <r>
    <x v="72"/>
    <x v="1"/>
    <x v="8"/>
    <x v="1"/>
    <x v="0"/>
    <x v="2"/>
    <x v="3"/>
    <x v="3"/>
    <x v="0"/>
    <x v="0"/>
  </r>
  <r>
    <x v="72"/>
    <x v="2"/>
    <x v="5"/>
    <x v="1"/>
    <x v="4"/>
    <x v="1"/>
    <x v="13"/>
    <x v="5"/>
    <x v="1"/>
    <x v="1"/>
  </r>
  <r>
    <x v="72"/>
    <x v="3"/>
    <x v="22"/>
    <x v="0"/>
    <x v="17"/>
    <x v="1"/>
    <x v="88"/>
    <x v="19"/>
    <x v="5"/>
    <x v="5"/>
  </r>
  <r>
    <x v="72"/>
    <x v="4"/>
    <x v="19"/>
    <x v="1"/>
    <x v="15"/>
    <x v="0"/>
    <x v="33"/>
    <x v="17"/>
    <x v="4"/>
    <x v="4"/>
  </r>
  <r>
    <x v="73"/>
    <x v="0"/>
    <x v="3"/>
    <x v="1"/>
    <x v="0"/>
    <x v="2"/>
    <x v="3"/>
    <x v="3"/>
    <x v="0"/>
    <x v="0"/>
  </r>
  <r>
    <x v="73"/>
    <x v="1"/>
    <x v="18"/>
    <x v="0"/>
    <x v="14"/>
    <x v="1"/>
    <x v="29"/>
    <x v="16"/>
    <x v="1"/>
    <x v="1"/>
  </r>
  <r>
    <x v="74"/>
    <x v="0"/>
    <x v="5"/>
    <x v="0"/>
    <x v="4"/>
    <x v="3"/>
    <x v="16"/>
    <x v="5"/>
    <x v="1"/>
    <x v="1"/>
  </r>
  <r>
    <x v="74"/>
    <x v="1"/>
    <x v="14"/>
    <x v="1"/>
    <x v="12"/>
    <x v="1"/>
    <x v="102"/>
    <x v="13"/>
    <x v="1"/>
    <x v="1"/>
  </r>
  <r>
    <x v="74"/>
    <x v="2"/>
    <x v="12"/>
    <x v="0"/>
    <x v="10"/>
    <x v="0"/>
    <x v="103"/>
    <x v="11"/>
    <x v="0"/>
    <x v="0"/>
  </r>
  <r>
    <x v="75"/>
    <x v="0"/>
    <x v="10"/>
    <x v="0"/>
    <x v="8"/>
    <x v="2"/>
    <x v="101"/>
    <x v="9"/>
    <x v="0"/>
    <x v="0"/>
  </r>
  <r>
    <x v="75"/>
    <x v="1"/>
    <x v="16"/>
    <x v="1"/>
    <x v="13"/>
    <x v="3"/>
    <x v="104"/>
    <x v="14"/>
    <x v="2"/>
    <x v="2"/>
  </r>
  <r>
    <x v="75"/>
    <x v="2"/>
    <x v="21"/>
    <x v="0"/>
    <x v="16"/>
    <x v="1"/>
    <x v="105"/>
    <x v="18"/>
    <x v="1"/>
    <x v="1"/>
  </r>
  <r>
    <x v="76"/>
    <x v="0"/>
    <x v="0"/>
    <x v="0"/>
    <x v="0"/>
    <x v="1"/>
    <x v="5"/>
    <x v="0"/>
    <x v="0"/>
    <x v="0"/>
  </r>
  <r>
    <x v="76"/>
    <x v="1"/>
    <x v="24"/>
    <x v="1"/>
    <x v="8"/>
    <x v="3"/>
    <x v="97"/>
    <x v="9"/>
    <x v="0"/>
    <x v="0"/>
  </r>
  <r>
    <x v="76"/>
    <x v="2"/>
    <x v="8"/>
    <x v="0"/>
    <x v="0"/>
    <x v="0"/>
    <x v="0"/>
    <x v="3"/>
    <x v="0"/>
    <x v="0"/>
  </r>
  <r>
    <x v="76"/>
    <x v="3"/>
    <x v="22"/>
    <x v="0"/>
    <x v="17"/>
    <x v="0"/>
    <x v="76"/>
    <x v="19"/>
    <x v="5"/>
    <x v="5"/>
  </r>
  <r>
    <x v="77"/>
    <x v="0"/>
    <x v="7"/>
    <x v="0"/>
    <x v="6"/>
    <x v="1"/>
    <x v="9"/>
    <x v="7"/>
    <x v="0"/>
    <x v="0"/>
  </r>
  <r>
    <x v="77"/>
    <x v="1"/>
    <x v="23"/>
    <x v="0"/>
    <x v="7"/>
    <x v="0"/>
    <x v="59"/>
    <x v="20"/>
    <x v="0"/>
    <x v="0"/>
  </r>
  <r>
    <x v="77"/>
    <x v="2"/>
    <x v="9"/>
    <x v="1"/>
    <x v="7"/>
    <x v="3"/>
    <x v="106"/>
    <x v="8"/>
    <x v="0"/>
    <x v="0"/>
  </r>
  <r>
    <x v="77"/>
    <x v="3"/>
    <x v="15"/>
    <x v="1"/>
    <x v="11"/>
    <x v="3"/>
    <x v="23"/>
    <x v="12"/>
    <x v="0"/>
    <x v="0"/>
  </r>
  <r>
    <x v="78"/>
    <x v="0"/>
    <x v="11"/>
    <x v="1"/>
    <x v="9"/>
    <x v="3"/>
    <x v="42"/>
    <x v="10"/>
    <x v="3"/>
    <x v="3"/>
  </r>
  <r>
    <x v="78"/>
    <x v="1"/>
    <x v="7"/>
    <x v="1"/>
    <x v="6"/>
    <x v="2"/>
    <x v="27"/>
    <x v="7"/>
    <x v="0"/>
    <x v="0"/>
  </r>
  <r>
    <x v="78"/>
    <x v="2"/>
    <x v="18"/>
    <x v="0"/>
    <x v="14"/>
    <x v="3"/>
    <x v="107"/>
    <x v="16"/>
    <x v="1"/>
    <x v="1"/>
  </r>
  <r>
    <x v="78"/>
    <x v="3"/>
    <x v="22"/>
    <x v="1"/>
    <x v="17"/>
    <x v="1"/>
    <x v="85"/>
    <x v="19"/>
    <x v="5"/>
    <x v="5"/>
  </r>
  <r>
    <x v="79"/>
    <x v="0"/>
    <x v="8"/>
    <x v="0"/>
    <x v="0"/>
    <x v="3"/>
    <x v="12"/>
    <x v="3"/>
    <x v="0"/>
    <x v="0"/>
  </r>
  <r>
    <x v="79"/>
    <x v="1"/>
    <x v="24"/>
    <x v="0"/>
    <x v="8"/>
    <x v="3"/>
    <x v="98"/>
    <x v="9"/>
    <x v="0"/>
    <x v="0"/>
  </r>
  <r>
    <x v="79"/>
    <x v="2"/>
    <x v="7"/>
    <x v="0"/>
    <x v="6"/>
    <x v="0"/>
    <x v="81"/>
    <x v="7"/>
    <x v="0"/>
    <x v="0"/>
  </r>
  <r>
    <x v="80"/>
    <x v="0"/>
    <x v="2"/>
    <x v="1"/>
    <x v="2"/>
    <x v="0"/>
    <x v="54"/>
    <x v="2"/>
    <x v="2"/>
    <x v="2"/>
  </r>
  <r>
    <x v="80"/>
    <x v="1"/>
    <x v="19"/>
    <x v="1"/>
    <x v="15"/>
    <x v="2"/>
    <x v="89"/>
    <x v="17"/>
    <x v="4"/>
    <x v="4"/>
  </r>
  <r>
    <x v="80"/>
    <x v="2"/>
    <x v="22"/>
    <x v="1"/>
    <x v="17"/>
    <x v="2"/>
    <x v="41"/>
    <x v="19"/>
    <x v="5"/>
    <x v="5"/>
  </r>
  <r>
    <x v="81"/>
    <x v="0"/>
    <x v="22"/>
    <x v="1"/>
    <x v="17"/>
    <x v="3"/>
    <x v="68"/>
    <x v="19"/>
    <x v="5"/>
    <x v="5"/>
  </r>
  <r>
    <x v="81"/>
    <x v="1"/>
    <x v="16"/>
    <x v="1"/>
    <x v="13"/>
    <x v="0"/>
    <x v="108"/>
    <x v="14"/>
    <x v="2"/>
    <x v="2"/>
  </r>
  <r>
    <x v="82"/>
    <x v="0"/>
    <x v="0"/>
    <x v="0"/>
    <x v="0"/>
    <x v="0"/>
    <x v="0"/>
    <x v="0"/>
    <x v="0"/>
    <x v="0"/>
  </r>
  <r>
    <x v="82"/>
    <x v="1"/>
    <x v="5"/>
    <x v="1"/>
    <x v="4"/>
    <x v="2"/>
    <x v="79"/>
    <x v="5"/>
    <x v="1"/>
    <x v="1"/>
  </r>
  <r>
    <x v="83"/>
    <x v="0"/>
    <x v="19"/>
    <x v="1"/>
    <x v="15"/>
    <x v="1"/>
    <x v="69"/>
    <x v="17"/>
    <x v="4"/>
    <x v="4"/>
  </r>
  <r>
    <x v="83"/>
    <x v="1"/>
    <x v="12"/>
    <x v="1"/>
    <x v="10"/>
    <x v="1"/>
    <x v="109"/>
    <x v="11"/>
    <x v="0"/>
    <x v="0"/>
  </r>
  <r>
    <x v="84"/>
    <x v="0"/>
    <x v="4"/>
    <x v="1"/>
    <x v="3"/>
    <x v="2"/>
    <x v="49"/>
    <x v="4"/>
    <x v="1"/>
    <x v="1"/>
  </r>
  <r>
    <x v="84"/>
    <x v="1"/>
    <x v="9"/>
    <x v="0"/>
    <x v="7"/>
    <x v="1"/>
    <x v="10"/>
    <x v="8"/>
    <x v="0"/>
    <x v="0"/>
  </r>
  <r>
    <x v="85"/>
    <x v="0"/>
    <x v="11"/>
    <x v="1"/>
    <x v="9"/>
    <x v="3"/>
    <x v="42"/>
    <x v="10"/>
    <x v="3"/>
    <x v="3"/>
  </r>
  <r>
    <x v="85"/>
    <x v="1"/>
    <x v="19"/>
    <x v="1"/>
    <x v="15"/>
    <x v="1"/>
    <x v="69"/>
    <x v="17"/>
    <x v="4"/>
    <x v="4"/>
  </r>
  <r>
    <x v="85"/>
    <x v="2"/>
    <x v="20"/>
    <x v="1"/>
    <x v="11"/>
    <x v="0"/>
    <x v="78"/>
    <x v="15"/>
    <x v="0"/>
    <x v="0"/>
  </r>
  <r>
    <x v="85"/>
    <x v="3"/>
    <x v="12"/>
    <x v="0"/>
    <x v="10"/>
    <x v="3"/>
    <x v="80"/>
    <x v="11"/>
    <x v="0"/>
    <x v="0"/>
  </r>
  <r>
    <x v="86"/>
    <x v="0"/>
    <x v="0"/>
    <x v="1"/>
    <x v="0"/>
    <x v="0"/>
    <x v="24"/>
    <x v="0"/>
    <x v="0"/>
    <x v="0"/>
  </r>
  <r>
    <x v="86"/>
    <x v="1"/>
    <x v="19"/>
    <x v="1"/>
    <x v="15"/>
    <x v="3"/>
    <x v="50"/>
    <x v="17"/>
    <x v="4"/>
    <x v="4"/>
  </r>
  <r>
    <x v="87"/>
    <x v="0"/>
    <x v="2"/>
    <x v="0"/>
    <x v="2"/>
    <x v="1"/>
    <x v="43"/>
    <x v="2"/>
    <x v="2"/>
    <x v="2"/>
  </r>
  <r>
    <x v="87"/>
    <x v="1"/>
    <x v="1"/>
    <x v="1"/>
    <x v="1"/>
    <x v="3"/>
    <x v="96"/>
    <x v="1"/>
    <x v="1"/>
    <x v="1"/>
  </r>
  <r>
    <x v="87"/>
    <x v="2"/>
    <x v="14"/>
    <x v="0"/>
    <x v="12"/>
    <x v="3"/>
    <x v="40"/>
    <x v="13"/>
    <x v="1"/>
    <x v="1"/>
  </r>
  <r>
    <x v="88"/>
    <x v="0"/>
    <x v="21"/>
    <x v="0"/>
    <x v="16"/>
    <x v="2"/>
    <x v="60"/>
    <x v="18"/>
    <x v="1"/>
    <x v="1"/>
  </r>
  <r>
    <x v="88"/>
    <x v="1"/>
    <x v="18"/>
    <x v="1"/>
    <x v="14"/>
    <x v="3"/>
    <x v="110"/>
    <x v="16"/>
    <x v="1"/>
    <x v="1"/>
  </r>
  <r>
    <x v="89"/>
    <x v="0"/>
    <x v="5"/>
    <x v="0"/>
    <x v="4"/>
    <x v="3"/>
    <x v="16"/>
    <x v="5"/>
    <x v="1"/>
    <x v="1"/>
  </r>
  <r>
    <x v="89"/>
    <x v="1"/>
    <x v="18"/>
    <x v="0"/>
    <x v="14"/>
    <x v="1"/>
    <x v="29"/>
    <x v="16"/>
    <x v="1"/>
    <x v="1"/>
  </r>
  <r>
    <x v="90"/>
    <x v="0"/>
    <x v="16"/>
    <x v="0"/>
    <x v="13"/>
    <x v="3"/>
    <x v="86"/>
    <x v="14"/>
    <x v="2"/>
    <x v="2"/>
  </r>
  <r>
    <x v="90"/>
    <x v="1"/>
    <x v="22"/>
    <x v="0"/>
    <x v="17"/>
    <x v="2"/>
    <x v="111"/>
    <x v="19"/>
    <x v="5"/>
    <x v="5"/>
  </r>
  <r>
    <x v="90"/>
    <x v="2"/>
    <x v="12"/>
    <x v="1"/>
    <x v="10"/>
    <x v="1"/>
    <x v="109"/>
    <x v="11"/>
    <x v="0"/>
    <x v="0"/>
  </r>
  <r>
    <x v="90"/>
    <x v="3"/>
    <x v="17"/>
    <x v="1"/>
    <x v="11"/>
    <x v="1"/>
    <x v="35"/>
    <x v="15"/>
    <x v="0"/>
    <x v="0"/>
  </r>
  <r>
    <x v="91"/>
    <x v="0"/>
    <x v="1"/>
    <x v="0"/>
    <x v="1"/>
    <x v="3"/>
    <x v="112"/>
    <x v="1"/>
    <x v="1"/>
    <x v="1"/>
  </r>
  <r>
    <x v="92"/>
    <x v="0"/>
    <x v="13"/>
    <x v="1"/>
    <x v="11"/>
    <x v="1"/>
    <x v="35"/>
    <x v="12"/>
    <x v="0"/>
    <x v="0"/>
  </r>
  <r>
    <x v="92"/>
    <x v="1"/>
    <x v="7"/>
    <x v="0"/>
    <x v="6"/>
    <x v="2"/>
    <x v="113"/>
    <x v="7"/>
    <x v="0"/>
    <x v="0"/>
  </r>
  <r>
    <x v="92"/>
    <x v="2"/>
    <x v="20"/>
    <x v="0"/>
    <x v="11"/>
    <x v="3"/>
    <x v="21"/>
    <x v="15"/>
    <x v="0"/>
    <x v="0"/>
  </r>
  <r>
    <x v="92"/>
    <x v="3"/>
    <x v="6"/>
    <x v="0"/>
    <x v="5"/>
    <x v="0"/>
    <x v="56"/>
    <x v="6"/>
    <x v="1"/>
    <x v="1"/>
  </r>
  <r>
    <x v="92"/>
    <x v="4"/>
    <x v="2"/>
    <x v="1"/>
    <x v="2"/>
    <x v="1"/>
    <x v="46"/>
    <x v="2"/>
    <x v="2"/>
    <x v="2"/>
  </r>
  <r>
    <x v="93"/>
    <x v="0"/>
    <x v="10"/>
    <x v="0"/>
    <x v="8"/>
    <x v="2"/>
    <x v="101"/>
    <x v="9"/>
    <x v="0"/>
    <x v="0"/>
  </r>
  <r>
    <x v="93"/>
    <x v="1"/>
    <x v="4"/>
    <x v="0"/>
    <x v="3"/>
    <x v="0"/>
    <x v="4"/>
    <x v="4"/>
    <x v="1"/>
    <x v="1"/>
  </r>
  <r>
    <x v="93"/>
    <x v="2"/>
    <x v="16"/>
    <x v="0"/>
    <x v="13"/>
    <x v="0"/>
    <x v="114"/>
    <x v="14"/>
    <x v="2"/>
    <x v="2"/>
  </r>
  <r>
    <x v="93"/>
    <x v="3"/>
    <x v="20"/>
    <x v="1"/>
    <x v="11"/>
    <x v="1"/>
    <x v="35"/>
    <x v="15"/>
    <x v="0"/>
    <x v="0"/>
  </r>
  <r>
    <x v="94"/>
    <x v="0"/>
    <x v="2"/>
    <x v="1"/>
    <x v="2"/>
    <x v="0"/>
    <x v="54"/>
    <x v="2"/>
    <x v="2"/>
    <x v="2"/>
  </r>
  <r>
    <x v="94"/>
    <x v="1"/>
    <x v="23"/>
    <x v="0"/>
    <x v="7"/>
    <x v="3"/>
    <x v="65"/>
    <x v="20"/>
    <x v="0"/>
    <x v="0"/>
  </r>
  <r>
    <x v="94"/>
    <x v="2"/>
    <x v="1"/>
    <x v="1"/>
    <x v="1"/>
    <x v="0"/>
    <x v="82"/>
    <x v="1"/>
    <x v="1"/>
    <x v="1"/>
  </r>
  <r>
    <x v="94"/>
    <x v="3"/>
    <x v="0"/>
    <x v="1"/>
    <x v="0"/>
    <x v="2"/>
    <x v="3"/>
    <x v="0"/>
    <x v="0"/>
    <x v="0"/>
  </r>
  <r>
    <x v="95"/>
    <x v="0"/>
    <x v="8"/>
    <x v="0"/>
    <x v="0"/>
    <x v="3"/>
    <x v="12"/>
    <x v="3"/>
    <x v="0"/>
    <x v="0"/>
  </r>
  <r>
    <x v="95"/>
    <x v="1"/>
    <x v="19"/>
    <x v="0"/>
    <x v="15"/>
    <x v="2"/>
    <x v="115"/>
    <x v="17"/>
    <x v="4"/>
    <x v="4"/>
  </r>
  <r>
    <x v="96"/>
    <x v="0"/>
    <x v="0"/>
    <x v="1"/>
    <x v="0"/>
    <x v="0"/>
    <x v="24"/>
    <x v="0"/>
    <x v="0"/>
    <x v="0"/>
  </r>
  <r>
    <x v="96"/>
    <x v="1"/>
    <x v="6"/>
    <x v="0"/>
    <x v="5"/>
    <x v="1"/>
    <x v="116"/>
    <x v="6"/>
    <x v="1"/>
    <x v="1"/>
  </r>
  <r>
    <x v="96"/>
    <x v="2"/>
    <x v="18"/>
    <x v="1"/>
    <x v="14"/>
    <x v="0"/>
    <x v="117"/>
    <x v="16"/>
    <x v="1"/>
    <x v="1"/>
  </r>
  <r>
    <x v="96"/>
    <x v="3"/>
    <x v="23"/>
    <x v="0"/>
    <x v="7"/>
    <x v="3"/>
    <x v="65"/>
    <x v="20"/>
    <x v="0"/>
    <x v="0"/>
  </r>
  <r>
    <x v="97"/>
    <x v="0"/>
    <x v="23"/>
    <x v="0"/>
    <x v="7"/>
    <x v="1"/>
    <x v="10"/>
    <x v="20"/>
    <x v="0"/>
    <x v="0"/>
  </r>
  <r>
    <x v="97"/>
    <x v="1"/>
    <x v="20"/>
    <x v="0"/>
    <x v="11"/>
    <x v="3"/>
    <x v="21"/>
    <x v="15"/>
    <x v="0"/>
    <x v="0"/>
  </r>
  <r>
    <x v="97"/>
    <x v="2"/>
    <x v="6"/>
    <x v="0"/>
    <x v="5"/>
    <x v="0"/>
    <x v="56"/>
    <x v="6"/>
    <x v="1"/>
    <x v="1"/>
  </r>
  <r>
    <x v="97"/>
    <x v="3"/>
    <x v="13"/>
    <x v="1"/>
    <x v="11"/>
    <x v="0"/>
    <x v="78"/>
    <x v="12"/>
    <x v="0"/>
    <x v="0"/>
  </r>
  <r>
    <x v="98"/>
    <x v="0"/>
    <x v="17"/>
    <x v="0"/>
    <x v="11"/>
    <x v="0"/>
    <x v="51"/>
    <x v="15"/>
    <x v="0"/>
    <x v="0"/>
  </r>
  <r>
    <x v="98"/>
    <x v="1"/>
    <x v="20"/>
    <x v="0"/>
    <x v="11"/>
    <x v="0"/>
    <x v="51"/>
    <x v="15"/>
    <x v="0"/>
    <x v="0"/>
  </r>
  <r>
    <x v="98"/>
    <x v="2"/>
    <x v="22"/>
    <x v="1"/>
    <x v="17"/>
    <x v="2"/>
    <x v="41"/>
    <x v="19"/>
    <x v="5"/>
    <x v="5"/>
  </r>
  <r>
    <x v="98"/>
    <x v="3"/>
    <x v="14"/>
    <x v="1"/>
    <x v="12"/>
    <x v="1"/>
    <x v="102"/>
    <x v="13"/>
    <x v="1"/>
    <x v="1"/>
  </r>
  <r>
    <x v="98"/>
    <x v="4"/>
    <x v="19"/>
    <x v="1"/>
    <x v="15"/>
    <x v="0"/>
    <x v="33"/>
    <x v="17"/>
    <x v="4"/>
    <x v="4"/>
  </r>
  <r>
    <x v="99"/>
    <x v="0"/>
    <x v="10"/>
    <x v="1"/>
    <x v="8"/>
    <x v="2"/>
    <x v="11"/>
    <x v="9"/>
    <x v="0"/>
    <x v="0"/>
  </r>
  <r>
    <x v="99"/>
    <x v="1"/>
    <x v="16"/>
    <x v="1"/>
    <x v="13"/>
    <x v="3"/>
    <x v="104"/>
    <x v="14"/>
    <x v="2"/>
    <x v="2"/>
  </r>
  <r>
    <x v="99"/>
    <x v="2"/>
    <x v="14"/>
    <x v="1"/>
    <x v="12"/>
    <x v="0"/>
    <x v="61"/>
    <x v="13"/>
    <x v="1"/>
    <x v="1"/>
  </r>
  <r>
    <x v="99"/>
    <x v="3"/>
    <x v="3"/>
    <x v="1"/>
    <x v="0"/>
    <x v="0"/>
    <x v="24"/>
    <x v="3"/>
    <x v="0"/>
    <x v="0"/>
  </r>
  <r>
    <x v="99"/>
    <x v="4"/>
    <x v="24"/>
    <x v="1"/>
    <x v="8"/>
    <x v="3"/>
    <x v="97"/>
    <x v="9"/>
    <x v="0"/>
    <x v="0"/>
  </r>
  <r>
    <x v="100"/>
    <x v="0"/>
    <x v="10"/>
    <x v="1"/>
    <x v="8"/>
    <x v="0"/>
    <x v="118"/>
    <x v="9"/>
    <x v="0"/>
    <x v="0"/>
  </r>
  <r>
    <x v="101"/>
    <x v="0"/>
    <x v="12"/>
    <x v="0"/>
    <x v="10"/>
    <x v="2"/>
    <x v="119"/>
    <x v="11"/>
    <x v="0"/>
    <x v="0"/>
  </r>
  <r>
    <x v="101"/>
    <x v="1"/>
    <x v="13"/>
    <x v="0"/>
    <x v="11"/>
    <x v="1"/>
    <x v="36"/>
    <x v="12"/>
    <x v="0"/>
    <x v="0"/>
  </r>
  <r>
    <x v="102"/>
    <x v="0"/>
    <x v="7"/>
    <x v="0"/>
    <x v="6"/>
    <x v="1"/>
    <x v="9"/>
    <x v="7"/>
    <x v="0"/>
    <x v="0"/>
  </r>
  <r>
    <x v="102"/>
    <x v="1"/>
    <x v="5"/>
    <x v="0"/>
    <x v="4"/>
    <x v="2"/>
    <x v="6"/>
    <x v="5"/>
    <x v="1"/>
    <x v="1"/>
  </r>
  <r>
    <x v="102"/>
    <x v="2"/>
    <x v="9"/>
    <x v="0"/>
    <x v="7"/>
    <x v="0"/>
    <x v="59"/>
    <x v="8"/>
    <x v="0"/>
    <x v="0"/>
  </r>
  <r>
    <x v="102"/>
    <x v="3"/>
    <x v="12"/>
    <x v="1"/>
    <x v="10"/>
    <x v="3"/>
    <x v="120"/>
    <x v="11"/>
    <x v="0"/>
    <x v="0"/>
  </r>
  <r>
    <x v="102"/>
    <x v="4"/>
    <x v="11"/>
    <x v="1"/>
    <x v="9"/>
    <x v="3"/>
    <x v="42"/>
    <x v="10"/>
    <x v="3"/>
    <x v="3"/>
  </r>
  <r>
    <x v="103"/>
    <x v="0"/>
    <x v="23"/>
    <x v="1"/>
    <x v="7"/>
    <x v="3"/>
    <x v="106"/>
    <x v="20"/>
    <x v="0"/>
    <x v="0"/>
  </r>
  <r>
    <x v="103"/>
    <x v="1"/>
    <x v="8"/>
    <x v="0"/>
    <x v="0"/>
    <x v="2"/>
    <x v="7"/>
    <x v="3"/>
    <x v="0"/>
    <x v="0"/>
  </r>
  <r>
    <x v="104"/>
    <x v="0"/>
    <x v="16"/>
    <x v="1"/>
    <x v="13"/>
    <x v="0"/>
    <x v="108"/>
    <x v="14"/>
    <x v="2"/>
    <x v="2"/>
  </r>
  <r>
    <x v="104"/>
    <x v="1"/>
    <x v="5"/>
    <x v="0"/>
    <x v="4"/>
    <x v="2"/>
    <x v="6"/>
    <x v="5"/>
    <x v="1"/>
    <x v="1"/>
  </r>
  <r>
    <x v="104"/>
    <x v="2"/>
    <x v="11"/>
    <x v="0"/>
    <x v="9"/>
    <x v="2"/>
    <x v="121"/>
    <x v="10"/>
    <x v="3"/>
    <x v="3"/>
  </r>
  <r>
    <x v="105"/>
    <x v="0"/>
    <x v="7"/>
    <x v="0"/>
    <x v="6"/>
    <x v="3"/>
    <x v="47"/>
    <x v="7"/>
    <x v="0"/>
    <x v="0"/>
  </r>
  <r>
    <x v="105"/>
    <x v="1"/>
    <x v="17"/>
    <x v="1"/>
    <x v="11"/>
    <x v="3"/>
    <x v="23"/>
    <x v="15"/>
    <x v="0"/>
    <x v="0"/>
  </r>
  <r>
    <x v="106"/>
    <x v="0"/>
    <x v="23"/>
    <x v="0"/>
    <x v="7"/>
    <x v="0"/>
    <x v="59"/>
    <x v="20"/>
    <x v="0"/>
    <x v="0"/>
  </r>
  <r>
    <x v="106"/>
    <x v="1"/>
    <x v="17"/>
    <x v="1"/>
    <x v="11"/>
    <x v="3"/>
    <x v="23"/>
    <x v="15"/>
    <x v="0"/>
    <x v="0"/>
  </r>
  <r>
    <x v="107"/>
    <x v="0"/>
    <x v="16"/>
    <x v="0"/>
    <x v="13"/>
    <x v="3"/>
    <x v="86"/>
    <x v="14"/>
    <x v="2"/>
    <x v="2"/>
  </r>
  <r>
    <x v="107"/>
    <x v="1"/>
    <x v="13"/>
    <x v="1"/>
    <x v="11"/>
    <x v="1"/>
    <x v="35"/>
    <x v="12"/>
    <x v="0"/>
    <x v="0"/>
  </r>
  <r>
    <x v="107"/>
    <x v="2"/>
    <x v="3"/>
    <x v="1"/>
    <x v="0"/>
    <x v="2"/>
    <x v="3"/>
    <x v="3"/>
    <x v="0"/>
    <x v="0"/>
  </r>
  <r>
    <x v="108"/>
    <x v="0"/>
    <x v="13"/>
    <x v="1"/>
    <x v="11"/>
    <x v="3"/>
    <x v="23"/>
    <x v="12"/>
    <x v="0"/>
    <x v="0"/>
  </r>
  <r>
    <x v="108"/>
    <x v="1"/>
    <x v="18"/>
    <x v="0"/>
    <x v="14"/>
    <x v="1"/>
    <x v="29"/>
    <x v="16"/>
    <x v="1"/>
    <x v="1"/>
  </r>
  <r>
    <x v="109"/>
    <x v="0"/>
    <x v="15"/>
    <x v="0"/>
    <x v="11"/>
    <x v="3"/>
    <x v="21"/>
    <x v="12"/>
    <x v="0"/>
    <x v="0"/>
  </r>
  <r>
    <x v="110"/>
    <x v="0"/>
    <x v="15"/>
    <x v="0"/>
    <x v="11"/>
    <x v="3"/>
    <x v="21"/>
    <x v="12"/>
    <x v="0"/>
    <x v="0"/>
  </r>
  <r>
    <x v="110"/>
    <x v="1"/>
    <x v="10"/>
    <x v="1"/>
    <x v="8"/>
    <x v="1"/>
    <x v="30"/>
    <x v="9"/>
    <x v="0"/>
    <x v="0"/>
  </r>
  <r>
    <x v="111"/>
    <x v="0"/>
    <x v="19"/>
    <x v="1"/>
    <x v="15"/>
    <x v="0"/>
    <x v="33"/>
    <x v="17"/>
    <x v="4"/>
    <x v="4"/>
  </r>
  <r>
    <x v="111"/>
    <x v="1"/>
    <x v="22"/>
    <x v="1"/>
    <x v="17"/>
    <x v="1"/>
    <x v="85"/>
    <x v="19"/>
    <x v="5"/>
    <x v="5"/>
  </r>
  <r>
    <x v="111"/>
    <x v="2"/>
    <x v="24"/>
    <x v="1"/>
    <x v="8"/>
    <x v="2"/>
    <x v="11"/>
    <x v="9"/>
    <x v="0"/>
    <x v="0"/>
  </r>
  <r>
    <x v="111"/>
    <x v="3"/>
    <x v="21"/>
    <x v="0"/>
    <x v="16"/>
    <x v="0"/>
    <x v="58"/>
    <x v="18"/>
    <x v="1"/>
    <x v="1"/>
  </r>
  <r>
    <x v="112"/>
    <x v="0"/>
    <x v="10"/>
    <x v="1"/>
    <x v="8"/>
    <x v="1"/>
    <x v="30"/>
    <x v="9"/>
    <x v="0"/>
    <x v="0"/>
  </r>
  <r>
    <x v="112"/>
    <x v="1"/>
    <x v="24"/>
    <x v="1"/>
    <x v="8"/>
    <x v="3"/>
    <x v="97"/>
    <x v="9"/>
    <x v="0"/>
    <x v="0"/>
  </r>
  <r>
    <x v="112"/>
    <x v="2"/>
    <x v="18"/>
    <x v="0"/>
    <x v="14"/>
    <x v="1"/>
    <x v="29"/>
    <x v="16"/>
    <x v="1"/>
    <x v="1"/>
  </r>
  <r>
    <x v="112"/>
    <x v="3"/>
    <x v="19"/>
    <x v="0"/>
    <x v="15"/>
    <x v="0"/>
    <x v="122"/>
    <x v="17"/>
    <x v="4"/>
    <x v="4"/>
  </r>
  <r>
    <x v="112"/>
    <x v="4"/>
    <x v="21"/>
    <x v="1"/>
    <x v="16"/>
    <x v="0"/>
    <x v="95"/>
    <x v="18"/>
    <x v="1"/>
    <x v="1"/>
  </r>
  <r>
    <x v="113"/>
    <x v="0"/>
    <x v="10"/>
    <x v="0"/>
    <x v="8"/>
    <x v="2"/>
    <x v="101"/>
    <x v="9"/>
    <x v="0"/>
    <x v="0"/>
  </r>
  <r>
    <x v="113"/>
    <x v="1"/>
    <x v="6"/>
    <x v="0"/>
    <x v="5"/>
    <x v="1"/>
    <x v="116"/>
    <x v="6"/>
    <x v="1"/>
    <x v="1"/>
  </r>
  <r>
    <x v="113"/>
    <x v="2"/>
    <x v="17"/>
    <x v="1"/>
    <x v="11"/>
    <x v="3"/>
    <x v="23"/>
    <x v="15"/>
    <x v="0"/>
    <x v="0"/>
  </r>
  <r>
    <x v="114"/>
    <x v="0"/>
    <x v="13"/>
    <x v="0"/>
    <x v="11"/>
    <x v="0"/>
    <x v="51"/>
    <x v="12"/>
    <x v="0"/>
    <x v="0"/>
  </r>
  <r>
    <x v="114"/>
    <x v="1"/>
    <x v="23"/>
    <x v="0"/>
    <x v="7"/>
    <x v="3"/>
    <x v="65"/>
    <x v="20"/>
    <x v="0"/>
    <x v="0"/>
  </r>
  <r>
    <x v="115"/>
    <x v="0"/>
    <x v="8"/>
    <x v="0"/>
    <x v="0"/>
    <x v="2"/>
    <x v="7"/>
    <x v="3"/>
    <x v="0"/>
    <x v="0"/>
  </r>
  <r>
    <x v="116"/>
    <x v="0"/>
    <x v="13"/>
    <x v="1"/>
    <x v="11"/>
    <x v="0"/>
    <x v="78"/>
    <x v="12"/>
    <x v="0"/>
    <x v="0"/>
  </r>
  <r>
    <x v="116"/>
    <x v="1"/>
    <x v="8"/>
    <x v="0"/>
    <x v="0"/>
    <x v="2"/>
    <x v="7"/>
    <x v="3"/>
    <x v="0"/>
    <x v="0"/>
  </r>
  <r>
    <x v="116"/>
    <x v="2"/>
    <x v="15"/>
    <x v="0"/>
    <x v="11"/>
    <x v="0"/>
    <x v="51"/>
    <x v="12"/>
    <x v="0"/>
    <x v="0"/>
  </r>
  <r>
    <x v="116"/>
    <x v="3"/>
    <x v="23"/>
    <x v="0"/>
    <x v="7"/>
    <x v="2"/>
    <x v="72"/>
    <x v="20"/>
    <x v="0"/>
    <x v="0"/>
  </r>
  <r>
    <x v="117"/>
    <x v="0"/>
    <x v="9"/>
    <x v="0"/>
    <x v="7"/>
    <x v="1"/>
    <x v="10"/>
    <x v="8"/>
    <x v="0"/>
    <x v="0"/>
  </r>
  <r>
    <x v="117"/>
    <x v="1"/>
    <x v="4"/>
    <x v="0"/>
    <x v="3"/>
    <x v="1"/>
    <x v="123"/>
    <x v="4"/>
    <x v="1"/>
    <x v="1"/>
  </r>
  <r>
    <x v="117"/>
    <x v="2"/>
    <x v="18"/>
    <x v="0"/>
    <x v="14"/>
    <x v="1"/>
    <x v="29"/>
    <x v="16"/>
    <x v="1"/>
    <x v="1"/>
  </r>
  <r>
    <x v="117"/>
    <x v="3"/>
    <x v="5"/>
    <x v="1"/>
    <x v="4"/>
    <x v="3"/>
    <x v="52"/>
    <x v="5"/>
    <x v="1"/>
    <x v="1"/>
  </r>
  <r>
    <x v="117"/>
    <x v="4"/>
    <x v="19"/>
    <x v="1"/>
    <x v="15"/>
    <x v="1"/>
    <x v="69"/>
    <x v="17"/>
    <x v="4"/>
    <x v="4"/>
  </r>
  <r>
    <x v="118"/>
    <x v="0"/>
    <x v="22"/>
    <x v="0"/>
    <x v="17"/>
    <x v="2"/>
    <x v="111"/>
    <x v="19"/>
    <x v="5"/>
    <x v="5"/>
  </r>
  <r>
    <x v="119"/>
    <x v="0"/>
    <x v="17"/>
    <x v="1"/>
    <x v="11"/>
    <x v="2"/>
    <x v="64"/>
    <x v="15"/>
    <x v="0"/>
    <x v="0"/>
  </r>
  <r>
    <x v="119"/>
    <x v="1"/>
    <x v="18"/>
    <x v="1"/>
    <x v="14"/>
    <x v="2"/>
    <x v="124"/>
    <x v="16"/>
    <x v="1"/>
    <x v="1"/>
  </r>
  <r>
    <x v="119"/>
    <x v="2"/>
    <x v="2"/>
    <x v="1"/>
    <x v="2"/>
    <x v="2"/>
    <x v="2"/>
    <x v="2"/>
    <x v="2"/>
    <x v="2"/>
  </r>
  <r>
    <x v="119"/>
    <x v="3"/>
    <x v="7"/>
    <x v="0"/>
    <x v="6"/>
    <x v="2"/>
    <x v="113"/>
    <x v="7"/>
    <x v="0"/>
    <x v="0"/>
  </r>
  <r>
    <x v="119"/>
    <x v="4"/>
    <x v="3"/>
    <x v="1"/>
    <x v="0"/>
    <x v="0"/>
    <x v="24"/>
    <x v="3"/>
    <x v="0"/>
    <x v="0"/>
  </r>
  <r>
    <x v="120"/>
    <x v="0"/>
    <x v="21"/>
    <x v="0"/>
    <x v="16"/>
    <x v="0"/>
    <x v="58"/>
    <x v="18"/>
    <x v="1"/>
    <x v="1"/>
  </r>
  <r>
    <x v="120"/>
    <x v="1"/>
    <x v="15"/>
    <x v="1"/>
    <x v="11"/>
    <x v="3"/>
    <x v="23"/>
    <x v="12"/>
    <x v="0"/>
    <x v="0"/>
  </r>
  <r>
    <x v="120"/>
    <x v="2"/>
    <x v="4"/>
    <x v="1"/>
    <x v="3"/>
    <x v="3"/>
    <x v="25"/>
    <x v="4"/>
    <x v="1"/>
    <x v="1"/>
  </r>
  <r>
    <x v="120"/>
    <x v="3"/>
    <x v="24"/>
    <x v="1"/>
    <x v="8"/>
    <x v="1"/>
    <x v="30"/>
    <x v="9"/>
    <x v="0"/>
    <x v="0"/>
  </r>
  <r>
    <x v="120"/>
    <x v="4"/>
    <x v="6"/>
    <x v="1"/>
    <x v="5"/>
    <x v="2"/>
    <x v="125"/>
    <x v="6"/>
    <x v="1"/>
    <x v="1"/>
  </r>
  <r>
    <x v="121"/>
    <x v="0"/>
    <x v="3"/>
    <x v="0"/>
    <x v="0"/>
    <x v="3"/>
    <x v="12"/>
    <x v="3"/>
    <x v="0"/>
    <x v="0"/>
  </r>
  <r>
    <x v="122"/>
    <x v="0"/>
    <x v="10"/>
    <x v="1"/>
    <x v="8"/>
    <x v="3"/>
    <x v="97"/>
    <x v="9"/>
    <x v="0"/>
    <x v="0"/>
  </r>
  <r>
    <x v="123"/>
    <x v="0"/>
    <x v="3"/>
    <x v="0"/>
    <x v="0"/>
    <x v="2"/>
    <x v="7"/>
    <x v="3"/>
    <x v="0"/>
    <x v="0"/>
  </r>
  <r>
    <x v="123"/>
    <x v="1"/>
    <x v="4"/>
    <x v="0"/>
    <x v="3"/>
    <x v="1"/>
    <x v="123"/>
    <x v="4"/>
    <x v="1"/>
    <x v="1"/>
  </r>
  <r>
    <x v="123"/>
    <x v="2"/>
    <x v="14"/>
    <x v="1"/>
    <x v="12"/>
    <x v="2"/>
    <x v="74"/>
    <x v="13"/>
    <x v="1"/>
    <x v="1"/>
  </r>
  <r>
    <x v="124"/>
    <x v="0"/>
    <x v="7"/>
    <x v="0"/>
    <x v="6"/>
    <x v="3"/>
    <x v="47"/>
    <x v="7"/>
    <x v="0"/>
    <x v="0"/>
  </r>
  <r>
    <x v="125"/>
    <x v="0"/>
    <x v="11"/>
    <x v="1"/>
    <x v="9"/>
    <x v="2"/>
    <x v="126"/>
    <x v="10"/>
    <x v="3"/>
    <x v="3"/>
  </r>
  <r>
    <x v="126"/>
    <x v="0"/>
    <x v="7"/>
    <x v="0"/>
    <x v="6"/>
    <x v="1"/>
    <x v="9"/>
    <x v="7"/>
    <x v="0"/>
    <x v="0"/>
  </r>
  <r>
    <x v="126"/>
    <x v="1"/>
    <x v="0"/>
    <x v="0"/>
    <x v="0"/>
    <x v="3"/>
    <x v="12"/>
    <x v="0"/>
    <x v="0"/>
    <x v="0"/>
  </r>
  <r>
    <x v="126"/>
    <x v="2"/>
    <x v="4"/>
    <x v="1"/>
    <x v="3"/>
    <x v="1"/>
    <x v="127"/>
    <x v="4"/>
    <x v="1"/>
    <x v="1"/>
  </r>
  <r>
    <x v="127"/>
    <x v="0"/>
    <x v="24"/>
    <x v="1"/>
    <x v="8"/>
    <x v="3"/>
    <x v="97"/>
    <x v="9"/>
    <x v="0"/>
    <x v="0"/>
  </r>
  <r>
    <x v="127"/>
    <x v="1"/>
    <x v="3"/>
    <x v="1"/>
    <x v="0"/>
    <x v="3"/>
    <x v="28"/>
    <x v="3"/>
    <x v="0"/>
    <x v="0"/>
  </r>
  <r>
    <x v="127"/>
    <x v="2"/>
    <x v="4"/>
    <x v="1"/>
    <x v="3"/>
    <x v="0"/>
    <x v="84"/>
    <x v="4"/>
    <x v="1"/>
    <x v="1"/>
  </r>
  <r>
    <x v="127"/>
    <x v="3"/>
    <x v="5"/>
    <x v="1"/>
    <x v="4"/>
    <x v="0"/>
    <x v="73"/>
    <x v="5"/>
    <x v="1"/>
    <x v="1"/>
  </r>
  <r>
    <x v="128"/>
    <x v="0"/>
    <x v="9"/>
    <x v="0"/>
    <x v="7"/>
    <x v="3"/>
    <x v="65"/>
    <x v="8"/>
    <x v="0"/>
    <x v="0"/>
  </r>
  <r>
    <x v="128"/>
    <x v="1"/>
    <x v="11"/>
    <x v="0"/>
    <x v="9"/>
    <x v="3"/>
    <x v="128"/>
    <x v="10"/>
    <x v="3"/>
    <x v="3"/>
  </r>
  <r>
    <x v="129"/>
    <x v="0"/>
    <x v="8"/>
    <x v="0"/>
    <x v="0"/>
    <x v="2"/>
    <x v="7"/>
    <x v="3"/>
    <x v="0"/>
    <x v="0"/>
  </r>
  <r>
    <x v="129"/>
    <x v="1"/>
    <x v="21"/>
    <x v="1"/>
    <x v="16"/>
    <x v="1"/>
    <x v="129"/>
    <x v="18"/>
    <x v="1"/>
    <x v="1"/>
  </r>
  <r>
    <x v="130"/>
    <x v="0"/>
    <x v="13"/>
    <x v="1"/>
    <x v="11"/>
    <x v="0"/>
    <x v="78"/>
    <x v="12"/>
    <x v="0"/>
    <x v="0"/>
  </r>
  <r>
    <x v="130"/>
    <x v="1"/>
    <x v="4"/>
    <x v="1"/>
    <x v="3"/>
    <x v="1"/>
    <x v="127"/>
    <x v="4"/>
    <x v="1"/>
    <x v="1"/>
  </r>
  <r>
    <x v="130"/>
    <x v="2"/>
    <x v="24"/>
    <x v="1"/>
    <x v="8"/>
    <x v="3"/>
    <x v="97"/>
    <x v="9"/>
    <x v="0"/>
    <x v="0"/>
  </r>
  <r>
    <x v="131"/>
    <x v="0"/>
    <x v="6"/>
    <x v="1"/>
    <x v="5"/>
    <x v="2"/>
    <x v="125"/>
    <x v="6"/>
    <x v="1"/>
    <x v="1"/>
  </r>
  <r>
    <x v="131"/>
    <x v="1"/>
    <x v="0"/>
    <x v="0"/>
    <x v="0"/>
    <x v="2"/>
    <x v="7"/>
    <x v="0"/>
    <x v="0"/>
    <x v="0"/>
  </r>
  <r>
    <x v="131"/>
    <x v="2"/>
    <x v="11"/>
    <x v="0"/>
    <x v="9"/>
    <x v="3"/>
    <x v="128"/>
    <x v="10"/>
    <x v="3"/>
    <x v="3"/>
  </r>
  <r>
    <x v="132"/>
    <x v="0"/>
    <x v="17"/>
    <x v="1"/>
    <x v="11"/>
    <x v="2"/>
    <x v="64"/>
    <x v="15"/>
    <x v="0"/>
    <x v="0"/>
  </r>
  <r>
    <x v="132"/>
    <x v="1"/>
    <x v="13"/>
    <x v="0"/>
    <x v="11"/>
    <x v="0"/>
    <x v="51"/>
    <x v="12"/>
    <x v="0"/>
    <x v="0"/>
  </r>
  <r>
    <x v="133"/>
    <x v="0"/>
    <x v="23"/>
    <x v="1"/>
    <x v="7"/>
    <x v="3"/>
    <x v="106"/>
    <x v="20"/>
    <x v="0"/>
    <x v="0"/>
  </r>
  <r>
    <x v="133"/>
    <x v="1"/>
    <x v="6"/>
    <x v="1"/>
    <x v="5"/>
    <x v="1"/>
    <x v="130"/>
    <x v="6"/>
    <x v="1"/>
    <x v="1"/>
  </r>
  <r>
    <x v="133"/>
    <x v="2"/>
    <x v="9"/>
    <x v="1"/>
    <x v="7"/>
    <x v="1"/>
    <x v="53"/>
    <x v="8"/>
    <x v="0"/>
    <x v="0"/>
  </r>
  <r>
    <x v="134"/>
    <x v="0"/>
    <x v="21"/>
    <x v="1"/>
    <x v="16"/>
    <x v="2"/>
    <x v="131"/>
    <x v="18"/>
    <x v="1"/>
    <x v="1"/>
  </r>
  <r>
    <x v="134"/>
    <x v="1"/>
    <x v="9"/>
    <x v="1"/>
    <x v="7"/>
    <x v="2"/>
    <x v="32"/>
    <x v="8"/>
    <x v="0"/>
    <x v="0"/>
  </r>
  <r>
    <x v="134"/>
    <x v="2"/>
    <x v="22"/>
    <x v="0"/>
    <x v="17"/>
    <x v="0"/>
    <x v="76"/>
    <x v="19"/>
    <x v="5"/>
    <x v="5"/>
  </r>
  <r>
    <x v="134"/>
    <x v="3"/>
    <x v="6"/>
    <x v="0"/>
    <x v="5"/>
    <x v="2"/>
    <x v="132"/>
    <x v="6"/>
    <x v="1"/>
    <x v="1"/>
  </r>
  <r>
    <x v="135"/>
    <x v="0"/>
    <x v="14"/>
    <x v="1"/>
    <x v="12"/>
    <x v="0"/>
    <x v="61"/>
    <x v="13"/>
    <x v="1"/>
    <x v="1"/>
  </r>
  <r>
    <x v="135"/>
    <x v="1"/>
    <x v="5"/>
    <x v="1"/>
    <x v="4"/>
    <x v="2"/>
    <x v="79"/>
    <x v="5"/>
    <x v="1"/>
    <x v="1"/>
  </r>
  <r>
    <x v="136"/>
    <x v="0"/>
    <x v="19"/>
    <x v="0"/>
    <x v="15"/>
    <x v="1"/>
    <x v="75"/>
    <x v="17"/>
    <x v="4"/>
    <x v="4"/>
  </r>
  <r>
    <x v="136"/>
    <x v="1"/>
    <x v="13"/>
    <x v="0"/>
    <x v="11"/>
    <x v="3"/>
    <x v="21"/>
    <x v="12"/>
    <x v="0"/>
    <x v="0"/>
  </r>
  <r>
    <x v="137"/>
    <x v="0"/>
    <x v="3"/>
    <x v="1"/>
    <x v="0"/>
    <x v="3"/>
    <x v="28"/>
    <x v="3"/>
    <x v="0"/>
    <x v="0"/>
  </r>
  <r>
    <x v="137"/>
    <x v="1"/>
    <x v="18"/>
    <x v="0"/>
    <x v="14"/>
    <x v="0"/>
    <x v="63"/>
    <x v="16"/>
    <x v="1"/>
    <x v="1"/>
  </r>
  <r>
    <x v="138"/>
    <x v="0"/>
    <x v="23"/>
    <x v="1"/>
    <x v="7"/>
    <x v="1"/>
    <x v="53"/>
    <x v="20"/>
    <x v="0"/>
    <x v="0"/>
  </r>
  <r>
    <x v="138"/>
    <x v="1"/>
    <x v="5"/>
    <x v="0"/>
    <x v="4"/>
    <x v="1"/>
    <x v="133"/>
    <x v="5"/>
    <x v="1"/>
    <x v="1"/>
  </r>
  <r>
    <x v="139"/>
    <x v="0"/>
    <x v="12"/>
    <x v="0"/>
    <x v="10"/>
    <x v="0"/>
    <x v="103"/>
    <x v="11"/>
    <x v="0"/>
    <x v="0"/>
  </r>
  <r>
    <x v="139"/>
    <x v="1"/>
    <x v="20"/>
    <x v="0"/>
    <x v="11"/>
    <x v="0"/>
    <x v="51"/>
    <x v="15"/>
    <x v="0"/>
    <x v="0"/>
  </r>
  <r>
    <x v="139"/>
    <x v="2"/>
    <x v="10"/>
    <x v="1"/>
    <x v="8"/>
    <x v="0"/>
    <x v="118"/>
    <x v="9"/>
    <x v="0"/>
    <x v="0"/>
  </r>
  <r>
    <x v="139"/>
    <x v="3"/>
    <x v="5"/>
    <x v="0"/>
    <x v="4"/>
    <x v="2"/>
    <x v="6"/>
    <x v="5"/>
    <x v="1"/>
    <x v="1"/>
  </r>
  <r>
    <x v="140"/>
    <x v="0"/>
    <x v="9"/>
    <x v="0"/>
    <x v="7"/>
    <x v="0"/>
    <x v="59"/>
    <x v="8"/>
    <x v="0"/>
    <x v="0"/>
  </r>
  <r>
    <x v="141"/>
    <x v="0"/>
    <x v="3"/>
    <x v="1"/>
    <x v="0"/>
    <x v="3"/>
    <x v="28"/>
    <x v="3"/>
    <x v="0"/>
    <x v="0"/>
  </r>
  <r>
    <x v="141"/>
    <x v="1"/>
    <x v="16"/>
    <x v="1"/>
    <x v="13"/>
    <x v="3"/>
    <x v="104"/>
    <x v="14"/>
    <x v="2"/>
    <x v="2"/>
  </r>
  <r>
    <x v="141"/>
    <x v="2"/>
    <x v="23"/>
    <x v="0"/>
    <x v="7"/>
    <x v="1"/>
    <x v="10"/>
    <x v="20"/>
    <x v="0"/>
    <x v="0"/>
  </r>
  <r>
    <x v="142"/>
    <x v="0"/>
    <x v="18"/>
    <x v="0"/>
    <x v="14"/>
    <x v="0"/>
    <x v="63"/>
    <x v="16"/>
    <x v="1"/>
    <x v="1"/>
  </r>
  <r>
    <x v="143"/>
    <x v="0"/>
    <x v="1"/>
    <x v="1"/>
    <x v="1"/>
    <x v="2"/>
    <x v="134"/>
    <x v="1"/>
    <x v="1"/>
    <x v="1"/>
  </r>
  <r>
    <x v="144"/>
    <x v="0"/>
    <x v="16"/>
    <x v="0"/>
    <x v="13"/>
    <x v="0"/>
    <x v="114"/>
    <x v="14"/>
    <x v="2"/>
    <x v="2"/>
  </r>
  <r>
    <x v="144"/>
    <x v="1"/>
    <x v="11"/>
    <x v="1"/>
    <x v="9"/>
    <x v="3"/>
    <x v="42"/>
    <x v="10"/>
    <x v="3"/>
    <x v="3"/>
  </r>
  <r>
    <x v="145"/>
    <x v="0"/>
    <x v="5"/>
    <x v="1"/>
    <x v="4"/>
    <x v="0"/>
    <x v="73"/>
    <x v="5"/>
    <x v="1"/>
    <x v="1"/>
  </r>
  <r>
    <x v="145"/>
    <x v="1"/>
    <x v="10"/>
    <x v="0"/>
    <x v="8"/>
    <x v="3"/>
    <x v="98"/>
    <x v="9"/>
    <x v="0"/>
    <x v="0"/>
  </r>
  <r>
    <x v="145"/>
    <x v="2"/>
    <x v="0"/>
    <x v="1"/>
    <x v="0"/>
    <x v="3"/>
    <x v="28"/>
    <x v="0"/>
    <x v="0"/>
    <x v="0"/>
  </r>
  <r>
    <x v="145"/>
    <x v="3"/>
    <x v="18"/>
    <x v="1"/>
    <x v="14"/>
    <x v="2"/>
    <x v="124"/>
    <x v="16"/>
    <x v="1"/>
    <x v="1"/>
  </r>
  <r>
    <x v="145"/>
    <x v="4"/>
    <x v="6"/>
    <x v="0"/>
    <x v="5"/>
    <x v="1"/>
    <x v="116"/>
    <x v="6"/>
    <x v="1"/>
    <x v="1"/>
  </r>
  <r>
    <x v="146"/>
    <x v="0"/>
    <x v="8"/>
    <x v="1"/>
    <x v="0"/>
    <x v="0"/>
    <x v="24"/>
    <x v="3"/>
    <x v="0"/>
    <x v="0"/>
  </r>
  <r>
    <x v="147"/>
    <x v="0"/>
    <x v="15"/>
    <x v="0"/>
    <x v="11"/>
    <x v="2"/>
    <x v="18"/>
    <x v="12"/>
    <x v="0"/>
    <x v="0"/>
  </r>
  <r>
    <x v="148"/>
    <x v="0"/>
    <x v="10"/>
    <x v="1"/>
    <x v="8"/>
    <x v="1"/>
    <x v="30"/>
    <x v="9"/>
    <x v="0"/>
    <x v="0"/>
  </r>
  <r>
    <x v="148"/>
    <x v="1"/>
    <x v="20"/>
    <x v="1"/>
    <x v="11"/>
    <x v="1"/>
    <x v="35"/>
    <x v="15"/>
    <x v="0"/>
    <x v="0"/>
  </r>
  <r>
    <x v="149"/>
    <x v="0"/>
    <x v="14"/>
    <x v="0"/>
    <x v="12"/>
    <x v="3"/>
    <x v="40"/>
    <x v="13"/>
    <x v="1"/>
    <x v="1"/>
  </r>
  <r>
    <x v="149"/>
    <x v="1"/>
    <x v="5"/>
    <x v="0"/>
    <x v="4"/>
    <x v="0"/>
    <x v="90"/>
    <x v="5"/>
    <x v="1"/>
    <x v="1"/>
  </r>
  <r>
    <x v="149"/>
    <x v="2"/>
    <x v="7"/>
    <x v="0"/>
    <x v="6"/>
    <x v="1"/>
    <x v="9"/>
    <x v="7"/>
    <x v="0"/>
    <x v="0"/>
  </r>
  <r>
    <x v="149"/>
    <x v="3"/>
    <x v="22"/>
    <x v="1"/>
    <x v="17"/>
    <x v="1"/>
    <x v="85"/>
    <x v="19"/>
    <x v="5"/>
    <x v="5"/>
  </r>
  <r>
    <x v="150"/>
    <x v="0"/>
    <x v="7"/>
    <x v="0"/>
    <x v="6"/>
    <x v="3"/>
    <x v="47"/>
    <x v="7"/>
    <x v="0"/>
    <x v="0"/>
  </r>
  <r>
    <x v="150"/>
    <x v="1"/>
    <x v="8"/>
    <x v="0"/>
    <x v="0"/>
    <x v="3"/>
    <x v="12"/>
    <x v="3"/>
    <x v="0"/>
    <x v="0"/>
  </r>
  <r>
    <x v="151"/>
    <x v="0"/>
    <x v="18"/>
    <x v="1"/>
    <x v="14"/>
    <x v="0"/>
    <x v="117"/>
    <x v="16"/>
    <x v="1"/>
    <x v="1"/>
  </r>
  <r>
    <x v="151"/>
    <x v="1"/>
    <x v="13"/>
    <x v="1"/>
    <x v="11"/>
    <x v="0"/>
    <x v="78"/>
    <x v="12"/>
    <x v="0"/>
    <x v="0"/>
  </r>
  <r>
    <x v="151"/>
    <x v="2"/>
    <x v="3"/>
    <x v="1"/>
    <x v="0"/>
    <x v="1"/>
    <x v="19"/>
    <x v="3"/>
    <x v="0"/>
    <x v="0"/>
  </r>
  <r>
    <x v="152"/>
    <x v="0"/>
    <x v="3"/>
    <x v="0"/>
    <x v="0"/>
    <x v="1"/>
    <x v="5"/>
    <x v="3"/>
    <x v="0"/>
    <x v="0"/>
  </r>
  <r>
    <x v="152"/>
    <x v="1"/>
    <x v="1"/>
    <x v="0"/>
    <x v="1"/>
    <x v="1"/>
    <x v="31"/>
    <x v="1"/>
    <x v="1"/>
    <x v="1"/>
  </r>
  <r>
    <x v="152"/>
    <x v="2"/>
    <x v="12"/>
    <x v="1"/>
    <x v="10"/>
    <x v="2"/>
    <x v="94"/>
    <x v="11"/>
    <x v="0"/>
    <x v="0"/>
  </r>
  <r>
    <x v="153"/>
    <x v="0"/>
    <x v="10"/>
    <x v="0"/>
    <x v="8"/>
    <x v="3"/>
    <x v="98"/>
    <x v="9"/>
    <x v="0"/>
    <x v="0"/>
  </r>
  <r>
    <x v="154"/>
    <x v="0"/>
    <x v="1"/>
    <x v="0"/>
    <x v="1"/>
    <x v="3"/>
    <x v="112"/>
    <x v="1"/>
    <x v="1"/>
    <x v="1"/>
  </r>
  <r>
    <x v="155"/>
    <x v="0"/>
    <x v="9"/>
    <x v="1"/>
    <x v="7"/>
    <x v="0"/>
    <x v="83"/>
    <x v="8"/>
    <x v="0"/>
    <x v="0"/>
  </r>
  <r>
    <x v="155"/>
    <x v="1"/>
    <x v="7"/>
    <x v="1"/>
    <x v="6"/>
    <x v="2"/>
    <x v="27"/>
    <x v="7"/>
    <x v="0"/>
    <x v="0"/>
  </r>
  <r>
    <x v="155"/>
    <x v="2"/>
    <x v="18"/>
    <x v="0"/>
    <x v="14"/>
    <x v="1"/>
    <x v="29"/>
    <x v="16"/>
    <x v="1"/>
    <x v="1"/>
  </r>
  <r>
    <x v="156"/>
    <x v="0"/>
    <x v="4"/>
    <x v="0"/>
    <x v="3"/>
    <x v="3"/>
    <x v="66"/>
    <x v="4"/>
    <x v="1"/>
    <x v="1"/>
  </r>
  <r>
    <x v="156"/>
    <x v="1"/>
    <x v="14"/>
    <x v="1"/>
    <x v="12"/>
    <x v="1"/>
    <x v="102"/>
    <x v="13"/>
    <x v="1"/>
    <x v="1"/>
  </r>
  <r>
    <x v="157"/>
    <x v="0"/>
    <x v="24"/>
    <x v="0"/>
    <x v="8"/>
    <x v="3"/>
    <x v="98"/>
    <x v="9"/>
    <x v="0"/>
    <x v="0"/>
  </r>
  <r>
    <x v="158"/>
    <x v="0"/>
    <x v="17"/>
    <x v="0"/>
    <x v="11"/>
    <x v="0"/>
    <x v="51"/>
    <x v="15"/>
    <x v="0"/>
    <x v="0"/>
  </r>
  <r>
    <x v="159"/>
    <x v="0"/>
    <x v="20"/>
    <x v="0"/>
    <x v="11"/>
    <x v="1"/>
    <x v="36"/>
    <x v="15"/>
    <x v="0"/>
    <x v="0"/>
  </r>
  <r>
    <x v="159"/>
    <x v="1"/>
    <x v="12"/>
    <x v="1"/>
    <x v="10"/>
    <x v="1"/>
    <x v="109"/>
    <x v="11"/>
    <x v="0"/>
    <x v="0"/>
  </r>
  <r>
    <x v="159"/>
    <x v="2"/>
    <x v="9"/>
    <x v="1"/>
    <x v="7"/>
    <x v="3"/>
    <x v="106"/>
    <x v="8"/>
    <x v="0"/>
    <x v="0"/>
  </r>
  <r>
    <x v="159"/>
    <x v="3"/>
    <x v="16"/>
    <x v="0"/>
    <x v="13"/>
    <x v="2"/>
    <x v="26"/>
    <x v="14"/>
    <x v="2"/>
    <x v="2"/>
  </r>
  <r>
    <x v="160"/>
    <x v="0"/>
    <x v="24"/>
    <x v="1"/>
    <x v="8"/>
    <x v="1"/>
    <x v="30"/>
    <x v="9"/>
    <x v="0"/>
    <x v="0"/>
  </r>
  <r>
    <x v="160"/>
    <x v="1"/>
    <x v="13"/>
    <x v="0"/>
    <x v="11"/>
    <x v="2"/>
    <x v="18"/>
    <x v="12"/>
    <x v="0"/>
    <x v="0"/>
  </r>
  <r>
    <x v="160"/>
    <x v="2"/>
    <x v="14"/>
    <x v="1"/>
    <x v="12"/>
    <x v="2"/>
    <x v="74"/>
    <x v="13"/>
    <x v="1"/>
    <x v="1"/>
  </r>
  <r>
    <x v="161"/>
    <x v="0"/>
    <x v="9"/>
    <x v="0"/>
    <x v="7"/>
    <x v="1"/>
    <x v="10"/>
    <x v="8"/>
    <x v="0"/>
    <x v="0"/>
  </r>
  <r>
    <x v="161"/>
    <x v="1"/>
    <x v="20"/>
    <x v="1"/>
    <x v="11"/>
    <x v="1"/>
    <x v="35"/>
    <x v="15"/>
    <x v="0"/>
    <x v="0"/>
  </r>
  <r>
    <x v="161"/>
    <x v="2"/>
    <x v="5"/>
    <x v="1"/>
    <x v="4"/>
    <x v="3"/>
    <x v="52"/>
    <x v="5"/>
    <x v="1"/>
    <x v="1"/>
  </r>
  <r>
    <x v="162"/>
    <x v="0"/>
    <x v="10"/>
    <x v="0"/>
    <x v="8"/>
    <x v="3"/>
    <x v="98"/>
    <x v="9"/>
    <x v="0"/>
    <x v="0"/>
  </r>
  <r>
    <x v="162"/>
    <x v="1"/>
    <x v="9"/>
    <x v="0"/>
    <x v="7"/>
    <x v="0"/>
    <x v="59"/>
    <x v="8"/>
    <x v="0"/>
    <x v="0"/>
  </r>
  <r>
    <x v="163"/>
    <x v="0"/>
    <x v="4"/>
    <x v="1"/>
    <x v="3"/>
    <x v="2"/>
    <x v="49"/>
    <x v="4"/>
    <x v="1"/>
    <x v="1"/>
  </r>
  <r>
    <x v="163"/>
    <x v="1"/>
    <x v="2"/>
    <x v="1"/>
    <x v="2"/>
    <x v="2"/>
    <x v="2"/>
    <x v="2"/>
    <x v="2"/>
    <x v="2"/>
  </r>
  <r>
    <x v="163"/>
    <x v="2"/>
    <x v="15"/>
    <x v="0"/>
    <x v="11"/>
    <x v="3"/>
    <x v="21"/>
    <x v="12"/>
    <x v="0"/>
    <x v="0"/>
  </r>
  <r>
    <x v="164"/>
    <x v="0"/>
    <x v="4"/>
    <x v="1"/>
    <x v="3"/>
    <x v="2"/>
    <x v="49"/>
    <x v="4"/>
    <x v="1"/>
    <x v="1"/>
  </r>
  <r>
    <x v="164"/>
    <x v="1"/>
    <x v="19"/>
    <x v="0"/>
    <x v="15"/>
    <x v="0"/>
    <x v="122"/>
    <x v="17"/>
    <x v="4"/>
    <x v="4"/>
  </r>
  <r>
    <x v="164"/>
    <x v="2"/>
    <x v="6"/>
    <x v="0"/>
    <x v="5"/>
    <x v="2"/>
    <x v="132"/>
    <x v="6"/>
    <x v="1"/>
    <x v="1"/>
  </r>
  <r>
    <x v="165"/>
    <x v="0"/>
    <x v="2"/>
    <x v="1"/>
    <x v="2"/>
    <x v="3"/>
    <x v="70"/>
    <x v="2"/>
    <x v="2"/>
    <x v="2"/>
  </r>
  <r>
    <x v="165"/>
    <x v="1"/>
    <x v="16"/>
    <x v="0"/>
    <x v="13"/>
    <x v="0"/>
    <x v="114"/>
    <x v="14"/>
    <x v="2"/>
    <x v="2"/>
  </r>
  <r>
    <x v="166"/>
    <x v="0"/>
    <x v="10"/>
    <x v="0"/>
    <x v="8"/>
    <x v="2"/>
    <x v="101"/>
    <x v="9"/>
    <x v="0"/>
    <x v="0"/>
  </r>
  <r>
    <x v="166"/>
    <x v="1"/>
    <x v="2"/>
    <x v="0"/>
    <x v="2"/>
    <x v="0"/>
    <x v="135"/>
    <x v="2"/>
    <x v="2"/>
    <x v="2"/>
  </r>
  <r>
    <x v="166"/>
    <x v="2"/>
    <x v="17"/>
    <x v="1"/>
    <x v="11"/>
    <x v="2"/>
    <x v="64"/>
    <x v="15"/>
    <x v="0"/>
    <x v="0"/>
  </r>
  <r>
    <x v="166"/>
    <x v="3"/>
    <x v="14"/>
    <x v="1"/>
    <x v="12"/>
    <x v="2"/>
    <x v="74"/>
    <x v="13"/>
    <x v="1"/>
    <x v="1"/>
  </r>
  <r>
    <x v="167"/>
    <x v="0"/>
    <x v="18"/>
    <x v="0"/>
    <x v="14"/>
    <x v="3"/>
    <x v="107"/>
    <x v="16"/>
    <x v="1"/>
    <x v="1"/>
  </r>
  <r>
    <x v="167"/>
    <x v="1"/>
    <x v="16"/>
    <x v="1"/>
    <x v="13"/>
    <x v="1"/>
    <x v="136"/>
    <x v="14"/>
    <x v="2"/>
    <x v="2"/>
  </r>
  <r>
    <x v="167"/>
    <x v="2"/>
    <x v="10"/>
    <x v="1"/>
    <x v="8"/>
    <x v="1"/>
    <x v="30"/>
    <x v="9"/>
    <x v="0"/>
    <x v="0"/>
  </r>
  <r>
    <x v="167"/>
    <x v="3"/>
    <x v="13"/>
    <x v="1"/>
    <x v="11"/>
    <x v="0"/>
    <x v="78"/>
    <x v="12"/>
    <x v="0"/>
    <x v="0"/>
  </r>
  <r>
    <x v="168"/>
    <x v="0"/>
    <x v="0"/>
    <x v="1"/>
    <x v="0"/>
    <x v="3"/>
    <x v="28"/>
    <x v="0"/>
    <x v="0"/>
    <x v="0"/>
  </r>
  <r>
    <x v="168"/>
    <x v="1"/>
    <x v="21"/>
    <x v="0"/>
    <x v="16"/>
    <x v="2"/>
    <x v="60"/>
    <x v="18"/>
    <x v="1"/>
    <x v="1"/>
  </r>
  <r>
    <x v="168"/>
    <x v="2"/>
    <x v="2"/>
    <x v="0"/>
    <x v="2"/>
    <x v="0"/>
    <x v="135"/>
    <x v="2"/>
    <x v="2"/>
    <x v="2"/>
  </r>
  <r>
    <x v="168"/>
    <x v="3"/>
    <x v="16"/>
    <x v="0"/>
    <x v="13"/>
    <x v="0"/>
    <x v="114"/>
    <x v="14"/>
    <x v="2"/>
    <x v="2"/>
  </r>
  <r>
    <x v="168"/>
    <x v="4"/>
    <x v="15"/>
    <x v="1"/>
    <x v="11"/>
    <x v="2"/>
    <x v="64"/>
    <x v="12"/>
    <x v="0"/>
    <x v="0"/>
  </r>
  <r>
    <x v="169"/>
    <x v="0"/>
    <x v="10"/>
    <x v="1"/>
    <x v="8"/>
    <x v="3"/>
    <x v="97"/>
    <x v="9"/>
    <x v="0"/>
    <x v="0"/>
  </r>
  <r>
    <x v="169"/>
    <x v="1"/>
    <x v="24"/>
    <x v="0"/>
    <x v="8"/>
    <x v="2"/>
    <x v="101"/>
    <x v="9"/>
    <x v="0"/>
    <x v="0"/>
  </r>
  <r>
    <x v="169"/>
    <x v="2"/>
    <x v="14"/>
    <x v="0"/>
    <x v="12"/>
    <x v="0"/>
    <x v="137"/>
    <x v="13"/>
    <x v="1"/>
    <x v="1"/>
  </r>
  <r>
    <x v="169"/>
    <x v="3"/>
    <x v="9"/>
    <x v="1"/>
    <x v="7"/>
    <x v="2"/>
    <x v="32"/>
    <x v="8"/>
    <x v="0"/>
    <x v="0"/>
  </r>
  <r>
    <x v="170"/>
    <x v="0"/>
    <x v="1"/>
    <x v="0"/>
    <x v="1"/>
    <x v="2"/>
    <x v="22"/>
    <x v="1"/>
    <x v="1"/>
    <x v="1"/>
  </r>
  <r>
    <x v="171"/>
    <x v="0"/>
    <x v="19"/>
    <x v="0"/>
    <x v="15"/>
    <x v="1"/>
    <x v="75"/>
    <x v="17"/>
    <x v="4"/>
    <x v="4"/>
  </r>
  <r>
    <x v="171"/>
    <x v="1"/>
    <x v="3"/>
    <x v="0"/>
    <x v="0"/>
    <x v="0"/>
    <x v="0"/>
    <x v="3"/>
    <x v="0"/>
    <x v="0"/>
  </r>
  <r>
    <x v="172"/>
    <x v="0"/>
    <x v="15"/>
    <x v="0"/>
    <x v="11"/>
    <x v="2"/>
    <x v="18"/>
    <x v="12"/>
    <x v="0"/>
    <x v="0"/>
  </r>
  <r>
    <x v="172"/>
    <x v="1"/>
    <x v="3"/>
    <x v="0"/>
    <x v="0"/>
    <x v="0"/>
    <x v="0"/>
    <x v="3"/>
    <x v="0"/>
    <x v="0"/>
  </r>
  <r>
    <x v="172"/>
    <x v="2"/>
    <x v="0"/>
    <x v="1"/>
    <x v="0"/>
    <x v="2"/>
    <x v="3"/>
    <x v="0"/>
    <x v="0"/>
    <x v="0"/>
  </r>
  <r>
    <x v="173"/>
    <x v="0"/>
    <x v="13"/>
    <x v="1"/>
    <x v="11"/>
    <x v="0"/>
    <x v="78"/>
    <x v="12"/>
    <x v="0"/>
    <x v="0"/>
  </r>
  <r>
    <x v="173"/>
    <x v="1"/>
    <x v="23"/>
    <x v="1"/>
    <x v="7"/>
    <x v="3"/>
    <x v="106"/>
    <x v="20"/>
    <x v="0"/>
    <x v="0"/>
  </r>
  <r>
    <x v="174"/>
    <x v="0"/>
    <x v="21"/>
    <x v="0"/>
    <x v="16"/>
    <x v="3"/>
    <x v="38"/>
    <x v="18"/>
    <x v="1"/>
    <x v="1"/>
  </r>
  <r>
    <x v="174"/>
    <x v="1"/>
    <x v="6"/>
    <x v="1"/>
    <x v="5"/>
    <x v="0"/>
    <x v="39"/>
    <x v="6"/>
    <x v="1"/>
    <x v="1"/>
  </r>
  <r>
    <x v="174"/>
    <x v="2"/>
    <x v="20"/>
    <x v="1"/>
    <x v="11"/>
    <x v="3"/>
    <x v="23"/>
    <x v="15"/>
    <x v="0"/>
    <x v="0"/>
  </r>
  <r>
    <x v="174"/>
    <x v="3"/>
    <x v="23"/>
    <x v="0"/>
    <x v="7"/>
    <x v="1"/>
    <x v="10"/>
    <x v="20"/>
    <x v="0"/>
    <x v="0"/>
  </r>
  <r>
    <x v="175"/>
    <x v="0"/>
    <x v="6"/>
    <x v="1"/>
    <x v="5"/>
    <x v="1"/>
    <x v="130"/>
    <x v="6"/>
    <x v="1"/>
    <x v="1"/>
  </r>
  <r>
    <x v="175"/>
    <x v="1"/>
    <x v="16"/>
    <x v="1"/>
    <x v="13"/>
    <x v="0"/>
    <x v="108"/>
    <x v="14"/>
    <x v="2"/>
    <x v="2"/>
  </r>
  <r>
    <x v="175"/>
    <x v="2"/>
    <x v="3"/>
    <x v="1"/>
    <x v="0"/>
    <x v="2"/>
    <x v="3"/>
    <x v="3"/>
    <x v="0"/>
    <x v="0"/>
  </r>
  <r>
    <x v="176"/>
    <x v="0"/>
    <x v="0"/>
    <x v="1"/>
    <x v="0"/>
    <x v="3"/>
    <x v="28"/>
    <x v="0"/>
    <x v="0"/>
    <x v="0"/>
  </r>
  <r>
    <x v="177"/>
    <x v="0"/>
    <x v="2"/>
    <x v="1"/>
    <x v="2"/>
    <x v="0"/>
    <x v="54"/>
    <x v="2"/>
    <x v="2"/>
    <x v="2"/>
  </r>
  <r>
    <x v="177"/>
    <x v="1"/>
    <x v="10"/>
    <x v="0"/>
    <x v="8"/>
    <x v="2"/>
    <x v="101"/>
    <x v="9"/>
    <x v="0"/>
    <x v="0"/>
  </r>
  <r>
    <x v="177"/>
    <x v="2"/>
    <x v="5"/>
    <x v="0"/>
    <x v="4"/>
    <x v="3"/>
    <x v="16"/>
    <x v="5"/>
    <x v="1"/>
    <x v="1"/>
  </r>
  <r>
    <x v="177"/>
    <x v="3"/>
    <x v="9"/>
    <x v="0"/>
    <x v="7"/>
    <x v="1"/>
    <x v="10"/>
    <x v="8"/>
    <x v="0"/>
    <x v="0"/>
  </r>
  <r>
    <x v="178"/>
    <x v="0"/>
    <x v="17"/>
    <x v="1"/>
    <x v="11"/>
    <x v="2"/>
    <x v="64"/>
    <x v="15"/>
    <x v="0"/>
    <x v="0"/>
  </r>
  <r>
    <x v="178"/>
    <x v="1"/>
    <x v="8"/>
    <x v="0"/>
    <x v="0"/>
    <x v="3"/>
    <x v="12"/>
    <x v="3"/>
    <x v="0"/>
    <x v="0"/>
  </r>
  <r>
    <x v="178"/>
    <x v="2"/>
    <x v="9"/>
    <x v="0"/>
    <x v="7"/>
    <x v="0"/>
    <x v="59"/>
    <x v="8"/>
    <x v="0"/>
    <x v="0"/>
  </r>
  <r>
    <x v="178"/>
    <x v="3"/>
    <x v="10"/>
    <x v="1"/>
    <x v="8"/>
    <x v="0"/>
    <x v="118"/>
    <x v="9"/>
    <x v="0"/>
    <x v="0"/>
  </r>
  <r>
    <x v="178"/>
    <x v="4"/>
    <x v="0"/>
    <x v="1"/>
    <x v="0"/>
    <x v="3"/>
    <x v="28"/>
    <x v="0"/>
    <x v="0"/>
    <x v="0"/>
  </r>
  <r>
    <x v="179"/>
    <x v="0"/>
    <x v="3"/>
    <x v="0"/>
    <x v="0"/>
    <x v="1"/>
    <x v="5"/>
    <x v="3"/>
    <x v="0"/>
    <x v="0"/>
  </r>
  <r>
    <x v="180"/>
    <x v="0"/>
    <x v="2"/>
    <x v="0"/>
    <x v="2"/>
    <x v="2"/>
    <x v="99"/>
    <x v="2"/>
    <x v="2"/>
    <x v="2"/>
  </r>
  <r>
    <x v="180"/>
    <x v="1"/>
    <x v="16"/>
    <x v="0"/>
    <x v="13"/>
    <x v="3"/>
    <x v="86"/>
    <x v="14"/>
    <x v="2"/>
    <x v="2"/>
  </r>
  <r>
    <x v="180"/>
    <x v="2"/>
    <x v="12"/>
    <x v="1"/>
    <x v="10"/>
    <x v="0"/>
    <x v="48"/>
    <x v="11"/>
    <x v="0"/>
    <x v="0"/>
  </r>
  <r>
    <x v="180"/>
    <x v="3"/>
    <x v="24"/>
    <x v="1"/>
    <x v="8"/>
    <x v="2"/>
    <x v="11"/>
    <x v="9"/>
    <x v="0"/>
    <x v="0"/>
  </r>
  <r>
    <x v="181"/>
    <x v="0"/>
    <x v="22"/>
    <x v="1"/>
    <x v="17"/>
    <x v="2"/>
    <x v="41"/>
    <x v="19"/>
    <x v="5"/>
    <x v="5"/>
  </r>
  <r>
    <x v="181"/>
    <x v="1"/>
    <x v="24"/>
    <x v="1"/>
    <x v="8"/>
    <x v="1"/>
    <x v="30"/>
    <x v="9"/>
    <x v="0"/>
    <x v="0"/>
  </r>
  <r>
    <x v="182"/>
    <x v="0"/>
    <x v="16"/>
    <x v="1"/>
    <x v="13"/>
    <x v="0"/>
    <x v="108"/>
    <x v="14"/>
    <x v="2"/>
    <x v="2"/>
  </r>
  <r>
    <x v="182"/>
    <x v="1"/>
    <x v="10"/>
    <x v="1"/>
    <x v="8"/>
    <x v="2"/>
    <x v="11"/>
    <x v="9"/>
    <x v="0"/>
    <x v="0"/>
  </r>
  <r>
    <x v="182"/>
    <x v="2"/>
    <x v="23"/>
    <x v="0"/>
    <x v="7"/>
    <x v="1"/>
    <x v="10"/>
    <x v="20"/>
    <x v="0"/>
    <x v="0"/>
  </r>
  <r>
    <x v="182"/>
    <x v="3"/>
    <x v="7"/>
    <x v="0"/>
    <x v="6"/>
    <x v="1"/>
    <x v="9"/>
    <x v="7"/>
    <x v="0"/>
    <x v="0"/>
  </r>
  <r>
    <x v="183"/>
    <x v="0"/>
    <x v="4"/>
    <x v="0"/>
    <x v="3"/>
    <x v="0"/>
    <x v="4"/>
    <x v="4"/>
    <x v="1"/>
    <x v="1"/>
  </r>
  <r>
    <x v="183"/>
    <x v="1"/>
    <x v="21"/>
    <x v="0"/>
    <x v="16"/>
    <x v="3"/>
    <x v="38"/>
    <x v="18"/>
    <x v="1"/>
    <x v="1"/>
  </r>
  <r>
    <x v="183"/>
    <x v="2"/>
    <x v="15"/>
    <x v="0"/>
    <x v="11"/>
    <x v="3"/>
    <x v="21"/>
    <x v="12"/>
    <x v="0"/>
    <x v="0"/>
  </r>
  <r>
    <x v="184"/>
    <x v="0"/>
    <x v="0"/>
    <x v="0"/>
    <x v="0"/>
    <x v="3"/>
    <x v="12"/>
    <x v="0"/>
    <x v="0"/>
    <x v="0"/>
  </r>
  <r>
    <x v="184"/>
    <x v="1"/>
    <x v="1"/>
    <x v="0"/>
    <x v="1"/>
    <x v="2"/>
    <x v="22"/>
    <x v="1"/>
    <x v="1"/>
    <x v="1"/>
  </r>
  <r>
    <x v="185"/>
    <x v="0"/>
    <x v="4"/>
    <x v="0"/>
    <x v="3"/>
    <x v="3"/>
    <x v="66"/>
    <x v="4"/>
    <x v="1"/>
    <x v="1"/>
  </r>
  <r>
    <x v="185"/>
    <x v="1"/>
    <x v="18"/>
    <x v="0"/>
    <x v="14"/>
    <x v="3"/>
    <x v="107"/>
    <x v="16"/>
    <x v="1"/>
    <x v="1"/>
  </r>
  <r>
    <x v="186"/>
    <x v="0"/>
    <x v="21"/>
    <x v="0"/>
    <x v="16"/>
    <x v="2"/>
    <x v="60"/>
    <x v="18"/>
    <x v="1"/>
    <x v="1"/>
  </r>
  <r>
    <x v="187"/>
    <x v="0"/>
    <x v="14"/>
    <x v="1"/>
    <x v="12"/>
    <x v="1"/>
    <x v="102"/>
    <x v="13"/>
    <x v="1"/>
    <x v="1"/>
  </r>
  <r>
    <x v="188"/>
    <x v="0"/>
    <x v="3"/>
    <x v="1"/>
    <x v="0"/>
    <x v="0"/>
    <x v="24"/>
    <x v="3"/>
    <x v="0"/>
    <x v="0"/>
  </r>
  <r>
    <x v="189"/>
    <x v="0"/>
    <x v="24"/>
    <x v="0"/>
    <x v="8"/>
    <x v="2"/>
    <x v="101"/>
    <x v="9"/>
    <x v="0"/>
    <x v="0"/>
  </r>
  <r>
    <x v="189"/>
    <x v="1"/>
    <x v="12"/>
    <x v="0"/>
    <x v="10"/>
    <x v="0"/>
    <x v="103"/>
    <x v="11"/>
    <x v="0"/>
    <x v="0"/>
  </r>
  <r>
    <x v="189"/>
    <x v="2"/>
    <x v="5"/>
    <x v="1"/>
    <x v="4"/>
    <x v="0"/>
    <x v="73"/>
    <x v="5"/>
    <x v="1"/>
    <x v="1"/>
  </r>
  <r>
    <x v="190"/>
    <x v="0"/>
    <x v="22"/>
    <x v="0"/>
    <x v="17"/>
    <x v="2"/>
    <x v="111"/>
    <x v="19"/>
    <x v="5"/>
    <x v="5"/>
  </r>
  <r>
    <x v="190"/>
    <x v="1"/>
    <x v="10"/>
    <x v="1"/>
    <x v="8"/>
    <x v="0"/>
    <x v="118"/>
    <x v="9"/>
    <x v="0"/>
    <x v="0"/>
  </r>
  <r>
    <x v="190"/>
    <x v="2"/>
    <x v="5"/>
    <x v="0"/>
    <x v="4"/>
    <x v="1"/>
    <x v="133"/>
    <x v="5"/>
    <x v="1"/>
    <x v="1"/>
  </r>
  <r>
    <x v="190"/>
    <x v="3"/>
    <x v="1"/>
    <x v="1"/>
    <x v="1"/>
    <x v="2"/>
    <x v="134"/>
    <x v="1"/>
    <x v="1"/>
    <x v="1"/>
  </r>
  <r>
    <x v="190"/>
    <x v="4"/>
    <x v="19"/>
    <x v="0"/>
    <x v="15"/>
    <x v="2"/>
    <x v="115"/>
    <x v="17"/>
    <x v="4"/>
    <x v="4"/>
  </r>
  <r>
    <x v="191"/>
    <x v="0"/>
    <x v="1"/>
    <x v="1"/>
    <x v="1"/>
    <x v="3"/>
    <x v="96"/>
    <x v="1"/>
    <x v="1"/>
    <x v="1"/>
  </r>
  <r>
    <x v="191"/>
    <x v="1"/>
    <x v="22"/>
    <x v="0"/>
    <x v="17"/>
    <x v="1"/>
    <x v="88"/>
    <x v="19"/>
    <x v="5"/>
    <x v="5"/>
  </r>
  <r>
    <x v="191"/>
    <x v="2"/>
    <x v="6"/>
    <x v="0"/>
    <x v="5"/>
    <x v="2"/>
    <x v="132"/>
    <x v="6"/>
    <x v="1"/>
    <x v="1"/>
  </r>
  <r>
    <x v="191"/>
    <x v="3"/>
    <x v="24"/>
    <x v="1"/>
    <x v="8"/>
    <x v="1"/>
    <x v="30"/>
    <x v="9"/>
    <x v="0"/>
    <x v="0"/>
  </r>
  <r>
    <x v="191"/>
    <x v="4"/>
    <x v="2"/>
    <x v="1"/>
    <x v="2"/>
    <x v="0"/>
    <x v="54"/>
    <x v="2"/>
    <x v="2"/>
    <x v="2"/>
  </r>
  <r>
    <x v="192"/>
    <x v="0"/>
    <x v="10"/>
    <x v="1"/>
    <x v="8"/>
    <x v="3"/>
    <x v="97"/>
    <x v="9"/>
    <x v="0"/>
    <x v="0"/>
  </r>
  <r>
    <x v="193"/>
    <x v="0"/>
    <x v="20"/>
    <x v="1"/>
    <x v="11"/>
    <x v="0"/>
    <x v="78"/>
    <x v="15"/>
    <x v="0"/>
    <x v="0"/>
  </r>
  <r>
    <x v="194"/>
    <x v="0"/>
    <x v="9"/>
    <x v="0"/>
    <x v="7"/>
    <x v="0"/>
    <x v="59"/>
    <x v="8"/>
    <x v="0"/>
    <x v="0"/>
  </r>
  <r>
    <x v="194"/>
    <x v="1"/>
    <x v="15"/>
    <x v="0"/>
    <x v="11"/>
    <x v="2"/>
    <x v="18"/>
    <x v="12"/>
    <x v="0"/>
    <x v="0"/>
  </r>
  <r>
    <x v="194"/>
    <x v="2"/>
    <x v="21"/>
    <x v="1"/>
    <x v="16"/>
    <x v="0"/>
    <x v="95"/>
    <x v="18"/>
    <x v="1"/>
    <x v="1"/>
  </r>
  <r>
    <x v="194"/>
    <x v="3"/>
    <x v="4"/>
    <x v="1"/>
    <x v="3"/>
    <x v="0"/>
    <x v="84"/>
    <x v="4"/>
    <x v="1"/>
    <x v="1"/>
  </r>
  <r>
    <x v="194"/>
    <x v="4"/>
    <x v="20"/>
    <x v="1"/>
    <x v="11"/>
    <x v="3"/>
    <x v="23"/>
    <x v="15"/>
    <x v="0"/>
    <x v="0"/>
  </r>
  <r>
    <x v="195"/>
    <x v="0"/>
    <x v="18"/>
    <x v="0"/>
    <x v="14"/>
    <x v="2"/>
    <x v="62"/>
    <x v="16"/>
    <x v="1"/>
    <x v="1"/>
  </r>
  <r>
    <x v="195"/>
    <x v="1"/>
    <x v="5"/>
    <x v="1"/>
    <x v="4"/>
    <x v="1"/>
    <x v="13"/>
    <x v="5"/>
    <x v="1"/>
    <x v="1"/>
  </r>
  <r>
    <x v="195"/>
    <x v="2"/>
    <x v="2"/>
    <x v="1"/>
    <x v="2"/>
    <x v="1"/>
    <x v="46"/>
    <x v="2"/>
    <x v="2"/>
    <x v="2"/>
  </r>
  <r>
    <x v="195"/>
    <x v="3"/>
    <x v="10"/>
    <x v="0"/>
    <x v="8"/>
    <x v="1"/>
    <x v="77"/>
    <x v="9"/>
    <x v="0"/>
    <x v="0"/>
  </r>
  <r>
    <x v="195"/>
    <x v="4"/>
    <x v="0"/>
    <x v="0"/>
    <x v="0"/>
    <x v="3"/>
    <x v="12"/>
    <x v="0"/>
    <x v="0"/>
    <x v="0"/>
  </r>
  <r>
    <x v="196"/>
    <x v="0"/>
    <x v="4"/>
    <x v="1"/>
    <x v="3"/>
    <x v="0"/>
    <x v="84"/>
    <x v="4"/>
    <x v="1"/>
    <x v="1"/>
  </r>
  <r>
    <x v="196"/>
    <x v="1"/>
    <x v="6"/>
    <x v="1"/>
    <x v="5"/>
    <x v="1"/>
    <x v="130"/>
    <x v="6"/>
    <x v="1"/>
    <x v="1"/>
  </r>
  <r>
    <x v="197"/>
    <x v="0"/>
    <x v="18"/>
    <x v="1"/>
    <x v="14"/>
    <x v="2"/>
    <x v="124"/>
    <x v="16"/>
    <x v="1"/>
    <x v="1"/>
  </r>
  <r>
    <x v="197"/>
    <x v="1"/>
    <x v="0"/>
    <x v="1"/>
    <x v="0"/>
    <x v="1"/>
    <x v="19"/>
    <x v="0"/>
    <x v="0"/>
    <x v="0"/>
  </r>
  <r>
    <x v="197"/>
    <x v="2"/>
    <x v="1"/>
    <x v="1"/>
    <x v="1"/>
    <x v="0"/>
    <x v="82"/>
    <x v="1"/>
    <x v="1"/>
    <x v="1"/>
  </r>
  <r>
    <x v="197"/>
    <x v="3"/>
    <x v="17"/>
    <x v="1"/>
    <x v="11"/>
    <x v="2"/>
    <x v="64"/>
    <x v="15"/>
    <x v="0"/>
    <x v="0"/>
  </r>
  <r>
    <x v="197"/>
    <x v="4"/>
    <x v="7"/>
    <x v="0"/>
    <x v="6"/>
    <x v="2"/>
    <x v="113"/>
    <x v="7"/>
    <x v="0"/>
    <x v="0"/>
  </r>
  <r>
    <x v="198"/>
    <x v="0"/>
    <x v="22"/>
    <x v="1"/>
    <x v="17"/>
    <x v="2"/>
    <x v="41"/>
    <x v="19"/>
    <x v="5"/>
    <x v="5"/>
  </r>
  <r>
    <x v="198"/>
    <x v="1"/>
    <x v="9"/>
    <x v="1"/>
    <x v="7"/>
    <x v="1"/>
    <x v="53"/>
    <x v="8"/>
    <x v="0"/>
    <x v="0"/>
  </r>
  <r>
    <x v="198"/>
    <x v="2"/>
    <x v="4"/>
    <x v="0"/>
    <x v="3"/>
    <x v="0"/>
    <x v="4"/>
    <x v="4"/>
    <x v="1"/>
    <x v="1"/>
  </r>
  <r>
    <x v="199"/>
    <x v="0"/>
    <x v="19"/>
    <x v="1"/>
    <x v="15"/>
    <x v="2"/>
    <x v="89"/>
    <x v="17"/>
    <x v="4"/>
    <x v="4"/>
  </r>
  <r>
    <x v="199"/>
    <x v="1"/>
    <x v="13"/>
    <x v="1"/>
    <x v="11"/>
    <x v="1"/>
    <x v="35"/>
    <x v="12"/>
    <x v="0"/>
    <x v="0"/>
  </r>
  <r>
    <x v="200"/>
    <x v="0"/>
    <x v="24"/>
    <x v="0"/>
    <x v="8"/>
    <x v="2"/>
    <x v="101"/>
    <x v="9"/>
    <x v="0"/>
    <x v="0"/>
  </r>
  <r>
    <x v="200"/>
    <x v="1"/>
    <x v="14"/>
    <x v="0"/>
    <x v="12"/>
    <x v="0"/>
    <x v="137"/>
    <x v="13"/>
    <x v="1"/>
    <x v="1"/>
  </r>
  <r>
    <x v="200"/>
    <x v="2"/>
    <x v="15"/>
    <x v="1"/>
    <x v="11"/>
    <x v="3"/>
    <x v="23"/>
    <x v="12"/>
    <x v="0"/>
    <x v="0"/>
  </r>
  <r>
    <x v="200"/>
    <x v="3"/>
    <x v="7"/>
    <x v="0"/>
    <x v="6"/>
    <x v="2"/>
    <x v="113"/>
    <x v="7"/>
    <x v="0"/>
    <x v="0"/>
  </r>
  <r>
    <x v="201"/>
    <x v="0"/>
    <x v="1"/>
    <x v="0"/>
    <x v="1"/>
    <x v="1"/>
    <x v="31"/>
    <x v="1"/>
    <x v="1"/>
    <x v="1"/>
  </r>
  <r>
    <x v="201"/>
    <x v="1"/>
    <x v="7"/>
    <x v="0"/>
    <x v="6"/>
    <x v="2"/>
    <x v="113"/>
    <x v="7"/>
    <x v="0"/>
    <x v="0"/>
  </r>
  <r>
    <x v="201"/>
    <x v="2"/>
    <x v="12"/>
    <x v="1"/>
    <x v="10"/>
    <x v="2"/>
    <x v="94"/>
    <x v="11"/>
    <x v="0"/>
    <x v="0"/>
  </r>
  <r>
    <x v="201"/>
    <x v="3"/>
    <x v="22"/>
    <x v="1"/>
    <x v="17"/>
    <x v="2"/>
    <x v="41"/>
    <x v="19"/>
    <x v="5"/>
    <x v="5"/>
  </r>
  <r>
    <x v="202"/>
    <x v="0"/>
    <x v="8"/>
    <x v="0"/>
    <x v="0"/>
    <x v="2"/>
    <x v="7"/>
    <x v="3"/>
    <x v="0"/>
    <x v="0"/>
  </r>
  <r>
    <x v="202"/>
    <x v="1"/>
    <x v="5"/>
    <x v="1"/>
    <x v="4"/>
    <x v="3"/>
    <x v="52"/>
    <x v="5"/>
    <x v="1"/>
    <x v="1"/>
  </r>
  <r>
    <x v="202"/>
    <x v="2"/>
    <x v="7"/>
    <x v="1"/>
    <x v="6"/>
    <x v="0"/>
    <x v="71"/>
    <x v="7"/>
    <x v="0"/>
    <x v="0"/>
  </r>
  <r>
    <x v="202"/>
    <x v="3"/>
    <x v="23"/>
    <x v="1"/>
    <x v="7"/>
    <x v="1"/>
    <x v="53"/>
    <x v="20"/>
    <x v="0"/>
    <x v="0"/>
  </r>
  <r>
    <x v="203"/>
    <x v="0"/>
    <x v="18"/>
    <x v="1"/>
    <x v="14"/>
    <x v="1"/>
    <x v="138"/>
    <x v="16"/>
    <x v="1"/>
    <x v="1"/>
  </r>
  <r>
    <x v="203"/>
    <x v="1"/>
    <x v="7"/>
    <x v="1"/>
    <x v="6"/>
    <x v="3"/>
    <x v="17"/>
    <x v="7"/>
    <x v="0"/>
    <x v="0"/>
  </r>
  <r>
    <x v="204"/>
    <x v="0"/>
    <x v="13"/>
    <x v="1"/>
    <x v="11"/>
    <x v="2"/>
    <x v="64"/>
    <x v="12"/>
    <x v="0"/>
    <x v="0"/>
  </r>
  <r>
    <x v="204"/>
    <x v="1"/>
    <x v="24"/>
    <x v="1"/>
    <x v="8"/>
    <x v="3"/>
    <x v="97"/>
    <x v="9"/>
    <x v="0"/>
    <x v="0"/>
  </r>
  <r>
    <x v="205"/>
    <x v="0"/>
    <x v="22"/>
    <x v="0"/>
    <x v="17"/>
    <x v="2"/>
    <x v="111"/>
    <x v="19"/>
    <x v="5"/>
    <x v="5"/>
  </r>
  <r>
    <x v="205"/>
    <x v="1"/>
    <x v="0"/>
    <x v="0"/>
    <x v="0"/>
    <x v="0"/>
    <x v="0"/>
    <x v="0"/>
    <x v="0"/>
    <x v="0"/>
  </r>
  <r>
    <x v="206"/>
    <x v="0"/>
    <x v="10"/>
    <x v="1"/>
    <x v="8"/>
    <x v="0"/>
    <x v="118"/>
    <x v="9"/>
    <x v="0"/>
    <x v="0"/>
  </r>
  <r>
    <x v="206"/>
    <x v="1"/>
    <x v="21"/>
    <x v="0"/>
    <x v="16"/>
    <x v="2"/>
    <x v="60"/>
    <x v="18"/>
    <x v="1"/>
    <x v="1"/>
  </r>
  <r>
    <x v="206"/>
    <x v="2"/>
    <x v="16"/>
    <x v="1"/>
    <x v="13"/>
    <x v="1"/>
    <x v="136"/>
    <x v="14"/>
    <x v="2"/>
    <x v="2"/>
  </r>
  <r>
    <x v="206"/>
    <x v="3"/>
    <x v="14"/>
    <x v="1"/>
    <x v="12"/>
    <x v="3"/>
    <x v="20"/>
    <x v="13"/>
    <x v="1"/>
    <x v="1"/>
  </r>
  <r>
    <x v="207"/>
    <x v="0"/>
    <x v="18"/>
    <x v="1"/>
    <x v="14"/>
    <x v="2"/>
    <x v="124"/>
    <x v="16"/>
    <x v="1"/>
    <x v="1"/>
  </r>
  <r>
    <x v="207"/>
    <x v="1"/>
    <x v="4"/>
    <x v="1"/>
    <x v="3"/>
    <x v="1"/>
    <x v="127"/>
    <x v="4"/>
    <x v="1"/>
    <x v="1"/>
  </r>
  <r>
    <x v="207"/>
    <x v="2"/>
    <x v="5"/>
    <x v="0"/>
    <x v="4"/>
    <x v="2"/>
    <x v="6"/>
    <x v="5"/>
    <x v="1"/>
    <x v="1"/>
  </r>
  <r>
    <x v="207"/>
    <x v="3"/>
    <x v="10"/>
    <x v="0"/>
    <x v="8"/>
    <x v="0"/>
    <x v="57"/>
    <x v="9"/>
    <x v="0"/>
    <x v="0"/>
  </r>
  <r>
    <x v="207"/>
    <x v="4"/>
    <x v="2"/>
    <x v="1"/>
    <x v="2"/>
    <x v="2"/>
    <x v="2"/>
    <x v="2"/>
    <x v="2"/>
    <x v="2"/>
  </r>
  <r>
    <x v="208"/>
    <x v="0"/>
    <x v="17"/>
    <x v="0"/>
    <x v="11"/>
    <x v="3"/>
    <x v="21"/>
    <x v="15"/>
    <x v="0"/>
    <x v="0"/>
  </r>
  <r>
    <x v="209"/>
    <x v="0"/>
    <x v="15"/>
    <x v="0"/>
    <x v="11"/>
    <x v="1"/>
    <x v="36"/>
    <x v="12"/>
    <x v="0"/>
    <x v="0"/>
  </r>
  <r>
    <x v="209"/>
    <x v="1"/>
    <x v="17"/>
    <x v="1"/>
    <x v="11"/>
    <x v="0"/>
    <x v="78"/>
    <x v="15"/>
    <x v="0"/>
    <x v="0"/>
  </r>
  <r>
    <x v="210"/>
    <x v="0"/>
    <x v="2"/>
    <x v="0"/>
    <x v="2"/>
    <x v="1"/>
    <x v="43"/>
    <x v="2"/>
    <x v="2"/>
    <x v="2"/>
  </r>
  <r>
    <x v="210"/>
    <x v="1"/>
    <x v="6"/>
    <x v="1"/>
    <x v="5"/>
    <x v="1"/>
    <x v="130"/>
    <x v="6"/>
    <x v="1"/>
    <x v="1"/>
  </r>
  <r>
    <x v="211"/>
    <x v="0"/>
    <x v="3"/>
    <x v="1"/>
    <x v="0"/>
    <x v="1"/>
    <x v="19"/>
    <x v="3"/>
    <x v="0"/>
    <x v="0"/>
  </r>
  <r>
    <x v="211"/>
    <x v="1"/>
    <x v="10"/>
    <x v="1"/>
    <x v="8"/>
    <x v="0"/>
    <x v="118"/>
    <x v="9"/>
    <x v="0"/>
    <x v="0"/>
  </r>
  <r>
    <x v="211"/>
    <x v="2"/>
    <x v="23"/>
    <x v="0"/>
    <x v="7"/>
    <x v="3"/>
    <x v="65"/>
    <x v="20"/>
    <x v="0"/>
    <x v="0"/>
  </r>
  <r>
    <x v="211"/>
    <x v="3"/>
    <x v="14"/>
    <x v="0"/>
    <x v="12"/>
    <x v="0"/>
    <x v="137"/>
    <x v="13"/>
    <x v="1"/>
    <x v="1"/>
  </r>
  <r>
    <x v="212"/>
    <x v="0"/>
    <x v="17"/>
    <x v="0"/>
    <x v="11"/>
    <x v="3"/>
    <x v="21"/>
    <x v="15"/>
    <x v="0"/>
    <x v="0"/>
  </r>
  <r>
    <x v="213"/>
    <x v="0"/>
    <x v="20"/>
    <x v="0"/>
    <x v="11"/>
    <x v="3"/>
    <x v="21"/>
    <x v="15"/>
    <x v="0"/>
    <x v="0"/>
  </r>
  <r>
    <x v="214"/>
    <x v="0"/>
    <x v="23"/>
    <x v="0"/>
    <x v="7"/>
    <x v="1"/>
    <x v="10"/>
    <x v="20"/>
    <x v="0"/>
    <x v="0"/>
  </r>
  <r>
    <x v="214"/>
    <x v="1"/>
    <x v="10"/>
    <x v="1"/>
    <x v="8"/>
    <x v="3"/>
    <x v="97"/>
    <x v="9"/>
    <x v="0"/>
    <x v="0"/>
  </r>
  <r>
    <x v="215"/>
    <x v="0"/>
    <x v="13"/>
    <x v="1"/>
    <x v="11"/>
    <x v="3"/>
    <x v="23"/>
    <x v="12"/>
    <x v="0"/>
    <x v="0"/>
  </r>
  <r>
    <x v="215"/>
    <x v="1"/>
    <x v="3"/>
    <x v="1"/>
    <x v="0"/>
    <x v="2"/>
    <x v="3"/>
    <x v="3"/>
    <x v="0"/>
    <x v="0"/>
  </r>
  <r>
    <x v="216"/>
    <x v="0"/>
    <x v="9"/>
    <x v="0"/>
    <x v="7"/>
    <x v="3"/>
    <x v="65"/>
    <x v="8"/>
    <x v="0"/>
    <x v="0"/>
  </r>
  <r>
    <x v="216"/>
    <x v="1"/>
    <x v="2"/>
    <x v="1"/>
    <x v="2"/>
    <x v="3"/>
    <x v="70"/>
    <x v="2"/>
    <x v="2"/>
    <x v="2"/>
  </r>
  <r>
    <x v="216"/>
    <x v="2"/>
    <x v="7"/>
    <x v="0"/>
    <x v="6"/>
    <x v="1"/>
    <x v="9"/>
    <x v="7"/>
    <x v="0"/>
    <x v="0"/>
  </r>
  <r>
    <x v="217"/>
    <x v="0"/>
    <x v="6"/>
    <x v="1"/>
    <x v="5"/>
    <x v="3"/>
    <x v="8"/>
    <x v="6"/>
    <x v="1"/>
    <x v="1"/>
  </r>
  <r>
    <x v="217"/>
    <x v="1"/>
    <x v="17"/>
    <x v="0"/>
    <x v="11"/>
    <x v="1"/>
    <x v="36"/>
    <x v="15"/>
    <x v="0"/>
    <x v="0"/>
  </r>
  <r>
    <x v="217"/>
    <x v="2"/>
    <x v="10"/>
    <x v="0"/>
    <x v="8"/>
    <x v="2"/>
    <x v="101"/>
    <x v="9"/>
    <x v="0"/>
    <x v="0"/>
  </r>
  <r>
    <x v="218"/>
    <x v="0"/>
    <x v="8"/>
    <x v="0"/>
    <x v="0"/>
    <x v="2"/>
    <x v="7"/>
    <x v="3"/>
    <x v="0"/>
    <x v="0"/>
  </r>
  <r>
    <x v="218"/>
    <x v="1"/>
    <x v="21"/>
    <x v="0"/>
    <x v="16"/>
    <x v="0"/>
    <x v="58"/>
    <x v="18"/>
    <x v="1"/>
    <x v="1"/>
  </r>
  <r>
    <x v="219"/>
    <x v="0"/>
    <x v="18"/>
    <x v="1"/>
    <x v="14"/>
    <x v="2"/>
    <x v="124"/>
    <x v="16"/>
    <x v="1"/>
    <x v="1"/>
  </r>
  <r>
    <x v="219"/>
    <x v="1"/>
    <x v="22"/>
    <x v="0"/>
    <x v="17"/>
    <x v="1"/>
    <x v="88"/>
    <x v="19"/>
    <x v="5"/>
    <x v="5"/>
  </r>
  <r>
    <x v="219"/>
    <x v="2"/>
    <x v="13"/>
    <x v="1"/>
    <x v="11"/>
    <x v="3"/>
    <x v="23"/>
    <x v="12"/>
    <x v="0"/>
    <x v="0"/>
  </r>
  <r>
    <x v="219"/>
    <x v="3"/>
    <x v="5"/>
    <x v="1"/>
    <x v="4"/>
    <x v="0"/>
    <x v="73"/>
    <x v="5"/>
    <x v="1"/>
    <x v="1"/>
  </r>
  <r>
    <x v="220"/>
    <x v="0"/>
    <x v="16"/>
    <x v="1"/>
    <x v="13"/>
    <x v="1"/>
    <x v="136"/>
    <x v="14"/>
    <x v="2"/>
    <x v="2"/>
  </r>
  <r>
    <x v="221"/>
    <x v="0"/>
    <x v="2"/>
    <x v="0"/>
    <x v="2"/>
    <x v="3"/>
    <x v="139"/>
    <x v="2"/>
    <x v="2"/>
    <x v="2"/>
  </r>
  <r>
    <x v="221"/>
    <x v="1"/>
    <x v="6"/>
    <x v="1"/>
    <x v="5"/>
    <x v="3"/>
    <x v="8"/>
    <x v="6"/>
    <x v="1"/>
    <x v="1"/>
  </r>
  <r>
    <x v="222"/>
    <x v="0"/>
    <x v="14"/>
    <x v="1"/>
    <x v="12"/>
    <x v="2"/>
    <x v="74"/>
    <x v="13"/>
    <x v="1"/>
    <x v="1"/>
  </r>
  <r>
    <x v="222"/>
    <x v="1"/>
    <x v="21"/>
    <x v="0"/>
    <x v="16"/>
    <x v="0"/>
    <x v="58"/>
    <x v="18"/>
    <x v="1"/>
    <x v="1"/>
  </r>
  <r>
    <x v="222"/>
    <x v="2"/>
    <x v="20"/>
    <x v="1"/>
    <x v="11"/>
    <x v="3"/>
    <x v="23"/>
    <x v="15"/>
    <x v="0"/>
    <x v="0"/>
  </r>
  <r>
    <x v="222"/>
    <x v="3"/>
    <x v="0"/>
    <x v="0"/>
    <x v="0"/>
    <x v="2"/>
    <x v="7"/>
    <x v="0"/>
    <x v="0"/>
    <x v="0"/>
  </r>
  <r>
    <x v="222"/>
    <x v="4"/>
    <x v="12"/>
    <x v="0"/>
    <x v="10"/>
    <x v="2"/>
    <x v="119"/>
    <x v="11"/>
    <x v="0"/>
    <x v="0"/>
  </r>
  <r>
    <x v="223"/>
    <x v="0"/>
    <x v="18"/>
    <x v="0"/>
    <x v="14"/>
    <x v="1"/>
    <x v="29"/>
    <x v="16"/>
    <x v="1"/>
    <x v="1"/>
  </r>
  <r>
    <x v="223"/>
    <x v="1"/>
    <x v="16"/>
    <x v="1"/>
    <x v="13"/>
    <x v="3"/>
    <x v="104"/>
    <x v="14"/>
    <x v="2"/>
    <x v="2"/>
  </r>
  <r>
    <x v="223"/>
    <x v="2"/>
    <x v="2"/>
    <x v="1"/>
    <x v="2"/>
    <x v="0"/>
    <x v="54"/>
    <x v="2"/>
    <x v="2"/>
    <x v="2"/>
  </r>
  <r>
    <x v="223"/>
    <x v="3"/>
    <x v="22"/>
    <x v="0"/>
    <x v="17"/>
    <x v="2"/>
    <x v="111"/>
    <x v="19"/>
    <x v="5"/>
    <x v="5"/>
  </r>
  <r>
    <x v="224"/>
    <x v="0"/>
    <x v="20"/>
    <x v="0"/>
    <x v="11"/>
    <x v="3"/>
    <x v="21"/>
    <x v="15"/>
    <x v="0"/>
    <x v="0"/>
  </r>
  <r>
    <x v="224"/>
    <x v="1"/>
    <x v="11"/>
    <x v="0"/>
    <x v="9"/>
    <x v="3"/>
    <x v="128"/>
    <x v="10"/>
    <x v="3"/>
    <x v="3"/>
  </r>
  <r>
    <x v="225"/>
    <x v="0"/>
    <x v="6"/>
    <x v="0"/>
    <x v="5"/>
    <x v="2"/>
    <x v="132"/>
    <x v="6"/>
    <x v="1"/>
    <x v="1"/>
  </r>
  <r>
    <x v="226"/>
    <x v="0"/>
    <x v="5"/>
    <x v="1"/>
    <x v="4"/>
    <x v="2"/>
    <x v="79"/>
    <x v="5"/>
    <x v="1"/>
    <x v="1"/>
  </r>
  <r>
    <x v="226"/>
    <x v="1"/>
    <x v="12"/>
    <x v="1"/>
    <x v="10"/>
    <x v="3"/>
    <x v="120"/>
    <x v="11"/>
    <x v="0"/>
    <x v="0"/>
  </r>
  <r>
    <x v="227"/>
    <x v="0"/>
    <x v="22"/>
    <x v="0"/>
    <x v="17"/>
    <x v="0"/>
    <x v="76"/>
    <x v="19"/>
    <x v="5"/>
    <x v="5"/>
  </r>
  <r>
    <x v="227"/>
    <x v="1"/>
    <x v="6"/>
    <x v="1"/>
    <x v="5"/>
    <x v="1"/>
    <x v="130"/>
    <x v="6"/>
    <x v="1"/>
    <x v="1"/>
  </r>
  <r>
    <x v="227"/>
    <x v="2"/>
    <x v="19"/>
    <x v="1"/>
    <x v="15"/>
    <x v="3"/>
    <x v="50"/>
    <x v="17"/>
    <x v="4"/>
    <x v="4"/>
  </r>
  <r>
    <x v="227"/>
    <x v="3"/>
    <x v="4"/>
    <x v="0"/>
    <x v="3"/>
    <x v="0"/>
    <x v="4"/>
    <x v="4"/>
    <x v="1"/>
    <x v="1"/>
  </r>
  <r>
    <x v="227"/>
    <x v="4"/>
    <x v="13"/>
    <x v="0"/>
    <x v="11"/>
    <x v="2"/>
    <x v="18"/>
    <x v="12"/>
    <x v="0"/>
    <x v="0"/>
  </r>
  <r>
    <x v="228"/>
    <x v="0"/>
    <x v="22"/>
    <x v="1"/>
    <x v="17"/>
    <x v="0"/>
    <x v="91"/>
    <x v="19"/>
    <x v="5"/>
    <x v="5"/>
  </r>
  <r>
    <x v="228"/>
    <x v="1"/>
    <x v="21"/>
    <x v="1"/>
    <x v="16"/>
    <x v="3"/>
    <x v="87"/>
    <x v="18"/>
    <x v="1"/>
    <x v="1"/>
  </r>
  <r>
    <x v="228"/>
    <x v="2"/>
    <x v="1"/>
    <x v="0"/>
    <x v="1"/>
    <x v="0"/>
    <x v="34"/>
    <x v="1"/>
    <x v="1"/>
    <x v="1"/>
  </r>
  <r>
    <x v="229"/>
    <x v="0"/>
    <x v="16"/>
    <x v="1"/>
    <x v="13"/>
    <x v="1"/>
    <x v="136"/>
    <x v="14"/>
    <x v="2"/>
    <x v="2"/>
  </r>
  <r>
    <x v="230"/>
    <x v="0"/>
    <x v="1"/>
    <x v="1"/>
    <x v="1"/>
    <x v="1"/>
    <x v="1"/>
    <x v="1"/>
    <x v="1"/>
    <x v="1"/>
  </r>
  <r>
    <x v="230"/>
    <x v="1"/>
    <x v="15"/>
    <x v="1"/>
    <x v="11"/>
    <x v="0"/>
    <x v="78"/>
    <x v="12"/>
    <x v="0"/>
    <x v="0"/>
  </r>
  <r>
    <x v="230"/>
    <x v="2"/>
    <x v="21"/>
    <x v="1"/>
    <x v="16"/>
    <x v="0"/>
    <x v="95"/>
    <x v="18"/>
    <x v="1"/>
    <x v="1"/>
  </r>
  <r>
    <x v="231"/>
    <x v="0"/>
    <x v="9"/>
    <x v="0"/>
    <x v="7"/>
    <x v="1"/>
    <x v="10"/>
    <x v="8"/>
    <x v="0"/>
    <x v="0"/>
  </r>
  <r>
    <x v="231"/>
    <x v="1"/>
    <x v="16"/>
    <x v="1"/>
    <x v="13"/>
    <x v="2"/>
    <x v="67"/>
    <x v="14"/>
    <x v="2"/>
    <x v="2"/>
  </r>
  <r>
    <x v="231"/>
    <x v="2"/>
    <x v="8"/>
    <x v="1"/>
    <x v="0"/>
    <x v="1"/>
    <x v="19"/>
    <x v="3"/>
    <x v="0"/>
    <x v="0"/>
  </r>
  <r>
    <x v="231"/>
    <x v="3"/>
    <x v="1"/>
    <x v="1"/>
    <x v="1"/>
    <x v="3"/>
    <x v="96"/>
    <x v="1"/>
    <x v="1"/>
    <x v="1"/>
  </r>
  <r>
    <x v="232"/>
    <x v="0"/>
    <x v="15"/>
    <x v="0"/>
    <x v="11"/>
    <x v="3"/>
    <x v="21"/>
    <x v="12"/>
    <x v="0"/>
    <x v="0"/>
  </r>
  <r>
    <x v="232"/>
    <x v="1"/>
    <x v="3"/>
    <x v="1"/>
    <x v="0"/>
    <x v="3"/>
    <x v="28"/>
    <x v="3"/>
    <x v="0"/>
    <x v="0"/>
  </r>
  <r>
    <x v="232"/>
    <x v="2"/>
    <x v="10"/>
    <x v="0"/>
    <x v="8"/>
    <x v="0"/>
    <x v="57"/>
    <x v="9"/>
    <x v="0"/>
    <x v="0"/>
  </r>
  <r>
    <x v="232"/>
    <x v="3"/>
    <x v="12"/>
    <x v="1"/>
    <x v="10"/>
    <x v="1"/>
    <x v="109"/>
    <x v="11"/>
    <x v="0"/>
    <x v="0"/>
  </r>
  <r>
    <x v="233"/>
    <x v="0"/>
    <x v="16"/>
    <x v="1"/>
    <x v="13"/>
    <x v="0"/>
    <x v="108"/>
    <x v="14"/>
    <x v="2"/>
    <x v="2"/>
  </r>
  <r>
    <x v="233"/>
    <x v="1"/>
    <x v="7"/>
    <x v="1"/>
    <x v="6"/>
    <x v="2"/>
    <x v="27"/>
    <x v="7"/>
    <x v="0"/>
    <x v="0"/>
  </r>
  <r>
    <x v="233"/>
    <x v="2"/>
    <x v="10"/>
    <x v="0"/>
    <x v="8"/>
    <x v="3"/>
    <x v="98"/>
    <x v="9"/>
    <x v="0"/>
    <x v="0"/>
  </r>
  <r>
    <x v="233"/>
    <x v="3"/>
    <x v="14"/>
    <x v="0"/>
    <x v="12"/>
    <x v="2"/>
    <x v="55"/>
    <x v="13"/>
    <x v="1"/>
    <x v="1"/>
  </r>
  <r>
    <x v="233"/>
    <x v="4"/>
    <x v="19"/>
    <x v="0"/>
    <x v="15"/>
    <x v="3"/>
    <x v="37"/>
    <x v="17"/>
    <x v="4"/>
    <x v="4"/>
  </r>
  <r>
    <x v="234"/>
    <x v="0"/>
    <x v="18"/>
    <x v="0"/>
    <x v="14"/>
    <x v="1"/>
    <x v="29"/>
    <x v="16"/>
    <x v="1"/>
    <x v="1"/>
  </r>
  <r>
    <x v="234"/>
    <x v="1"/>
    <x v="17"/>
    <x v="1"/>
    <x v="11"/>
    <x v="2"/>
    <x v="64"/>
    <x v="15"/>
    <x v="0"/>
    <x v="0"/>
  </r>
  <r>
    <x v="234"/>
    <x v="2"/>
    <x v="14"/>
    <x v="1"/>
    <x v="12"/>
    <x v="2"/>
    <x v="74"/>
    <x v="13"/>
    <x v="1"/>
    <x v="1"/>
  </r>
  <r>
    <x v="235"/>
    <x v="0"/>
    <x v="5"/>
    <x v="1"/>
    <x v="4"/>
    <x v="1"/>
    <x v="13"/>
    <x v="5"/>
    <x v="1"/>
    <x v="1"/>
  </r>
  <r>
    <x v="235"/>
    <x v="1"/>
    <x v="6"/>
    <x v="1"/>
    <x v="5"/>
    <x v="3"/>
    <x v="8"/>
    <x v="6"/>
    <x v="1"/>
    <x v="1"/>
  </r>
  <r>
    <x v="235"/>
    <x v="2"/>
    <x v="4"/>
    <x v="1"/>
    <x v="3"/>
    <x v="3"/>
    <x v="25"/>
    <x v="4"/>
    <x v="1"/>
    <x v="1"/>
  </r>
  <r>
    <x v="236"/>
    <x v="0"/>
    <x v="12"/>
    <x v="0"/>
    <x v="10"/>
    <x v="0"/>
    <x v="103"/>
    <x v="11"/>
    <x v="0"/>
    <x v="0"/>
  </r>
  <r>
    <x v="236"/>
    <x v="1"/>
    <x v="24"/>
    <x v="0"/>
    <x v="8"/>
    <x v="1"/>
    <x v="77"/>
    <x v="9"/>
    <x v="0"/>
    <x v="0"/>
  </r>
  <r>
    <x v="236"/>
    <x v="2"/>
    <x v="0"/>
    <x v="1"/>
    <x v="0"/>
    <x v="0"/>
    <x v="24"/>
    <x v="0"/>
    <x v="0"/>
    <x v="0"/>
  </r>
  <r>
    <x v="236"/>
    <x v="3"/>
    <x v="8"/>
    <x v="0"/>
    <x v="0"/>
    <x v="2"/>
    <x v="7"/>
    <x v="3"/>
    <x v="0"/>
    <x v="0"/>
  </r>
  <r>
    <x v="237"/>
    <x v="0"/>
    <x v="0"/>
    <x v="1"/>
    <x v="0"/>
    <x v="0"/>
    <x v="24"/>
    <x v="0"/>
    <x v="0"/>
    <x v="0"/>
  </r>
  <r>
    <x v="237"/>
    <x v="1"/>
    <x v="22"/>
    <x v="0"/>
    <x v="17"/>
    <x v="1"/>
    <x v="88"/>
    <x v="19"/>
    <x v="5"/>
    <x v="5"/>
  </r>
  <r>
    <x v="237"/>
    <x v="2"/>
    <x v="17"/>
    <x v="1"/>
    <x v="11"/>
    <x v="0"/>
    <x v="78"/>
    <x v="15"/>
    <x v="0"/>
    <x v="0"/>
  </r>
  <r>
    <x v="237"/>
    <x v="3"/>
    <x v="13"/>
    <x v="1"/>
    <x v="11"/>
    <x v="2"/>
    <x v="64"/>
    <x v="12"/>
    <x v="0"/>
    <x v="0"/>
  </r>
  <r>
    <x v="237"/>
    <x v="4"/>
    <x v="14"/>
    <x v="0"/>
    <x v="12"/>
    <x v="1"/>
    <x v="140"/>
    <x v="13"/>
    <x v="1"/>
    <x v="1"/>
  </r>
  <r>
    <x v="238"/>
    <x v="0"/>
    <x v="3"/>
    <x v="1"/>
    <x v="0"/>
    <x v="3"/>
    <x v="28"/>
    <x v="3"/>
    <x v="0"/>
    <x v="0"/>
  </r>
  <r>
    <x v="238"/>
    <x v="1"/>
    <x v="20"/>
    <x v="1"/>
    <x v="11"/>
    <x v="2"/>
    <x v="64"/>
    <x v="15"/>
    <x v="0"/>
    <x v="0"/>
  </r>
  <r>
    <x v="238"/>
    <x v="2"/>
    <x v="9"/>
    <x v="0"/>
    <x v="7"/>
    <x v="1"/>
    <x v="10"/>
    <x v="8"/>
    <x v="0"/>
    <x v="0"/>
  </r>
  <r>
    <x v="238"/>
    <x v="3"/>
    <x v="4"/>
    <x v="1"/>
    <x v="3"/>
    <x v="1"/>
    <x v="127"/>
    <x v="4"/>
    <x v="1"/>
    <x v="1"/>
  </r>
  <r>
    <x v="239"/>
    <x v="0"/>
    <x v="11"/>
    <x v="0"/>
    <x v="9"/>
    <x v="1"/>
    <x v="45"/>
    <x v="10"/>
    <x v="3"/>
    <x v="3"/>
  </r>
  <r>
    <x v="239"/>
    <x v="1"/>
    <x v="1"/>
    <x v="0"/>
    <x v="1"/>
    <x v="1"/>
    <x v="31"/>
    <x v="1"/>
    <x v="1"/>
    <x v="1"/>
  </r>
  <r>
    <x v="239"/>
    <x v="2"/>
    <x v="21"/>
    <x v="0"/>
    <x v="16"/>
    <x v="1"/>
    <x v="105"/>
    <x v="18"/>
    <x v="1"/>
    <x v="1"/>
  </r>
  <r>
    <x v="239"/>
    <x v="3"/>
    <x v="9"/>
    <x v="1"/>
    <x v="7"/>
    <x v="1"/>
    <x v="53"/>
    <x v="8"/>
    <x v="0"/>
    <x v="0"/>
  </r>
  <r>
    <x v="240"/>
    <x v="0"/>
    <x v="14"/>
    <x v="0"/>
    <x v="12"/>
    <x v="0"/>
    <x v="137"/>
    <x v="13"/>
    <x v="1"/>
    <x v="1"/>
  </r>
  <r>
    <x v="241"/>
    <x v="0"/>
    <x v="5"/>
    <x v="0"/>
    <x v="4"/>
    <x v="0"/>
    <x v="90"/>
    <x v="5"/>
    <x v="1"/>
    <x v="1"/>
  </r>
  <r>
    <x v="242"/>
    <x v="0"/>
    <x v="22"/>
    <x v="1"/>
    <x v="17"/>
    <x v="2"/>
    <x v="41"/>
    <x v="19"/>
    <x v="5"/>
    <x v="5"/>
  </r>
  <r>
    <x v="242"/>
    <x v="1"/>
    <x v="23"/>
    <x v="1"/>
    <x v="7"/>
    <x v="1"/>
    <x v="53"/>
    <x v="20"/>
    <x v="0"/>
    <x v="0"/>
  </r>
  <r>
    <x v="242"/>
    <x v="2"/>
    <x v="14"/>
    <x v="1"/>
    <x v="12"/>
    <x v="2"/>
    <x v="74"/>
    <x v="13"/>
    <x v="1"/>
    <x v="1"/>
  </r>
  <r>
    <x v="243"/>
    <x v="0"/>
    <x v="23"/>
    <x v="0"/>
    <x v="7"/>
    <x v="1"/>
    <x v="10"/>
    <x v="20"/>
    <x v="0"/>
    <x v="0"/>
  </r>
  <r>
    <x v="243"/>
    <x v="1"/>
    <x v="22"/>
    <x v="0"/>
    <x v="17"/>
    <x v="0"/>
    <x v="76"/>
    <x v="19"/>
    <x v="5"/>
    <x v="5"/>
  </r>
  <r>
    <x v="243"/>
    <x v="2"/>
    <x v="13"/>
    <x v="0"/>
    <x v="11"/>
    <x v="3"/>
    <x v="21"/>
    <x v="12"/>
    <x v="0"/>
    <x v="0"/>
  </r>
  <r>
    <x v="244"/>
    <x v="0"/>
    <x v="2"/>
    <x v="1"/>
    <x v="2"/>
    <x v="2"/>
    <x v="2"/>
    <x v="2"/>
    <x v="2"/>
    <x v="2"/>
  </r>
  <r>
    <x v="244"/>
    <x v="1"/>
    <x v="1"/>
    <x v="0"/>
    <x v="1"/>
    <x v="3"/>
    <x v="112"/>
    <x v="1"/>
    <x v="1"/>
    <x v="1"/>
  </r>
  <r>
    <x v="245"/>
    <x v="0"/>
    <x v="7"/>
    <x v="1"/>
    <x v="6"/>
    <x v="0"/>
    <x v="71"/>
    <x v="7"/>
    <x v="0"/>
    <x v="0"/>
  </r>
  <r>
    <x v="246"/>
    <x v="0"/>
    <x v="22"/>
    <x v="0"/>
    <x v="17"/>
    <x v="1"/>
    <x v="88"/>
    <x v="19"/>
    <x v="5"/>
    <x v="5"/>
  </r>
  <r>
    <x v="246"/>
    <x v="1"/>
    <x v="5"/>
    <x v="0"/>
    <x v="4"/>
    <x v="0"/>
    <x v="90"/>
    <x v="5"/>
    <x v="1"/>
    <x v="1"/>
  </r>
  <r>
    <x v="247"/>
    <x v="0"/>
    <x v="17"/>
    <x v="0"/>
    <x v="11"/>
    <x v="3"/>
    <x v="21"/>
    <x v="15"/>
    <x v="0"/>
    <x v="0"/>
  </r>
  <r>
    <x v="247"/>
    <x v="1"/>
    <x v="8"/>
    <x v="1"/>
    <x v="0"/>
    <x v="3"/>
    <x v="28"/>
    <x v="3"/>
    <x v="0"/>
    <x v="0"/>
  </r>
  <r>
    <x v="247"/>
    <x v="2"/>
    <x v="7"/>
    <x v="0"/>
    <x v="6"/>
    <x v="3"/>
    <x v="47"/>
    <x v="7"/>
    <x v="0"/>
    <x v="0"/>
  </r>
  <r>
    <x v="247"/>
    <x v="3"/>
    <x v="11"/>
    <x v="0"/>
    <x v="9"/>
    <x v="0"/>
    <x v="141"/>
    <x v="10"/>
    <x v="3"/>
    <x v="3"/>
  </r>
  <r>
    <x v="248"/>
    <x v="0"/>
    <x v="14"/>
    <x v="1"/>
    <x v="12"/>
    <x v="2"/>
    <x v="74"/>
    <x v="13"/>
    <x v="1"/>
    <x v="1"/>
  </r>
  <r>
    <x v="248"/>
    <x v="1"/>
    <x v="9"/>
    <x v="1"/>
    <x v="7"/>
    <x v="2"/>
    <x v="32"/>
    <x v="8"/>
    <x v="0"/>
    <x v="0"/>
  </r>
  <r>
    <x v="248"/>
    <x v="2"/>
    <x v="13"/>
    <x v="0"/>
    <x v="11"/>
    <x v="3"/>
    <x v="21"/>
    <x v="12"/>
    <x v="0"/>
    <x v="0"/>
  </r>
  <r>
    <x v="249"/>
    <x v="0"/>
    <x v="7"/>
    <x v="1"/>
    <x v="6"/>
    <x v="2"/>
    <x v="27"/>
    <x v="7"/>
    <x v="0"/>
    <x v="0"/>
  </r>
  <r>
    <x v="249"/>
    <x v="1"/>
    <x v="16"/>
    <x v="1"/>
    <x v="13"/>
    <x v="3"/>
    <x v="104"/>
    <x v="14"/>
    <x v="2"/>
    <x v="2"/>
  </r>
  <r>
    <x v="250"/>
    <x v="0"/>
    <x v="19"/>
    <x v="1"/>
    <x v="15"/>
    <x v="0"/>
    <x v="33"/>
    <x v="17"/>
    <x v="4"/>
    <x v="4"/>
  </r>
  <r>
    <x v="250"/>
    <x v="1"/>
    <x v="13"/>
    <x v="1"/>
    <x v="11"/>
    <x v="2"/>
    <x v="64"/>
    <x v="12"/>
    <x v="0"/>
    <x v="0"/>
  </r>
  <r>
    <x v="251"/>
    <x v="0"/>
    <x v="16"/>
    <x v="1"/>
    <x v="13"/>
    <x v="3"/>
    <x v="104"/>
    <x v="14"/>
    <x v="2"/>
    <x v="2"/>
  </r>
  <r>
    <x v="251"/>
    <x v="1"/>
    <x v="4"/>
    <x v="0"/>
    <x v="3"/>
    <x v="1"/>
    <x v="123"/>
    <x v="4"/>
    <x v="1"/>
    <x v="1"/>
  </r>
  <r>
    <x v="251"/>
    <x v="2"/>
    <x v="23"/>
    <x v="0"/>
    <x v="7"/>
    <x v="3"/>
    <x v="65"/>
    <x v="20"/>
    <x v="0"/>
    <x v="0"/>
  </r>
  <r>
    <x v="252"/>
    <x v="0"/>
    <x v="16"/>
    <x v="1"/>
    <x v="13"/>
    <x v="1"/>
    <x v="136"/>
    <x v="14"/>
    <x v="2"/>
    <x v="2"/>
  </r>
  <r>
    <x v="253"/>
    <x v="0"/>
    <x v="18"/>
    <x v="1"/>
    <x v="14"/>
    <x v="1"/>
    <x v="138"/>
    <x v="16"/>
    <x v="1"/>
    <x v="1"/>
  </r>
  <r>
    <x v="253"/>
    <x v="1"/>
    <x v="5"/>
    <x v="0"/>
    <x v="4"/>
    <x v="2"/>
    <x v="6"/>
    <x v="5"/>
    <x v="1"/>
    <x v="1"/>
  </r>
  <r>
    <x v="253"/>
    <x v="2"/>
    <x v="10"/>
    <x v="0"/>
    <x v="8"/>
    <x v="2"/>
    <x v="101"/>
    <x v="9"/>
    <x v="0"/>
    <x v="0"/>
  </r>
  <r>
    <x v="254"/>
    <x v="0"/>
    <x v="21"/>
    <x v="1"/>
    <x v="16"/>
    <x v="3"/>
    <x v="87"/>
    <x v="18"/>
    <x v="1"/>
    <x v="1"/>
  </r>
  <r>
    <x v="254"/>
    <x v="1"/>
    <x v="15"/>
    <x v="0"/>
    <x v="11"/>
    <x v="0"/>
    <x v="51"/>
    <x v="12"/>
    <x v="0"/>
    <x v="0"/>
  </r>
  <r>
    <x v="254"/>
    <x v="2"/>
    <x v="6"/>
    <x v="1"/>
    <x v="5"/>
    <x v="0"/>
    <x v="39"/>
    <x v="6"/>
    <x v="1"/>
    <x v="1"/>
  </r>
  <r>
    <x v="254"/>
    <x v="3"/>
    <x v="20"/>
    <x v="0"/>
    <x v="11"/>
    <x v="1"/>
    <x v="36"/>
    <x v="15"/>
    <x v="0"/>
    <x v="0"/>
  </r>
  <r>
    <x v="255"/>
    <x v="0"/>
    <x v="16"/>
    <x v="0"/>
    <x v="13"/>
    <x v="3"/>
    <x v="86"/>
    <x v="14"/>
    <x v="2"/>
    <x v="2"/>
  </r>
  <r>
    <x v="255"/>
    <x v="1"/>
    <x v="20"/>
    <x v="0"/>
    <x v="11"/>
    <x v="2"/>
    <x v="18"/>
    <x v="15"/>
    <x v="0"/>
    <x v="0"/>
  </r>
  <r>
    <x v="256"/>
    <x v="0"/>
    <x v="1"/>
    <x v="1"/>
    <x v="1"/>
    <x v="1"/>
    <x v="1"/>
    <x v="1"/>
    <x v="1"/>
    <x v="1"/>
  </r>
  <r>
    <x v="256"/>
    <x v="1"/>
    <x v="17"/>
    <x v="1"/>
    <x v="11"/>
    <x v="0"/>
    <x v="78"/>
    <x v="15"/>
    <x v="0"/>
    <x v="0"/>
  </r>
  <r>
    <x v="256"/>
    <x v="2"/>
    <x v="2"/>
    <x v="1"/>
    <x v="2"/>
    <x v="3"/>
    <x v="70"/>
    <x v="2"/>
    <x v="2"/>
    <x v="2"/>
  </r>
  <r>
    <x v="256"/>
    <x v="3"/>
    <x v="12"/>
    <x v="0"/>
    <x v="10"/>
    <x v="3"/>
    <x v="80"/>
    <x v="11"/>
    <x v="0"/>
    <x v="0"/>
  </r>
  <r>
    <x v="257"/>
    <x v="0"/>
    <x v="1"/>
    <x v="1"/>
    <x v="1"/>
    <x v="2"/>
    <x v="134"/>
    <x v="1"/>
    <x v="1"/>
    <x v="1"/>
  </r>
  <r>
    <x v="257"/>
    <x v="1"/>
    <x v="4"/>
    <x v="0"/>
    <x v="3"/>
    <x v="1"/>
    <x v="123"/>
    <x v="4"/>
    <x v="1"/>
    <x v="1"/>
  </r>
  <r>
    <x v="257"/>
    <x v="2"/>
    <x v="23"/>
    <x v="0"/>
    <x v="7"/>
    <x v="1"/>
    <x v="10"/>
    <x v="20"/>
    <x v="0"/>
    <x v="0"/>
  </r>
  <r>
    <x v="257"/>
    <x v="3"/>
    <x v="9"/>
    <x v="0"/>
    <x v="7"/>
    <x v="2"/>
    <x v="72"/>
    <x v="8"/>
    <x v="0"/>
    <x v="0"/>
  </r>
  <r>
    <x v="258"/>
    <x v="0"/>
    <x v="8"/>
    <x v="0"/>
    <x v="0"/>
    <x v="2"/>
    <x v="7"/>
    <x v="3"/>
    <x v="0"/>
    <x v="0"/>
  </r>
  <r>
    <x v="258"/>
    <x v="1"/>
    <x v="18"/>
    <x v="1"/>
    <x v="14"/>
    <x v="3"/>
    <x v="110"/>
    <x v="16"/>
    <x v="1"/>
    <x v="1"/>
  </r>
  <r>
    <x v="258"/>
    <x v="2"/>
    <x v="6"/>
    <x v="1"/>
    <x v="5"/>
    <x v="0"/>
    <x v="39"/>
    <x v="6"/>
    <x v="1"/>
    <x v="1"/>
  </r>
  <r>
    <x v="258"/>
    <x v="3"/>
    <x v="4"/>
    <x v="0"/>
    <x v="3"/>
    <x v="3"/>
    <x v="66"/>
    <x v="4"/>
    <x v="1"/>
    <x v="1"/>
  </r>
  <r>
    <x v="259"/>
    <x v="0"/>
    <x v="19"/>
    <x v="1"/>
    <x v="15"/>
    <x v="0"/>
    <x v="33"/>
    <x v="17"/>
    <x v="4"/>
    <x v="4"/>
  </r>
  <r>
    <x v="259"/>
    <x v="1"/>
    <x v="2"/>
    <x v="0"/>
    <x v="2"/>
    <x v="0"/>
    <x v="135"/>
    <x v="2"/>
    <x v="2"/>
    <x v="2"/>
  </r>
  <r>
    <x v="259"/>
    <x v="2"/>
    <x v="24"/>
    <x v="1"/>
    <x v="8"/>
    <x v="0"/>
    <x v="118"/>
    <x v="9"/>
    <x v="0"/>
    <x v="0"/>
  </r>
  <r>
    <x v="260"/>
    <x v="0"/>
    <x v="3"/>
    <x v="1"/>
    <x v="0"/>
    <x v="2"/>
    <x v="3"/>
    <x v="3"/>
    <x v="0"/>
    <x v="0"/>
  </r>
  <r>
    <x v="260"/>
    <x v="1"/>
    <x v="15"/>
    <x v="0"/>
    <x v="11"/>
    <x v="3"/>
    <x v="21"/>
    <x v="12"/>
    <x v="0"/>
    <x v="0"/>
  </r>
  <r>
    <x v="260"/>
    <x v="2"/>
    <x v="7"/>
    <x v="1"/>
    <x v="6"/>
    <x v="3"/>
    <x v="17"/>
    <x v="7"/>
    <x v="0"/>
    <x v="0"/>
  </r>
  <r>
    <x v="261"/>
    <x v="0"/>
    <x v="6"/>
    <x v="0"/>
    <x v="5"/>
    <x v="1"/>
    <x v="116"/>
    <x v="6"/>
    <x v="1"/>
    <x v="1"/>
  </r>
  <r>
    <x v="261"/>
    <x v="1"/>
    <x v="11"/>
    <x v="1"/>
    <x v="9"/>
    <x v="2"/>
    <x v="126"/>
    <x v="10"/>
    <x v="3"/>
    <x v="3"/>
  </r>
  <r>
    <x v="262"/>
    <x v="0"/>
    <x v="11"/>
    <x v="0"/>
    <x v="9"/>
    <x v="1"/>
    <x v="45"/>
    <x v="10"/>
    <x v="3"/>
    <x v="3"/>
  </r>
  <r>
    <x v="262"/>
    <x v="1"/>
    <x v="5"/>
    <x v="0"/>
    <x v="4"/>
    <x v="0"/>
    <x v="90"/>
    <x v="5"/>
    <x v="1"/>
    <x v="1"/>
  </r>
  <r>
    <x v="262"/>
    <x v="2"/>
    <x v="6"/>
    <x v="1"/>
    <x v="5"/>
    <x v="2"/>
    <x v="125"/>
    <x v="6"/>
    <x v="1"/>
    <x v="1"/>
  </r>
  <r>
    <x v="263"/>
    <x v="0"/>
    <x v="2"/>
    <x v="0"/>
    <x v="2"/>
    <x v="0"/>
    <x v="135"/>
    <x v="2"/>
    <x v="2"/>
    <x v="2"/>
  </r>
  <r>
    <x v="263"/>
    <x v="1"/>
    <x v="24"/>
    <x v="1"/>
    <x v="8"/>
    <x v="2"/>
    <x v="11"/>
    <x v="9"/>
    <x v="0"/>
    <x v="0"/>
  </r>
  <r>
    <x v="263"/>
    <x v="2"/>
    <x v="12"/>
    <x v="1"/>
    <x v="10"/>
    <x v="3"/>
    <x v="120"/>
    <x v="11"/>
    <x v="0"/>
    <x v="0"/>
  </r>
  <r>
    <x v="263"/>
    <x v="3"/>
    <x v="5"/>
    <x v="1"/>
    <x v="4"/>
    <x v="1"/>
    <x v="13"/>
    <x v="5"/>
    <x v="1"/>
    <x v="1"/>
  </r>
  <r>
    <x v="264"/>
    <x v="0"/>
    <x v="11"/>
    <x v="1"/>
    <x v="9"/>
    <x v="0"/>
    <x v="44"/>
    <x v="10"/>
    <x v="3"/>
    <x v="3"/>
  </r>
  <r>
    <x v="265"/>
    <x v="0"/>
    <x v="18"/>
    <x v="1"/>
    <x v="14"/>
    <x v="1"/>
    <x v="138"/>
    <x v="16"/>
    <x v="1"/>
    <x v="1"/>
  </r>
  <r>
    <x v="265"/>
    <x v="1"/>
    <x v="23"/>
    <x v="0"/>
    <x v="7"/>
    <x v="0"/>
    <x v="59"/>
    <x v="20"/>
    <x v="0"/>
    <x v="0"/>
  </r>
  <r>
    <x v="265"/>
    <x v="2"/>
    <x v="22"/>
    <x v="0"/>
    <x v="17"/>
    <x v="2"/>
    <x v="111"/>
    <x v="19"/>
    <x v="5"/>
    <x v="5"/>
  </r>
  <r>
    <x v="266"/>
    <x v="0"/>
    <x v="13"/>
    <x v="1"/>
    <x v="11"/>
    <x v="0"/>
    <x v="78"/>
    <x v="12"/>
    <x v="0"/>
    <x v="0"/>
  </r>
  <r>
    <x v="266"/>
    <x v="1"/>
    <x v="19"/>
    <x v="1"/>
    <x v="15"/>
    <x v="3"/>
    <x v="50"/>
    <x v="17"/>
    <x v="4"/>
    <x v="4"/>
  </r>
  <r>
    <x v="266"/>
    <x v="2"/>
    <x v="24"/>
    <x v="0"/>
    <x v="8"/>
    <x v="3"/>
    <x v="98"/>
    <x v="9"/>
    <x v="0"/>
    <x v="0"/>
  </r>
  <r>
    <x v="266"/>
    <x v="3"/>
    <x v="14"/>
    <x v="1"/>
    <x v="12"/>
    <x v="1"/>
    <x v="102"/>
    <x v="13"/>
    <x v="1"/>
    <x v="1"/>
  </r>
  <r>
    <x v="266"/>
    <x v="4"/>
    <x v="20"/>
    <x v="0"/>
    <x v="11"/>
    <x v="2"/>
    <x v="18"/>
    <x v="15"/>
    <x v="0"/>
    <x v="0"/>
  </r>
  <r>
    <x v="267"/>
    <x v="0"/>
    <x v="14"/>
    <x v="0"/>
    <x v="12"/>
    <x v="2"/>
    <x v="55"/>
    <x v="13"/>
    <x v="1"/>
    <x v="1"/>
  </r>
  <r>
    <x v="267"/>
    <x v="1"/>
    <x v="18"/>
    <x v="1"/>
    <x v="14"/>
    <x v="0"/>
    <x v="117"/>
    <x v="16"/>
    <x v="1"/>
    <x v="1"/>
  </r>
  <r>
    <x v="267"/>
    <x v="2"/>
    <x v="11"/>
    <x v="0"/>
    <x v="9"/>
    <x v="3"/>
    <x v="128"/>
    <x v="10"/>
    <x v="3"/>
    <x v="3"/>
  </r>
  <r>
    <x v="268"/>
    <x v="0"/>
    <x v="21"/>
    <x v="0"/>
    <x v="16"/>
    <x v="1"/>
    <x v="105"/>
    <x v="18"/>
    <x v="1"/>
    <x v="1"/>
  </r>
  <r>
    <x v="268"/>
    <x v="1"/>
    <x v="19"/>
    <x v="1"/>
    <x v="15"/>
    <x v="1"/>
    <x v="69"/>
    <x v="17"/>
    <x v="4"/>
    <x v="4"/>
  </r>
  <r>
    <x v="268"/>
    <x v="2"/>
    <x v="9"/>
    <x v="0"/>
    <x v="7"/>
    <x v="2"/>
    <x v="72"/>
    <x v="8"/>
    <x v="0"/>
    <x v="0"/>
  </r>
  <r>
    <x v="268"/>
    <x v="3"/>
    <x v="5"/>
    <x v="0"/>
    <x v="4"/>
    <x v="2"/>
    <x v="6"/>
    <x v="5"/>
    <x v="1"/>
    <x v="1"/>
  </r>
  <r>
    <x v="269"/>
    <x v="0"/>
    <x v="22"/>
    <x v="1"/>
    <x v="17"/>
    <x v="0"/>
    <x v="91"/>
    <x v="19"/>
    <x v="5"/>
    <x v="5"/>
  </r>
  <r>
    <x v="269"/>
    <x v="1"/>
    <x v="12"/>
    <x v="0"/>
    <x v="10"/>
    <x v="3"/>
    <x v="80"/>
    <x v="11"/>
    <x v="0"/>
    <x v="0"/>
  </r>
  <r>
    <x v="270"/>
    <x v="0"/>
    <x v="16"/>
    <x v="1"/>
    <x v="13"/>
    <x v="1"/>
    <x v="136"/>
    <x v="14"/>
    <x v="2"/>
    <x v="2"/>
  </r>
  <r>
    <x v="270"/>
    <x v="1"/>
    <x v="18"/>
    <x v="1"/>
    <x v="14"/>
    <x v="2"/>
    <x v="124"/>
    <x v="16"/>
    <x v="1"/>
    <x v="1"/>
  </r>
  <r>
    <x v="270"/>
    <x v="2"/>
    <x v="17"/>
    <x v="0"/>
    <x v="11"/>
    <x v="3"/>
    <x v="21"/>
    <x v="15"/>
    <x v="0"/>
    <x v="0"/>
  </r>
  <r>
    <x v="270"/>
    <x v="3"/>
    <x v="14"/>
    <x v="1"/>
    <x v="12"/>
    <x v="3"/>
    <x v="20"/>
    <x v="13"/>
    <x v="1"/>
    <x v="1"/>
  </r>
  <r>
    <x v="271"/>
    <x v="0"/>
    <x v="6"/>
    <x v="1"/>
    <x v="5"/>
    <x v="1"/>
    <x v="130"/>
    <x v="6"/>
    <x v="1"/>
    <x v="1"/>
  </r>
  <r>
    <x v="271"/>
    <x v="1"/>
    <x v="16"/>
    <x v="0"/>
    <x v="13"/>
    <x v="1"/>
    <x v="142"/>
    <x v="14"/>
    <x v="2"/>
    <x v="2"/>
  </r>
  <r>
    <x v="272"/>
    <x v="0"/>
    <x v="20"/>
    <x v="0"/>
    <x v="11"/>
    <x v="3"/>
    <x v="21"/>
    <x v="15"/>
    <x v="0"/>
    <x v="0"/>
  </r>
  <r>
    <x v="273"/>
    <x v="0"/>
    <x v="16"/>
    <x v="1"/>
    <x v="13"/>
    <x v="2"/>
    <x v="67"/>
    <x v="14"/>
    <x v="2"/>
    <x v="2"/>
  </r>
  <r>
    <x v="273"/>
    <x v="1"/>
    <x v="22"/>
    <x v="1"/>
    <x v="17"/>
    <x v="3"/>
    <x v="68"/>
    <x v="19"/>
    <x v="5"/>
    <x v="5"/>
  </r>
  <r>
    <x v="273"/>
    <x v="2"/>
    <x v="11"/>
    <x v="1"/>
    <x v="9"/>
    <x v="1"/>
    <x v="14"/>
    <x v="10"/>
    <x v="3"/>
    <x v="3"/>
  </r>
  <r>
    <x v="274"/>
    <x v="0"/>
    <x v="9"/>
    <x v="0"/>
    <x v="7"/>
    <x v="2"/>
    <x v="72"/>
    <x v="8"/>
    <x v="0"/>
    <x v="0"/>
  </r>
  <r>
    <x v="274"/>
    <x v="1"/>
    <x v="22"/>
    <x v="0"/>
    <x v="17"/>
    <x v="3"/>
    <x v="93"/>
    <x v="19"/>
    <x v="5"/>
    <x v="5"/>
  </r>
  <r>
    <x v="274"/>
    <x v="2"/>
    <x v="14"/>
    <x v="1"/>
    <x v="12"/>
    <x v="2"/>
    <x v="74"/>
    <x v="13"/>
    <x v="1"/>
    <x v="1"/>
  </r>
  <r>
    <x v="275"/>
    <x v="0"/>
    <x v="5"/>
    <x v="1"/>
    <x v="4"/>
    <x v="0"/>
    <x v="73"/>
    <x v="5"/>
    <x v="1"/>
    <x v="1"/>
  </r>
  <r>
    <x v="275"/>
    <x v="1"/>
    <x v="7"/>
    <x v="0"/>
    <x v="6"/>
    <x v="2"/>
    <x v="113"/>
    <x v="7"/>
    <x v="0"/>
    <x v="0"/>
  </r>
  <r>
    <x v="275"/>
    <x v="2"/>
    <x v="11"/>
    <x v="1"/>
    <x v="9"/>
    <x v="1"/>
    <x v="14"/>
    <x v="10"/>
    <x v="3"/>
    <x v="3"/>
  </r>
  <r>
    <x v="276"/>
    <x v="0"/>
    <x v="0"/>
    <x v="1"/>
    <x v="0"/>
    <x v="0"/>
    <x v="24"/>
    <x v="0"/>
    <x v="0"/>
    <x v="0"/>
  </r>
  <r>
    <x v="276"/>
    <x v="1"/>
    <x v="18"/>
    <x v="1"/>
    <x v="14"/>
    <x v="0"/>
    <x v="117"/>
    <x v="16"/>
    <x v="1"/>
    <x v="1"/>
  </r>
  <r>
    <x v="276"/>
    <x v="2"/>
    <x v="17"/>
    <x v="1"/>
    <x v="11"/>
    <x v="3"/>
    <x v="23"/>
    <x v="15"/>
    <x v="0"/>
    <x v="0"/>
  </r>
  <r>
    <x v="277"/>
    <x v="0"/>
    <x v="3"/>
    <x v="0"/>
    <x v="0"/>
    <x v="0"/>
    <x v="0"/>
    <x v="3"/>
    <x v="0"/>
    <x v="0"/>
  </r>
  <r>
    <x v="277"/>
    <x v="1"/>
    <x v="23"/>
    <x v="1"/>
    <x v="7"/>
    <x v="1"/>
    <x v="53"/>
    <x v="20"/>
    <x v="0"/>
    <x v="0"/>
  </r>
  <r>
    <x v="277"/>
    <x v="2"/>
    <x v="17"/>
    <x v="0"/>
    <x v="11"/>
    <x v="1"/>
    <x v="36"/>
    <x v="15"/>
    <x v="0"/>
    <x v="0"/>
  </r>
  <r>
    <x v="277"/>
    <x v="3"/>
    <x v="16"/>
    <x v="1"/>
    <x v="13"/>
    <x v="1"/>
    <x v="136"/>
    <x v="14"/>
    <x v="2"/>
    <x v="2"/>
  </r>
  <r>
    <x v="278"/>
    <x v="0"/>
    <x v="22"/>
    <x v="0"/>
    <x v="17"/>
    <x v="1"/>
    <x v="88"/>
    <x v="19"/>
    <x v="5"/>
    <x v="5"/>
  </r>
  <r>
    <x v="279"/>
    <x v="0"/>
    <x v="22"/>
    <x v="0"/>
    <x v="17"/>
    <x v="1"/>
    <x v="88"/>
    <x v="19"/>
    <x v="5"/>
    <x v="5"/>
  </r>
  <r>
    <x v="279"/>
    <x v="1"/>
    <x v="8"/>
    <x v="1"/>
    <x v="0"/>
    <x v="1"/>
    <x v="19"/>
    <x v="3"/>
    <x v="0"/>
    <x v="0"/>
  </r>
  <r>
    <x v="279"/>
    <x v="2"/>
    <x v="17"/>
    <x v="0"/>
    <x v="11"/>
    <x v="1"/>
    <x v="36"/>
    <x v="15"/>
    <x v="0"/>
    <x v="0"/>
  </r>
  <r>
    <x v="280"/>
    <x v="0"/>
    <x v="13"/>
    <x v="0"/>
    <x v="11"/>
    <x v="1"/>
    <x v="36"/>
    <x v="12"/>
    <x v="0"/>
    <x v="0"/>
  </r>
  <r>
    <x v="280"/>
    <x v="1"/>
    <x v="15"/>
    <x v="1"/>
    <x v="11"/>
    <x v="3"/>
    <x v="23"/>
    <x v="12"/>
    <x v="0"/>
    <x v="0"/>
  </r>
  <r>
    <x v="280"/>
    <x v="2"/>
    <x v="14"/>
    <x v="1"/>
    <x v="12"/>
    <x v="1"/>
    <x v="102"/>
    <x v="13"/>
    <x v="1"/>
    <x v="1"/>
  </r>
  <r>
    <x v="281"/>
    <x v="0"/>
    <x v="0"/>
    <x v="0"/>
    <x v="0"/>
    <x v="1"/>
    <x v="5"/>
    <x v="0"/>
    <x v="0"/>
    <x v="0"/>
  </r>
  <r>
    <x v="281"/>
    <x v="1"/>
    <x v="14"/>
    <x v="1"/>
    <x v="12"/>
    <x v="1"/>
    <x v="102"/>
    <x v="13"/>
    <x v="1"/>
    <x v="1"/>
  </r>
  <r>
    <x v="281"/>
    <x v="2"/>
    <x v="5"/>
    <x v="1"/>
    <x v="4"/>
    <x v="2"/>
    <x v="79"/>
    <x v="5"/>
    <x v="1"/>
    <x v="1"/>
  </r>
  <r>
    <x v="281"/>
    <x v="3"/>
    <x v="3"/>
    <x v="1"/>
    <x v="0"/>
    <x v="1"/>
    <x v="19"/>
    <x v="3"/>
    <x v="0"/>
    <x v="0"/>
  </r>
  <r>
    <x v="282"/>
    <x v="0"/>
    <x v="11"/>
    <x v="0"/>
    <x v="9"/>
    <x v="2"/>
    <x v="121"/>
    <x v="10"/>
    <x v="3"/>
    <x v="3"/>
  </r>
  <r>
    <x v="282"/>
    <x v="1"/>
    <x v="3"/>
    <x v="1"/>
    <x v="0"/>
    <x v="0"/>
    <x v="24"/>
    <x v="3"/>
    <x v="0"/>
    <x v="0"/>
  </r>
  <r>
    <x v="283"/>
    <x v="0"/>
    <x v="24"/>
    <x v="1"/>
    <x v="8"/>
    <x v="0"/>
    <x v="118"/>
    <x v="9"/>
    <x v="0"/>
    <x v="0"/>
  </r>
  <r>
    <x v="283"/>
    <x v="1"/>
    <x v="0"/>
    <x v="0"/>
    <x v="0"/>
    <x v="0"/>
    <x v="0"/>
    <x v="0"/>
    <x v="0"/>
    <x v="0"/>
  </r>
  <r>
    <x v="284"/>
    <x v="0"/>
    <x v="3"/>
    <x v="1"/>
    <x v="0"/>
    <x v="2"/>
    <x v="3"/>
    <x v="3"/>
    <x v="0"/>
    <x v="0"/>
  </r>
  <r>
    <x v="284"/>
    <x v="1"/>
    <x v="10"/>
    <x v="0"/>
    <x v="8"/>
    <x v="2"/>
    <x v="101"/>
    <x v="9"/>
    <x v="0"/>
    <x v="0"/>
  </r>
  <r>
    <x v="284"/>
    <x v="2"/>
    <x v="6"/>
    <x v="0"/>
    <x v="5"/>
    <x v="3"/>
    <x v="92"/>
    <x v="6"/>
    <x v="1"/>
    <x v="1"/>
  </r>
  <r>
    <x v="285"/>
    <x v="0"/>
    <x v="8"/>
    <x v="1"/>
    <x v="0"/>
    <x v="0"/>
    <x v="24"/>
    <x v="3"/>
    <x v="0"/>
    <x v="0"/>
  </r>
  <r>
    <x v="285"/>
    <x v="1"/>
    <x v="20"/>
    <x v="1"/>
    <x v="11"/>
    <x v="1"/>
    <x v="35"/>
    <x v="15"/>
    <x v="0"/>
    <x v="0"/>
  </r>
  <r>
    <x v="285"/>
    <x v="2"/>
    <x v="3"/>
    <x v="1"/>
    <x v="0"/>
    <x v="3"/>
    <x v="28"/>
    <x v="3"/>
    <x v="0"/>
    <x v="0"/>
  </r>
  <r>
    <x v="285"/>
    <x v="3"/>
    <x v="14"/>
    <x v="0"/>
    <x v="12"/>
    <x v="3"/>
    <x v="40"/>
    <x v="13"/>
    <x v="1"/>
    <x v="1"/>
  </r>
  <r>
    <x v="286"/>
    <x v="0"/>
    <x v="21"/>
    <x v="0"/>
    <x v="16"/>
    <x v="0"/>
    <x v="58"/>
    <x v="18"/>
    <x v="1"/>
    <x v="1"/>
  </r>
  <r>
    <x v="286"/>
    <x v="1"/>
    <x v="2"/>
    <x v="0"/>
    <x v="2"/>
    <x v="2"/>
    <x v="99"/>
    <x v="2"/>
    <x v="2"/>
    <x v="2"/>
  </r>
  <r>
    <x v="286"/>
    <x v="2"/>
    <x v="6"/>
    <x v="0"/>
    <x v="5"/>
    <x v="2"/>
    <x v="132"/>
    <x v="6"/>
    <x v="1"/>
    <x v="1"/>
  </r>
  <r>
    <x v="286"/>
    <x v="3"/>
    <x v="0"/>
    <x v="0"/>
    <x v="0"/>
    <x v="2"/>
    <x v="7"/>
    <x v="0"/>
    <x v="0"/>
    <x v="0"/>
  </r>
  <r>
    <x v="287"/>
    <x v="0"/>
    <x v="4"/>
    <x v="0"/>
    <x v="3"/>
    <x v="0"/>
    <x v="4"/>
    <x v="4"/>
    <x v="1"/>
    <x v="1"/>
  </r>
  <r>
    <x v="287"/>
    <x v="1"/>
    <x v="2"/>
    <x v="0"/>
    <x v="2"/>
    <x v="3"/>
    <x v="139"/>
    <x v="2"/>
    <x v="2"/>
    <x v="2"/>
  </r>
  <r>
    <x v="287"/>
    <x v="2"/>
    <x v="14"/>
    <x v="1"/>
    <x v="12"/>
    <x v="2"/>
    <x v="74"/>
    <x v="13"/>
    <x v="1"/>
    <x v="1"/>
  </r>
  <r>
    <x v="288"/>
    <x v="0"/>
    <x v="17"/>
    <x v="0"/>
    <x v="11"/>
    <x v="1"/>
    <x v="36"/>
    <x v="15"/>
    <x v="0"/>
    <x v="0"/>
  </r>
  <r>
    <x v="288"/>
    <x v="1"/>
    <x v="24"/>
    <x v="0"/>
    <x v="8"/>
    <x v="0"/>
    <x v="57"/>
    <x v="9"/>
    <x v="0"/>
    <x v="0"/>
  </r>
  <r>
    <x v="288"/>
    <x v="2"/>
    <x v="7"/>
    <x v="0"/>
    <x v="6"/>
    <x v="0"/>
    <x v="81"/>
    <x v="7"/>
    <x v="0"/>
    <x v="0"/>
  </r>
  <r>
    <x v="289"/>
    <x v="0"/>
    <x v="6"/>
    <x v="1"/>
    <x v="5"/>
    <x v="1"/>
    <x v="130"/>
    <x v="6"/>
    <x v="1"/>
    <x v="1"/>
  </r>
  <r>
    <x v="289"/>
    <x v="1"/>
    <x v="21"/>
    <x v="1"/>
    <x v="16"/>
    <x v="1"/>
    <x v="129"/>
    <x v="18"/>
    <x v="1"/>
    <x v="1"/>
  </r>
  <r>
    <x v="289"/>
    <x v="2"/>
    <x v="20"/>
    <x v="0"/>
    <x v="11"/>
    <x v="3"/>
    <x v="21"/>
    <x v="15"/>
    <x v="0"/>
    <x v="0"/>
  </r>
  <r>
    <x v="290"/>
    <x v="0"/>
    <x v="18"/>
    <x v="1"/>
    <x v="14"/>
    <x v="2"/>
    <x v="124"/>
    <x v="16"/>
    <x v="1"/>
    <x v="1"/>
  </r>
  <r>
    <x v="290"/>
    <x v="1"/>
    <x v="20"/>
    <x v="1"/>
    <x v="11"/>
    <x v="1"/>
    <x v="35"/>
    <x v="15"/>
    <x v="0"/>
    <x v="0"/>
  </r>
  <r>
    <x v="291"/>
    <x v="0"/>
    <x v="9"/>
    <x v="1"/>
    <x v="7"/>
    <x v="3"/>
    <x v="106"/>
    <x v="8"/>
    <x v="0"/>
    <x v="0"/>
  </r>
  <r>
    <x v="291"/>
    <x v="1"/>
    <x v="4"/>
    <x v="0"/>
    <x v="3"/>
    <x v="1"/>
    <x v="123"/>
    <x v="4"/>
    <x v="1"/>
    <x v="1"/>
  </r>
  <r>
    <x v="291"/>
    <x v="2"/>
    <x v="2"/>
    <x v="1"/>
    <x v="2"/>
    <x v="2"/>
    <x v="2"/>
    <x v="2"/>
    <x v="2"/>
    <x v="2"/>
  </r>
  <r>
    <x v="292"/>
    <x v="0"/>
    <x v="23"/>
    <x v="1"/>
    <x v="7"/>
    <x v="2"/>
    <x v="32"/>
    <x v="20"/>
    <x v="0"/>
    <x v="0"/>
  </r>
  <r>
    <x v="292"/>
    <x v="1"/>
    <x v="18"/>
    <x v="0"/>
    <x v="14"/>
    <x v="0"/>
    <x v="63"/>
    <x v="16"/>
    <x v="1"/>
    <x v="1"/>
  </r>
  <r>
    <x v="293"/>
    <x v="0"/>
    <x v="9"/>
    <x v="0"/>
    <x v="7"/>
    <x v="0"/>
    <x v="59"/>
    <x v="8"/>
    <x v="0"/>
    <x v="0"/>
  </r>
  <r>
    <x v="293"/>
    <x v="1"/>
    <x v="15"/>
    <x v="0"/>
    <x v="11"/>
    <x v="0"/>
    <x v="51"/>
    <x v="12"/>
    <x v="0"/>
    <x v="0"/>
  </r>
  <r>
    <x v="293"/>
    <x v="2"/>
    <x v="14"/>
    <x v="1"/>
    <x v="12"/>
    <x v="2"/>
    <x v="74"/>
    <x v="13"/>
    <x v="1"/>
    <x v="1"/>
  </r>
  <r>
    <x v="293"/>
    <x v="3"/>
    <x v="22"/>
    <x v="1"/>
    <x v="17"/>
    <x v="0"/>
    <x v="91"/>
    <x v="19"/>
    <x v="5"/>
    <x v="5"/>
  </r>
  <r>
    <x v="294"/>
    <x v="0"/>
    <x v="13"/>
    <x v="1"/>
    <x v="11"/>
    <x v="1"/>
    <x v="35"/>
    <x v="12"/>
    <x v="0"/>
    <x v="0"/>
  </r>
  <r>
    <x v="295"/>
    <x v="0"/>
    <x v="22"/>
    <x v="1"/>
    <x v="17"/>
    <x v="1"/>
    <x v="85"/>
    <x v="19"/>
    <x v="5"/>
    <x v="5"/>
  </r>
  <r>
    <x v="295"/>
    <x v="1"/>
    <x v="10"/>
    <x v="1"/>
    <x v="8"/>
    <x v="3"/>
    <x v="97"/>
    <x v="9"/>
    <x v="0"/>
    <x v="0"/>
  </r>
  <r>
    <x v="295"/>
    <x v="2"/>
    <x v="16"/>
    <x v="1"/>
    <x v="13"/>
    <x v="3"/>
    <x v="104"/>
    <x v="14"/>
    <x v="2"/>
    <x v="2"/>
  </r>
  <r>
    <x v="295"/>
    <x v="3"/>
    <x v="11"/>
    <x v="0"/>
    <x v="9"/>
    <x v="0"/>
    <x v="141"/>
    <x v="10"/>
    <x v="3"/>
    <x v="3"/>
  </r>
  <r>
    <x v="296"/>
    <x v="0"/>
    <x v="4"/>
    <x v="1"/>
    <x v="3"/>
    <x v="0"/>
    <x v="84"/>
    <x v="4"/>
    <x v="1"/>
    <x v="1"/>
  </r>
  <r>
    <x v="297"/>
    <x v="0"/>
    <x v="19"/>
    <x v="0"/>
    <x v="15"/>
    <x v="0"/>
    <x v="122"/>
    <x v="17"/>
    <x v="4"/>
    <x v="4"/>
  </r>
  <r>
    <x v="297"/>
    <x v="1"/>
    <x v="18"/>
    <x v="1"/>
    <x v="14"/>
    <x v="2"/>
    <x v="124"/>
    <x v="16"/>
    <x v="1"/>
    <x v="1"/>
  </r>
  <r>
    <x v="297"/>
    <x v="2"/>
    <x v="13"/>
    <x v="0"/>
    <x v="11"/>
    <x v="0"/>
    <x v="51"/>
    <x v="12"/>
    <x v="0"/>
    <x v="0"/>
  </r>
  <r>
    <x v="297"/>
    <x v="3"/>
    <x v="11"/>
    <x v="0"/>
    <x v="9"/>
    <x v="1"/>
    <x v="45"/>
    <x v="10"/>
    <x v="3"/>
    <x v="3"/>
  </r>
  <r>
    <x v="297"/>
    <x v="4"/>
    <x v="15"/>
    <x v="1"/>
    <x v="11"/>
    <x v="3"/>
    <x v="23"/>
    <x v="12"/>
    <x v="0"/>
    <x v="0"/>
  </r>
  <r>
    <x v="298"/>
    <x v="0"/>
    <x v="16"/>
    <x v="1"/>
    <x v="13"/>
    <x v="2"/>
    <x v="67"/>
    <x v="14"/>
    <x v="2"/>
    <x v="2"/>
  </r>
  <r>
    <x v="298"/>
    <x v="1"/>
    <x v="2"/>
    <x v="1"/>
    <x v="2"/>
    <x v="0"/>
    <x v="54"/>
    <x v="2"/>
    <x v="2"/>
    <x v="2"/>
  </r>
  <r>
    <x v="299"/>
    <x v="0"/>
    <x v="3"/>
    <x v="1"/>
    <x v="0"/>
    <x v="3"/>
    <x v="28"/>
    <x v="3"/>
    <x v="0"/>
    <x v="0"/>
  </r>
  <r>
    <x v="299"/>
    <x v="1"/>
    <x v="11"/>
    <x v="1"/>
    <x v="9"/>
    <x v="3"/>
    <x v="42"/>
    <x v="10"/>
    <x v="3"/>
    <x v="3"/>
  </r>
  <r>
    <x v="299"/>
    <x v="2"/>
    <x v="2"/>
    <x v="0"/>
    <x v="2"/>
    <x v="3"/>
    <x v="139"/>
    <x v="2"/>
    <x v="2"/>
    <x v="2"/>
  </r>
  <r>
    <x v="299"/>
    <x v="3"/>
    <x v="16"/>
    <x v="1"/>
    <x v="13"/>
    <x v="0"/>
    <x v="108"/>
    <x v="14"/>
    <x v="2"/>
    <x v="2"/>
  </r>
  <r>
    <x v="300"/>
    <x v="0"/>
    <x v="18"/>
    <x v="0"/>
    <x v="14"/>
    <x v="2"/>
    <x v="62"/>
    <x v="16"/>
    <x v="1"/>
    <x v="1"/>
  </r>
  <r>
    <x v="300"/>
    <x v="1"/>
    <x v="13"/>
    <x v="0"/>
    <x v="11"/>
    <x v="3"/>
    <x v="21"/>
    <x v="12"/>
    <x v="0"/>
    <x v="0"/>
  </r>
  <r>
    <x v="301"/>
    <x v="0"/>
    <x v="24"/>
    <x v="1"/>
    <x v="8"/>
    <x v="0"/>
    <x v="118"/>
    <x v="9"/>
    <x v="0"/>
    <x v="0"/>
  </r>
  <r>
    <x v="301"/>
    <x v="1"/>
    <x v="9"/>
    <x v="1"/>
    <x v="7"/>
    <x v="1"/>
    <x v="53"/>
    <x v="8"/>
    <x v="0"/>
    <x v="0"/>
  </r>
  <r>
    <x v="301"/>
    <x v="2"/>
    <x v="6"/>
    <x v="1"/>
    <x v="5"/>
    <x v="0"/>
    <x v="39"/>
    <x v="6"/>
    <x v="1"/>
    <x v="1"/>
  </r>
  <r>
    <x v="302"/>
    <x v="0"/>
    <x v="1"/>
    <x v="1"/>
    <x v="1"/>
    <x v="2"/>
    <x v="134"/>
    <x v="1"/>
    <x v="1"/>
    <x v="1"/>
  </r>
  <r>
    <x v="302"/>
    <x v="1"/>
    <x v="24"/>
    <x v="1"/>
    <x v="8"/>
    <x v="2"/>
    <x v="11"/>
    <x v="9"/>
    <x v="0"/>
    <x v="0"/>
  </r>
  <r>
    <x v="303"/>
    <x v="0"/>
    <x v="2"/>
    <x v="0"/>
    <x v="2"/>
    <x v="2"/>
    <x v="99"/>
    <x v="2"/>
    <x v="2"/>
    <x v="2"/>
  </r>
  <r>
    <x v="303"/>
    <x v="1"/>
    <x v="14"/>
    <x v="1"/>
    <x v="12"/>
    <x v="3"/>
    <x v="20"/>
    <x v="13"/>
    <x v="1"/>
    <x v="1"/>
  </r>
  <r>
    <x v="303"/>
    <x v="2"/>
    <x v="0"/>
    <x v="0"/>
    <x v="0"/>
    <x v="3"/>
    <x v="12"/>
    <x v="0"/>
    <x v="0"/>
    <x v="0"/>
  </r>
  <r>
    <x v="304"/>
    <x v="0"/>
    <x v="2"/>
    <x v="0"/>
    <x v="2"/>
    <x v="1"/>
    <x v="43"/>
    <x v="2"/>
    <x v="2"/>
    <x v="2"/>
  </r>
  <r>
    <x v="304"/>
    <x v="1"/>
    <x v="18"/>
    <x v="0"/>
    <x v="14"/>
    <x v="3"/>
    <x v="107"/>
    <x v="16"/>
    <x v="1"/>
    <x v="1"/>
  </r>
  <r>
    <x v="304"/>
    <x v="2"/>
    <x v="5"/>
    <x v="1"/>
    <x v="4"/>
    <x v="0"/>
    <x v="73"/>
    <x v="5"/>
    <x v="1"/>
    <x v="1"/>
  </r>
  <r>
    <x v="305"/>
    <x v="0"/>
    <x v="2"/>
    <x v="0"/>
    <x v="2"/>
    <x v="0"/>
    <x v="135"/>
    <x v="2"/>
    <x v="2"/>
    <x v="2"/>
  </r>
  <r>
    <x v="305"/>
    <x v="1"/>
    <x v="13"/>
    <x v="0"/>
    <x v="11"/>
    <x v="1"/>
    <x v="36"/>
    <x v="12"/>
    <x v="0"/>
    <x v="0"/>
  </r>
  <r>
    <x v="306"/>
    <x v="0"/>
    <x v="12"/>
    <x v="1"/>
    <x v="10"/>
    <x v="2"/>
    <x v="94"/>
    <x v="11"/>
    <x v="0"/>
    <x v="0"/>
  </r>
  <r>
    <x v="307"/>
    <x v="0"/>
    <x v="14"/>
    <x v="0"/>
    <x v="12"/>
    <x v="3"/>
    <x v="40"/>
    <x v="13"/>
    <x v="1"/>
    <x v="1"/>
  </r>
  <r>
    <x v="307"/>
    <x v="1"/>
    <x v="9"/>
    <x v="1"/>
    <x v="7"/>
    <x v="0"/>
    <x v="83"/>
    <x v="8"/>
    <x v="0"/>
    <x v="0"/>
  </r>
  <r>
    <x v="307"/>
    <x v="2"/>
    <x v="15"/>
    <x v="0"/>
    <x v="11"/>
    <x v="0"/>
    <x v="51"/>
    <x v="12"/>
    <x v="0"/>
    <x v="0"/>
  </r>
  <r>
    <x v="308"/>
    <x v="0"/>
    <x v="5"/>
    <x v="0"/>
    <x v="4"/>
    <x v="2"/>
    <x v="6"/>
    <x v="5"/>
    <x v="1"/>
    <x v="1"/>
  </r>
  <r>
    <x v="308"/>
    <x v="1"/>
    <x v="10"/>
    <x v="0"/>
    <x v="8"/>
    <x v="2"/>
    <x v="101"/>
    <x v="9"/>
    <x v="0"/>
    <x v="0"/>
  </r>
  <r>
    <x v="309"/>
    <x v="0"/>
    <x v="14"/>
    <x v="1"/>
    <x v="12"/>
    <x v="1"/>
    <x v="102"/>
    <x v="13"/>
    <x v="1"/>
    <x v="1"/>
  </r>
  <r>
    <x v="309"/>
    <x v="1"/>
    <x v="15"/>
    <x v="1"/>
    <x v="11"/>
    <x v="3"/>
    <x v="23"/>
    <x v="12"/>
    <x v="0"/>
    <x v="0"/>
  </r>
  <r>
    <x v="309"/>
    <x v="2"/>
    <x v="21"/>
    <x v="1"/>
    <x v="16"/>
    <x v="0"/>
    <x v="95"/>
    <x v="18"/>
    <x v="1"/>
    <x v="1"/>
  </r>
  <r>
    <x v="309"/>
    <x v="3"/>
    <x v="1"/>
    <x v="0"/>
    <x v="1"/>
    <x v="0"/>
    <x v="34"/>
    <x v="1"/>
    <x v="1"/>
    <x v="1"/>
  </r>
  <r>
    <x v="310"/>
    <x v="0"/>
    <x v="7"/>
    <x v="1"/>
    <x v="6"/>
    <x v="2"/>
    <x v="27"/>
    <x v="7"/>
    <x v="0"/>
    <x v="0"/>
  </r>
  <r>
    <x v="310"/>
    <x v="1"/>
    <x v="21"/>
    <x v="1"/>
    <x v="16"/>
    <x v="0"/>
    <x v="95"/>
    <x v="18"/>
    <x v="1"/>
    <x v="1"/>
  </r>
  <r>
    <x v="311"/>
    <x v="0"/>
    <x v="24"/>
    <x v="1"/>
    <x v="8"/>
    <x v="2"/>
    <x v="11"/>
    <x v="9"/>
    <x v="0"/>
    <x v="0"/>
  </r>
  <r>
    <x v="311"/>
    <x v="1"/>
    <x v="15"/>
    <x v="1"/>
    <x v="11"/>
    <x v="1"/>
    <x v="35"/>
    <x v="12"/>
    <x v="0"/>
    <x v="0"/>
  </r>
  <r>
    <x v="311"/>
    <x v="2"/>
    <x v="3"/>
    <x v="1"/>
    <x v="0"/>
    <x v="2"/>
    <x v="3"/>
    <x v="3"/>
    <x v="0"/>
    <x v="0"/>
  </r>
  <r>
    <x v="312"/>
    <x v="0"/>
    <x v="4"/>
    <x v="0"/>
    <x v="3"/>
    <x v="1"/>
    <x v="123"/>
    <x v="4"/>
    <x v="1"/>
    <x v="1"/>
  </r>
  <r>
    <x v="312"/>
    <x v="1"/>
    <x v="2"/>
    <x v="1"/>
    <x v="2"/>
    <x v="1"/>
    <x v="46"/>
    <x v="2"/>
    <x v="2"/>
    <x v="2"/>
  </r>
  <r>
    <x v="313"/>
    <x v="0"/>
    <x v="21"/>
    <x v="0"/>
    <x v="16"/>
    <x v="1"/>
    <x v="105"/>
    <x v="18"/>
    <x v="1"/>
    <x v="1"/>
  </r>
  <r>
    <x v="313"/>
    <x v="1"/>
    <x v="11"/>
    <x v="0"/>
    <x v="9"/>
    <x v="2"/>
    <x v="121"/>
    <x v="10"/>
    <x v="3"/>
    <x v="3"/>
  </r>
  <r>
    <x v="313"/>
    <x v="2"/>
    <x v="13"/>
    <x v="1"/>
    <x v="11"/>
    <x v="0"/>
    <x v="78"/>
    <x v="12"/>
    <x v="0"/>
    <x v="0"/>
  </r>
  <r>
    <x v="313"/>
    <x v="3"/>
    <x v="14"/>
    <x v="1"/>
    <x v="12"/>
    <x v="1"/>
    <x v="102"/>
    <x v="13"/>
    <x v="1"/>
    <x v="1"/>
  </r>
  <r>
    <x v="314"/>
    <x v="0"/>
    <x v="16"/>
    <x v="0"/>
    <x v="13"/>
    <x v="0"/>
    <x v="114"/>
    <x v="14"/>
    <x v="2"/>
    <x v="2"/>
  </r>
  <r>
    <x v="314"/>
    <x v="1"/>
    <x v="11"/>
    <x v="0"/>
    <x v="9"/>
    <x v="3"/>
    <x v="128"/>
    <x v="10"/>
    <x v="3"/>
    <x v="3"/>
  </r>
  <r>
    <x v="315"/>
    <x v="0"/>
    <x v="6"/>
    <x v="1"/>
    <x v="5"/>
    <x v="0"/>
    <x v="39"/>
    <x v="6"/>
    <x v="1"/>
    <x v="1"/>
  </r>
  <r>
    <x v="315"/>
    <x v="1"/>
    <x v="3"/>
    <x v="1"/>
    <x v="0"/>
    <x v="3"/>
    <x v="28"/>
    <x v="3"/>
    <x v="0"/>
    <x v="0"/>
  </r>
  <r>
    <x v="315"/>
    <x v="2"/>
    <x v="0"/>
    <x v="0"/>
    <x v="0"/>
    <x v="3"/>
    <x v="12"/>
    <x v="0"/>
    <x v="0"/>
    <x v="0"/>
  </r>
  <r>
    <x v="315"/>
    <x v="3"/>
    <x v="23"/>
    <x v="0"/>
    <x v="7"/>
    <x v="0"/>
    <x v="59"/>
    <x v="20"/>
    <x v="0"/>
    <x v="0"/>
  </r>
  <r>
    <x v="315"/>
    <x v="4"/>
    <x v="7"/>
    <x v="0"/>
    <x v="6"/>
    <x v="2"/>
    <x v="113"/>
    <x v="7"/>
    <x v="0"/>
    <x v="0"/>
  </r>
  <r>
    <x v="316"/>
    <x v="0"/>
    <x v="2"/>
    <x v="0"/>
    <x v="2"/>
    <x v="0"/>
    <x v="135"/>
    <x v="2"/>
    <x v="2"/>
    <x v="2"/>
  </r>
  <r>
    <x v="316"/>
    <x v="1"/>
    <x v="13"/>
    <x v="0"/>
    <x v="11"/>
    <x v="2"/>
    <x v="18"/>
    <x v="12"/>
    <x v="0"/>
    <x v="0"/>
  </r>
  <r>
    <x v="316"/>
    <x v="2"/>
    <x v="12"/>
    <x v="0"/>
    <x v="10"/>
    <x v="2"/>
    <x v="119"/>
    <x v="11"/>
    <x v="0"/>
    <x v="0"/>
  </r>
  <r>
    <x v="316"/>
    <x v="3"/>
    <x v="17"/>
    <x v="1"/>
    <x v="11"/>
    <x v="0"/>
    <x v="78"/>
    <x v="15"/>
    <x v="0"/>
    <x v="0"/>
  </r>
  <r>
    <x v="317"/>
    <x v="0"/>
    <x v="17"/>
    <x v="1"/>
    <x v="11"/>
    <x v="3"/>
    <x v="23"/>
    <x v="15"/>
    <x v="0"/>
    <x v="0"/>
  </r>
  <r>
    <x v="317"/>
    <x v="1"/>
    <x v="22"/>
    <x v="1"/>
    <x v="17"/>
    <x v="0"/>
    <x v="91"/>
    <x v="19"/>
    <x v="5"/>
    <x v="5"/>
  </r>
  <r>
    <x v="317"/>
    <x v="2"/>
    <x v="11"/>
    <x v="0"/>
    <x v="9"/>
    <x v="2"/>
    <x v="121"/>
    <x v="10"/>
    <x v="3"/>
    <x v="3"/>
  </r>
  <r>
    <x v="318"/>
    <x v="0"/>
    <x v="16"/>
    <x v="0"/>
    <x v="13"/>
    <x v="1"/>
    <x v="142"/>
    <x v="14"/>
    <x v="2"/>
    <x v="2"/>
  </r>
  <r>
    <x v="318"/>
    <x v="1"/>
    <x v="20"/>
    <x v="0"/>
    <x v="11"/>
    <x v="0"/>
    <x v="51"/>
    <x v="15"/>
    <x v="0"/>
    <x v="0"/>
  </r>
  <r>
    <x v="318"/>
    <x v="2"/>
    <x v="12"/>
    <x v="1"/>
    <x v="10"/>
    <x v="3"/>
    <x v="120"/>
    <x v="11"/>
    <x v="0"/>
    <x v="0"/>
  </r>
  <r>
    <x v="318"/>
    <x v="3"/>
    <x v="19"/>
    <x v="0"/>
    <x v="15"/>
    <x v="2"/>
    <x v="115"/>
    <x v="17"/>
    <x v="4"/>
    <x v="4"/>
  </r>
  <r>
    <x v="319"/>
    <x v="0"/>
    <x v="6"/>
    <x v="0"/>
    <x v="5"/>
    <x v="3"/>
    <x v="92"/>
    <x v="6"/>
    <x v="1"/>
    <x v="1"/>
  </r>
  <r>
    <x v="320"/>
    <x v="0"/>
    <x v="4"/>
    <x v="1"/>
    <x v="3"/>
    <x v="0"/>
    <x v="84"/>
    <x v="4"/>
    <x v="1"/>
    <x v="1"/>
  </r>
  <r>
    <x v="320"/>
    <x v="1"/>
    <x v="10"/>
    <x v="1"/>
    <x v="8"/>
    <x v="0"/>
    <x v="118"/>
    <x v="9"/>
    <x v="0"/>
    <x v="0"/>
  </r>
  <r>
    <x v="320"/>
    <x v="2"/>
    <x v="8"/>
    <x v="0"/>
    <x v="0"/>
    <x v="0"/>
    <x v="0"/>
    <x v="3"/>
    <x v="0"/>
    <x v="0"/>
  </r>
  <r>
    <x v="320"/>
    <x v="3"/>
    <x v="19"/>
    <x v="1"/>
    <x v="15"/>
    <x v="0"/>
    <x v="33"/>
    <x v="17"/>
    <x v="4"/>
    <x v="4"/>
  </r>
  <r>
    <x v="321"/>
    <x v="0"/>
    <x v="17"/>
    <x v="1"/>
    <x v="11"/>
    <x v="0"/>
    <x v="78"/>
    <x v="15"/>
    <x v="0"/>
    <x v="0"/>
  </r>
  <r>
    <x v="321"/>
    <x v="1"/>
    <x v="20"/>
    <x v="0"/>
    <x v="11"/>
    <x v="1"/>
    <x v="36"/>
    <x v="15"/>
    <x v="0"/>
    <x v="0"/>
  </r>
  <r>
    <x v="322"/>
    <x v="0"/>
    <x v="17"/>
    <x v="1"/>
    <x v="11"/>
    <x v="1"/>
    <x v="35"/>
    <x v="15"/>
    <x v="0"/>
    <x v="0"/>
  </r>
  <r>
    <x v="322"/>
    <x v="1"/>
    <x v="8"/>
    <x v="1"/>
    <x v="0"/>
    <x v="3"/>
    <x v="28"/>
    <x v="3"/>
    <x v="0"/>
    <x v="0"/>
  </r>
  <r>
    <x v="323"/>
    <x v="0"/>
    <x v="6"/>
    <x v="1"/>
    <x v="5"/>
    <x v="3"/>
    <x v="8"/>
    <x v="6"/>
    <x v="1"/>
    <x v="1"/>
  </r>
  <r>
    <x v="323"/>
    <x v="1"/>
    <x v="7"/>
    <x v="0"/>
    <x v="6"/>
    <x v="0"/>
    <x v="81"/>
    <x v="7"/>
    <x v="0"/>
    <x v="0"/>
  </r>
  <r>
    <x v="323"/>
    <x v="2"/>
    <x v="13"/>
    <x v="1"/>
    <x v="11"/>
    <x v="0"/>
    <x v="78"/>
    <x v="12"/>
    <x v="0"/>
    <x v="0"/>
  </r>
  <r>
    <x v="323"/>
    <x v="3"/>
    <x v="23"/>
    <x v="0"/>
    <x v="7"/>
    <x v="2"/>
    <x v="72"/>
    <x v="20"/>
    <x v="0"/>
    <x v="0"/>
  </r>
  <r>
    <x v="323"/>
    <x v="4"/>
    <x v="10"/>
    <x v="0"/>
    <x v="8"/>
    <x v="2"/>
    <x v="101"/>
    <x v="9"/>
    <x v="0"/>
    <x v="0"/>
  </r>
  <r>
    <x v="324"/>
    <x v="0"/>
    <x v="14"/>
    <x v="0"/>
    <x v="12"/>
    <x v="2"/>
    <x v="55"/>
    <x v="13"/>
    <x v="1"/>
    <x v="1"/>
  </r>
  <r>
    <x v="324"/>
    <x v="1"/>
    <x v="10"/>
    <x v="0"/>
    <x v="8"/>
    <x v="0"/>
    <x v="57"/>
    <x v="9"/>
    <x v="0"/>
    <x v="0"/>
  </r>
  <r>
    <x v="324"/>
    <x v="2"/>
    <x v="18"/>
    <x v="1"/>
    <x v="14"/>
    <x v="0"/>
    <x v="117"/>
    <x v="16"/>
    <x v="1"/>
    <x v="1"/>
  </r>
  <r>
    <x v="325"/>
    <x v="0"/>
    <x v="10"/>
    <x v="0"/>
    <x v="8"/>
    <x v="3"/>
    <x v="98"/>
    <x v="9"/>
    <x v="0"/>
    <x v="0"/>
  </r>
  <r>
    <x v="325"/>
    <x v="1"/>
    <x v="19"/>
    <x v="0"/>
    <x v="15"/>
    <x v="1"/>
    <x v="75"/>
    <x v="17"/>
    <x v="4"/>
    <x v="4"/>
  </r>
  <r>
    <x v="326"/>
    <x v="0"/>
    <x v="10"/>
    <x v="1"/>
    <x v="8"/>
    <x v="1"/>
    <x v="30"/>
    <x v="9"/>
    <x v="0"/>
    <x v="0"/>
  </r>
  <r>
    <x v="326"/>
    <x v="1"/>
    <x v="17"/>
    <x v="0"/>
    <x v="11"/>
    <x v="1"/>
    <x v="36"/>
    <x v="15"/>
    <x v="0"/>
    <x v="0"/>
  </r>
  <r>
    <x v="326"/>
    <x v="2"/>
    <x v="4"/>
    <x v="0"/>
    <x v="3"/>
    <x v="2"/>
    <x v="143"/>
    <x v="4"/>
    <x v="1"/>
    <x v="1"/>
  </r>
  <r>
    <x v="327"/>
    <x v="0"/>
    <x v="18"/>
    <x v="1"/>
    <x v="14"/>
    <x v="3"/>
    <x v="110"/>
    <x v="16"/>
    <x v="1"/>
    <x v="1"/>
  </r>
  <r>
    <x v="328"/>
    <x v="0"/>
    <x v="15"/>
    <x v="1"/>
    <x v="11"/>
    <x v="1"/>
    <x v="35"/>
    <x v="12"/>
    <x v="0"/>
    <x v="0"/>
  </r>
  <r>
    <x v="328"/>
    <x v="1"/>
    <x v="1"/>
    <x v="1"/>
    <x v="1"/>
    <x v="2"/>
    <x v="134"/>
    <x v="1"/>
    <x v="1"/>
    <x v="1"/>
  </r>
  <r>
    <x v="328"/>
    <x v="2"/>
    <x v="19"/>
    <x v="0"/>
    <x v="15"/>
    <x v="0"/>
    <x v="122"/>
    <x v="17"/>
    <x v="4"/>
    <x v="4"/>
  </r>
  <r>
    <x v="328"/>
    <x v="3"/>
    <x v="7"/>
    <x v="0"/>
    <x v="6"/>
    <x v="1"/>
    <x v="9"/>
    <x v="7"/>
    <x v="0"/>
    <x v="0"/>
  </r>
  <r>
    <x v="328"/>
    <x v="4"/>
    <x v="8"/>
    <x v="1"/>
    <x v="0"/>
    <x v="2"/>
    <x v="3"/>
    <x v="3"/>
    <x v="0"/>
    <x v="0"/>
  </r>
  <r>
    <x v="329"/>
    <x v="0"/>
    <x v="20"/>
    <x v="1"/>
    <x v="11"/>
    <x v="2"/>
    <x v="64"/>
    <x v="15"/>
    <x v="0"/>
    <x v="0"/>
  </r>
  <r>
    <x v="330"/>
    <x v="0"/>
    <x v="7"/>
    <x v="1"/>
    <x v="6"/>
    <x v="3"/>
    <x v="17"/>
    <x v="7"/>
    <x v="0"/>
    <x v="0"/>
  </r>
  <r>
    <x v="331"/>
    <x v="0"/>
    <x v="9"/>
    <x v="1"/>
    <x v="7"/>
    <x v="2"/>
    <x v="32"/>
    <x v="8"/>
    <x v="0"/>
    <x v="0"/>
  </r>
  <r>
    <x v="332"/>
    <x v="0"/>
    <x v="9"/>
    <x v="1"/>
    <x v="7"/>
    <x v="1"/>
    <x v="53"/>
    <x v="8"/>
    <x v="0"/>
    <x v="0"/>
  </r>
  <r>
    <x v="332"/>
    <x v="1"/>
    <x v="1"/>
    <x v="1"/>
    <x v="1"/>
    <x v="2"/>
    <x v="134"/>
    <x v="1"/>
    <x v="1"/>
    <x v="1"/>
  </r>
  <r>
    <x v="332"/>
    <x v="2"/>
    <x v="5"/>
    <x v="0"/>
    <x v="4"/>
    <x v="0"/>
    <x v="90"/>
    <x v="5"/>
    <x v="1"/>
    <x v="1"/>
  </r>
  <r>
    <x v="333"/>
    <x v="0"/>
    <x v="3"/>
    <x v="1"/>
    <x v="0"/>
    <x v="0"/>
    <x v="24"/>
    <x v="3"/>
    <x v="0"/>
    <x v="0"/>
  </r>
  <r>
    <x v="333"/>
    <x v="1"/>
    <x v="11"/>
    <x v="0"/>
    <x v="9"/>
    <x v="2"/>
    <x v="121"/>
    <x v="10"/>
    <x v="3"/>
    <x v="3"/>
  </r>
  <r>
    <x v="333"/>
    <x v="2"/>
    <x v="5"/>
    <x v="1"/>
    <x v="4"/>
    <x v="2"/>
    <x v="79"/>
    <x v="5"/>
    <x v="1"/>
    <x v="1"/>
  </r>
  <r>
    <x v="334"/>
    <x v="0"/>
    <x v="18"/>
    <x v="0"/>
    <x v="14"/>
    <x v="3"/>
    <x v="107"/>
    <x v="16"/>
    <x v="1"/>
    <x v="1"/>
  </r>
  <r>
    <x v="334"/>
    <x v="1"/>
    <x v="6"/>
    <x v="1"/>
    <x v="5"/>
    <x v="3"/>
    <x v="8"/>
    <x v="6"/>
    <x v="1"/>
    <x v="1"/>
  </r>
  <r>
    <x v="334"/>
    <x v="2"/>
    <x v="20"/>
    <x v="0"/>
    <x v="11"/>
    <x v="1"/>
    <x v="36"/>
    <x v="15"/>
    <x v="0"/>
    <x v="0"/>
  </r>
  <r>
    <x v="335"/>
    <x v="0"/>
    <x v="4"/>
    <x v="0"/>
    <x v="3"/>
    <x v="3"/>
    <x v="66"/>
    <x v="4"/>
    <x v="1"/>
    <x v="1"/>
  </r>
  <r>
    <x v="335"/>
    <x v="1"/>
    <x v="10"/>
    <x v="0"/>
    <x v="8"/>
    <x v="0"/>
    <x v="57"/>
    <x v="9"/>
    <x v="0"/>
    <x v="0"/>
  </r>
  <r>
    <x v="336"/>
    <x v="0"/>
    <x v="9"/>
    <x v="0"/>
    <x v="7"/>
    <x v="2"/>
    <x v="72"/>
    <x v="8"/>
    <x v="0"/>
    <x v="0"/>
  </r>
  <r>
    <x v="336"/>
    <x v="1"/>
    <x v="4"/>
    <x v="0"/>
    <x v="3"/>
    <x v="2"/>
    <x v="143"/>
    <x v="4"/>
    <x v="1"/>
    <x v="1"/>
  </r>
  <r>
    <x v="337"/>
    <x v="0"/>
    <x v="18"/>
    <x v="1"/>
    <x v="14"/>
    <x v="1"/>
    <x v="138"/>
    <x v="16"/>
    <x v="1"/>
    <x v="1"/>
  </r>
  <r>
    <x v="337"/>
    <x v="1"/>
    <x v="2"/>
    <x v="0"/>
    <x v="2"/>
    <x v="1"/>
    <x v="43"/>
    <x v="2"/>
    <x v="2"/>
    <x v="2"/>
  </r>
  <r>
    <x v="337"/>
    <x v="2"/>
    <x v="13"/>
    <x v="0"/>
    <x v="11"/>
    <x v="3"/>
    <x v="21"/>
    <x v="12"/>
    <x v="0"/>
    <x v="0"/>
  </r>
  <r>
    <x v="337"/>
    <x v="3"/>
    <x v="16"/>
    <x v="1"/>
    <x v="13"/>
    <x v="1"/>
    <x v="136"/>
    <x v="14"/>
    <x v="2"/>
    <x v="2"/>
  </r>
  <r>
    <x v="337"/>
    <x v="4"/>
    <x v="11"/>
    <x v="0"/>
    <x v="9"/>
    <x v="2"/>
    <x v="121"/>
    <x v="10"/>
    <x v="3"/>
    <x v="3"/>
  </r>
  <r>
    <x v="338"/>
    <x v="0"/>
    <x v="17"/>
    <x v="0"/>
    <x v="11"/>
    <x v="3"/>
    <x v="21"/>
    <x v="15"/>
    <x v="0"/>
    <x v="0"/>
  </r>
  <r>
    <x v="338"/>
    <x v="1"/>
    <x v="12"/>
    <x v="1"/>
    <x v="10"/>
    <x v="2"/>
    <x v="94"/>
    <x v="11"/>
    <x v="0"/>
    <x v="0"/>
  </r>
  <r>
    <x v="339"/>
    <x v="0"/>
    <x v="16"/>
    <x v="0"/>
    <x v="13"/>
    <x v="2"/>
    <x v="26"/>
    <x v="14"/>
    <x v="2"/>
    <x v="2"/>
  </r>
  <r>
    <x v="339"/>
    <x v="1"/>
    <x v="24"/>
    <x v="0"/>
    <x v="8"/>
    <x v="2"/>
    <x v="101"/>
    <x v="9"/>
    <x v="0"/>
    <x v="0"/>
  </r>
  <r>
    <x v="339"/>
    <x v="2"/>
    <x v="17"/>
    <x v="1"/>
    <x v="11"/>
    <x v="3"/>
    <x v="23"/>
    <x v="15"/>
    <x v="0"/>
    <x v="0"/>
  </r>
  <r>
    <x v="339"/>
    <x v="3"/>
    <x v="10"/>
    <x v="1"/>
    <x v="8"/>
    <x v="1"/>
    <x v="30"/>
    <x v="9"/>
    <x v="0"/>
    <x v="0"/>
  </r>
  <r>
    <x v="339"/>
    <x v="4"/>
    <x v="2"/>
    <x v="1"/>
    <x v="2"/>
    <x v="3"/>
    <x v="70"/>
    <x v="2"/>
    <x v="2"/>
    <x v="2"/>
  </r>
  <r>
    <x v="340"/>
    <x v="0"/>
    <x v="19"/>
    <x v="1"/>
    <x v="15"/>
    <x v="2"/>
    <x v="89"/>
    <x v="17"/>
    <x v="4"/>
    <x v="4"/>
  </r>
  <r>
    <x v="341"/>
    <x v="0"/>
    <x v="8"/>
    <x v="0"/>
    <x v="0"/>
    <x v="1"/>
    <x v="5"/>
    <x v="3"/>
    <x v="0"/>
    <x v="0"/>
  </r>
  <r>
    <x v="341"/>
    <x v="1"/>
    <x v="11"/>
    <x v="0"/>
    <x v="9"/>
    <x v="0"/>
    <x v="141"/>
    <x v="10"/>
    <x v="3"/>
    <x v="3"/>
  </r>
  <r>
    <x v="341"/>
    <x v="2"/>
    <x v="3"/>
    <x v="1"/>
    <x v="0"/>
    <x v="3"/>
    <x v="28"/>
    <x v="3"/>
    <x v="0"/>
    <x v="0"/>
  </r>
  <r>
    <x v="342"/>
    <x v="0"/>
    <x v="0"/>
    <x v="1"/>
    <x v="0"/>
    <x v="0"/>
    <x v="24"/>
    <x v="0"/>
    <x v="0"/>
    <x v="0"/>
  </r>
  <r>
    <x v="342"/>
    <x v="1"/>
    <x v="22"/>
    <x v="0"/>
    <x v="17"/>
    <x v="2"/>
    <x v="111"/>
    <x v="19"/>
    <x v="5"/>
    <x v="5"/>
  </r>
  <r>
    <x v="342"/>
    <x v="2"/>
    <x v="21"/>
    <x v="1"/>
    <x v="16"/>
    <x v="2"/>
    <x v="131"/>
    <x v="18"/>
    <x v="1"/>
    <x v="1"/>
  </r>
  <r>
    <x v="342"/>
    <x v="3"/>
    <x v="2"/>
    <x v="0"/>
    <x v="2"/>
    <x v="3"/>
    <x v="139"/>
    <x v="2"/>
    <x v="2"/>
    <x v="2"/>
  </r>
  <r>
    <x v="343"/>
    <x v="0"/>
    <x v="13"/>
    <x v="0"/>
    <x v="11"/>
    <x v="2"/>
    <x v="18"/>
    <x v="12"/>
    <x v="0"/>
    <x v="0"/>
  </r>
  <r>
    <x v="343"/>
    <x v="1"/>
    <x v="9"/>
    <x v="1"/>
    <x v="7"/>
    <x v="1"/>
    <x v="53"/>
    <x v="8"/>
    <x v="0"/>
    <x v="0"/>
  </r>
  <r>
    <x v="343"/>
    <x v="2"/>
    <x v="15"/>
    <x v="0"/>
    <x v="11"/>
    <x v="0"/>
    <x v="51"/>
    <x v="12"/>
    <x v="0"/>
    <x v="0"/>
  </r>
  <r>
    <x v="344"/>
    <x v="0"/>
    <x v="9"/>
    <x v="1"/>
    <x v="7"/>
    <x v="3"/>
    <x v="106"/>
    <x v="8"/>
    <x v="0"/>
    <x v="0"/>
  </r>
  <r>
    <x v="344"/>
    <x v="1"/>
    <x v="24"/>
    <x v="1"/>
    <x v="8"/>
    <x v="1"/>
    <x v="30"/>
    <x v="9"/>
    <x v="0"/>
    <x v="0"/>
  </r>
  <r>
    <x v="345"/>
    <x v="0"/>
    <x v="17"/>
    <x v="0"/>
    <x v="11"/>
    <x v="1"/>
    <x v="36"/>
    <x v="15"/>
    <x v="0"/>
    <x v="0"/>
  </r>
  <r>
    <x v="345"/>
    <x v="1"/>
    <x v="19"/>
    <x v="0"/>
    <x v="15"/>
    <x v="0"/>
    <x v="122"/>
    <x v="17"/>
    <x v="4"/>
    <x v="4"/>
  </r>
  <r>
    <x v="345"/>
    <x v="2"/>
    <x v="20"/>
    <x v="0"/>
    <x v="11"/>
    <x v="3"/>
    <x v="21"/>
    <x v="15"/>
    <x v="0"/>
    <x v="0"/>
  </r>
  <r>
    <x v="345"/>
    <x v="3"/>
    <x v="12"/>
    <x v="0"/>
    <x v="10"/>
    <x v="2"/>
    <x v="119"/>
    <x v="11"/>
    <x v="0"/>
    <x v="0"/>
  </r>
  <r>
    <x v="345"/>
    <x v="4"/>
    <x v="9"/>
    <x v="1"/>
    <x v="7"/>
    <x v="2"/>
    <x v="32"/>
    <x v="8"/>
    <x v="0"/>
    <x v="0"/>
  </r>
  <r>
    <x v="346"/>
    <x v="0"/>
    <x v="19"/>
    <x v="0"/>
    <x v="15"/>
    <x v="1"/>
    <x v="75"/>
    <x v="17"/>
    <x v="4"/>
    <x v="4"/>
  </r>
  <r>
    <x v="347"/>
    <x v="0"/>
    <x v="21"/>
    <x v="1"/>
    <x v="16"/>
    <x v="2"/>
    <x v="131"/>
    <x v="18"/>
    <x v="1"/>
    <x v="1"/>
  </r>
  <r>
    <x v="347"/>
    <x v="1"/>
    <x v="12"/>
    <x v="1"/>
    <x v="10"/>
    <x v="1"/>
    <x v="109"/>
    <x v="11"/>
    <x v="0"/>
    <x v="0"/>
  </r>
  <r>
    <x v="348"/>
    <x v="0"/>
    <x v="0"/>
    <x v="1"/>
    <x v="0"/>
    <x v="0"/>
    <x v="24"/>
    <x v="0"/>
    <x v="0"/>
    <x v="0"/>
  </r>
  <r>
    <x v="349"/>
    <x v="0"/>
    <x v="18"/>
    <x v="1"/>
    <x v="14"/>
    <x v="2"/>
    <x v="124"/>
    <x v="16"/>
    <x v="1"/>
    <x v="1"/>
  </r>
  <r>
    <x v="349"/>
    <x v="1"/>
    <x v="0"/>
    <x v="0"/>
    <x v="0"/>
    <x v="1"/>
    <x v="5"/>
    <x v="0"/>
    <x v="0"/>
    <x v="0"/>
  </r>
  <r>
    <x v="349"/>
    <x v="2"/>
    <x v="5"/>
    <x v="0"/>
    <x v="4"/>
    <x v="1"/>
    <x v="133"/>
    <x v="5"/>
    <x v="1"/>
    <x v="1"/>
  </r>
  <r>
    <x v="350"/>
    <x v="0"/>
    <x v="4"/>
    <x v="1"/>
    <x v="3"/>
    <x v="2"/>
    <x v="49"/>
    <x v="4"/>
    <x v="1"/>
    <x v="1"/>
  </r>
  <r>
    <x v="350"/>
    <x v="1"/>
    <x v="24"/>
    <x v="1"/>
    <x v="8"/>
    <x v="3"/>
    <x v="97"/>
    <x v="9"/>
    <x v="0"/>
    <x v="0"/>
  </r>
  <r>
    <x v="350"/>
    <x v="2"/>
    <x v="0"/>
    <x v="0"/>
    <x v="0"/>
    <x v="0"/>
    <x v="0"/>
    <x v="0"/>
    <x v="0"/>
    <x v="0"/>
  </r>
  <r>
    <x v="350"/>
    <x v="3"/>
    <x v="13"/>
    <x v="1"/>
    <x v="11"/>
    <x v="1"/>
    <x v="35"/>
    <x v="12"/>
    <x v="0"/>
    <x v="0"/>
  </r>
  <r>
    <x v="351"/>
    <x v="0"/>
    <x v="16"/>
    <x v="0"/>
    <x v="13"/>
    <x v="0"/>
    <x v="114"/>
    <x v="14"/>
    <x v="2"/>
    <x v="2"/>
  </r>
  <r>
    <x v="351"/>
    <x v="1"/>
    <x v="15"/>
    <x v="0"/>
    <x v="11"/>
    <x v="0"/>
    <x v="51"/>
    <x v="12"/>
    <x v="0"/>
    <x v="0"/>
  </r>
  <r>
    <x v="352"/>
    <x v="0"/>
    <x v="6"/>
    <x v="1"/>
    <x v="5"/>
    <x v="0"/>
    <x v="39"/>
    <x v="6"/>
    <x v="1"/>
    <x v="1"/>
  </r>
  <r>
    <x v="353"/>
    <x v="0"/>
    <x v="20"/>
    <x v="0"/>
    <x v="11"/>
    <x v="0"/>
    <x v="51"/>
    <x v="15"/>
    <x v="0"/>
    <x v="0"/>
  </r>
  <r>
    <x v="353"/>
    <x v="1"/>
    <x v="23"/>
    <x v="0"/>
    <x v="7"/>
    <x v="2"/>
    <x v="72"/>
    <x v="20"/>
    <x v="0"/>
    <x v="0"/>
  </r>
  <r>
    <x v="354"/>
    <x v="0"/>
    <x v="3"/>
    <x v="0"/>
    <x v="0"/>
    <x v="3"/>
    <x v="12"/>
    <x v="3"/>
    <x v="0"/>
    <x v="0"/>
  </r>
  <r>
    <x v="354"/>
    <x v="1"/>
    <x v="15"/>
    <x v="1"/>
    <x v="11"/>
    <x v="1"/>
    <x v="35"/>
    <x v="12"/>
    <x v="0"/>
    <x v="0"/>
  </r>
  <r>
    <x v="355"/>
    <x v="0"/>
    <x v="19"/>
    <x v="1"/>
    <x v="15"/>
    <x v="2"/>
    <x v="89"/>
    <x v="17"/>
    <x v="4"/>
    <x v="4"/>
  </r>
  <r>
    <x v="355"/>
    <x v="1"/>
    <x v="4"/>
    <x v="0"/>
    <x v="3"/>
    <x v="2"/>
    <x v="143"/>
    <x v="4"/>
    <x v="1"/>
    <x v="1"/>
  </r>
  <r>
    <x v="355"/>
    <x v="2"/>
    <x v="17"/>
    <x v="0"/>
    <x v="11"/>
    <x v="2"/>
    <x v="18"/>
    <x v="15"/>
    <x v="0"/>
    <x v="0"/>
  </r>
  <r>
    <x v="356"/>
    <x v="0"/>
    <x v="7"/>
    <x v="1"/>
    <x v="6"/>
    <x v="2"/>
    <x v="27"/>
    <x v="7"/>
    <x v="0"/>
    <x v="0"/>
  </r>
  <r>
    <x v="356"/>
    <x v="1"/>
    <x v="20"/>
    <x v="1"/>
    <x v="11"/>
    <x v="1"/>
    <x v="35"/>
    <x v="15"/>
    <x v="0"/>
    <x v="0"/>
  </r>
  <r>
    <x v="356"/>
    <x v="2"/>
    <x v="24"/>
    <x v="0"/>
    <x v="8"/>
    <x v="1"/>
    <x v="77"/>
    <x v="9"/>
    <x v="0"/>
    <x v="0"/>
  </r>
  <r>
    <x v="356"/>
    <x v="3"/>
    <x v="11"/>
    <x v="0"/>
    <x v="9"/>
    <x v="2"/>
    <x v="121"/>
    <x v="10"/>
    <x v="3"/>
    <x v="3"/>
  </r>
  <r>
    <x v="357"/>
    <x v="0"/>
    <x v="20"/>
    <x v="1"/>
    <x v="11"/>
    <x v="3"/>
    <x v="23"/>
    <x v="15"/>
    <x v="0"/>
    <x v="0"/>
  </r>
  <r>
    <x v="357"/>
    <x v="1"/>
    <x v="18"/>
    <x v="1"/>
    <x v="14"/>
    <x v="1"/>
    <x v="138"/>
    <x v="16"/>
    <x v="1"/>
    <x v="1"/>
  </r>
  <r>
    <x v="357"/>
    <x v="2"/>
    <x v="1"/>
    <x v="1"/>
    <x v="1"/>
    <x v="2"/>
    <x v="134"/>
    <x v="1"/>
    <x v="1"/>
    <x v="1"/>
  </r>
  <r>
    <x v="357"/>
    <x v="3"/>
    <x v="9"/>
    <x v="1"/>
    <x v="7"/>
    <x v="3"/>
    <x v="106"/>
    <x v="8"/>
    <x v="0"/>
    <x v="0"/>
  </r>
  <r>
    <x v="358"/>
    <x v="0"/>
    <x v="12"/>
    <x v="1"/>
    <x v="10"/>
    <x v="1"/>
    <x v="109"/>
    <x v="11"/>
    <x v="0"/>
    <x v="0"/>
  </r>
  <r>
    <x v="358"/>
    <x v="1"/>
    <x v="11"/>
    <x v="1"/>
    <x v="9"/>
    <x v="1"/>
    <x v="14"/>
    <x v="10"/>
    <x v="3"/>
    <x v="3"/>
  </r>
  <r>
    <x v="358"/>
    <x v="2"/>
    <x v="14"/>
    <x v="1"/>
    <x v="12"/>
    <x v="0"/>
    <x v="61"/>
    <x v="13"/>
    <x v="1"/>
    <x v="1"/>
  </r>
  <r>
    <x v="359"/>
    <x v="0"/>
    <x v="8"/>
    <x v="0"/>
    <x v="0"/>
    <x v="2"/>
    <x v="7"/>
    <x v="3"/>
    <x v="0"/>
    <x v="0"/>
  </r>
  <r>
    <x v="359"/>
    <x v="1"/>
    <x v="14"/>
    <x v="1"/>
    <x v="12"/>
    <x v="0"/>
    <x v="61"/>
    <x v="13"/>
    <x v="1"/>
    <x v="1"/>
  </r>
  <r>
    <x v="359"/>
    <x v="2"/>
    <x v="17"/>
    <x v="1"/>
    <x v="11"/>
    <x v="2"/>
    <x v="64"/>
    <x v="15"/>
    <x v="0"/>
    <x v="0"/>
  </r>
  <r>
    <x v="359"/>
    <x v="3"/>
    <x v="22"/>
    <x v="0"/>
    <x v="17"/>
    <x v="3"/>
    <x v="93"/>
    <x v="19"/>
    <x v="5"/>
    <x v="5"/>
  </r>
  <r>
    <x v="360"/>
    <x v="0"/>
    <x v="24"/>
    <x v="1"/>
    <x v="8"/>
    <x v="2"/>
    <x v="11"/>
    <x v="9"/>
    <x v="0"/>
    <x v="0"/>
  </r>
  <r>
    <x v="360"/>
    <x v="1"/>
    <x v="18"/>
    <x v="1"/>
    <x v="14"/>
    <x v="3"/>
    <x v="110"/>
    <x v="16"/>
    <x v="1"/>
    <x v="1"/>
  </r>
  <r>
    <x v="360"/>
    <x v="2"/>
    <x v="16"/>
    <x v="0"/>
    <x v="13"/>
    <x v="3"/>
    <x v="86"/>
    <x v="14"/>
    <x v="2"/>
    <x v="2"/>
  </r>
  <r>
    <x v="361"/>
    <x v="0"/>
    <x v="6"/>
    <x v="0"/>
    <x v="5"/>
    <x v="1"/>
    <x v="116"/>
    <x v="6"/>
    <x v="1"/>
    <x v="1"/>
  </r>
  <r>
    <x v="362"/>
    <x v="0"/>
    <x v="20"/>
    <x v="1"/>
    <x v="11"/>
    <x v="3"/>
    <x v="23"/>
    <x v="15"/>
    <x v="0"/>
    <x v="0"/>
  </r>
  <r>
    <x v="362"/>
    <x v="1"/>
    <x v="15"/>
    <x v="0"/>
    <x v="11"/>
    <x v="1"/>
    <x v="36"/>
    <x v="12"/>
    <x v="0"/>
    <x v="0"/>
  </r>
  <r>
    <x v="362"/>
    <x v="2"/>
    <x v="12"/>
    <x v="0"/>
    <x v="10"/>
    <x v="3"/>
    <x v="80"/>
    <x v="11"/>
    <x v="0"/>
    <x v="0"/>
  </r>
  <r>
    <x v="362"/>
    <x v="3"/>
    <x v="0"/>
    <x v="0"/>
    <x v="0"/>
    <x v="0"/>
    <x v="0"/>
    <x v="0"/>
    <x v="0"/>
    <x v="0"/>
  </r>
  <r>
    <x v="363"/>
    <x v="0"/>
    <x v="22"/>
    <x v="1"/>
    <x v="17"/>
    <x v="2"/>
    <x v="41"/>
    <x v="19"/>
    <x v="5"/>
    <x v="5"/>
  </r>
  <r>
    <x v="364"/>
    <x v="0"/>
    <x v="24"/>
    <x v="1"/>
    <x v="8"/>
    <x v="1"/>
    <x v="30"/>
    <x v="9"/>
    <x v="0"/>
    <x v="0"/>
  </r>
  <r>
    <x v="365"/>
    <x v="0"/>
    <x v="20"/>
    <x v="0"/>
    <x v="11"/>
    <x v="3"/>
    <x v="21"/>
    <x v="15"/>
    <x v="0"/>
    <x v="0"/>
  </r>
  <r>
    <x v="365"/>
    <x v="1"/>
    <x v="4"/>
    <x v="0"/>
    <x v="3"/>
    <x v="1"/>
    <x v="123"/>
    <x v="4"/>
    <x v="1"/>
    <x v="1"/>
  </r>
  <r>
    <x v="365"/>
    <x v="2"/>
    <x v="3"/>
    <x v="1"/>
    <x v="0"/>
    <x v="0"/>
    <x v="24"/>
    <x v="3"/>
    <x v="0"/>
    <x v="0"/>
  </r>
  <r>
    <x v="366"/>
    <x v="0"/>
    <x v="8"/>
    <x v="1"/>
    <x v="0"/>
    <x v="3"/>
    <x v="28"/>
    <x v="3"/>
    <x v="0"/>
    <x v="0"/>
  </r>
  <r>
    <x v="366"/>
    <x v="1"/>
    <x v="15"/>
    <x v="0"/>
    <x v="11"/>
    <x v="2"/>
    <x v="18"/>
    <x v="12"/>
    <x v="0"/>
    <x v="0"/>
  </r>
  <r>
    <x v="366"/>
    <x v="2"/>
    <x v="2"/>
    <x v="1"/>
    <x v="2"/>
    <x v="2"/>
    <x v="2"/>
    <x v="2"/>
    <x v="2"/>
    <x v="2"/>
  </r>
  <r>
    <x v="367"/>
    <x v="0"/>
    <x v="21"/>
    <x v="0"/>
    <x v="16"/>
    <x v="0"/>
    <x v="58"/>
    <x v="18"/>
    <x v="1"/>
    <x v="1"/>
  </r>
  <r>
    <x v="367"/>
    <x v="1"/>
    <x v="2"/>
    <x v="1"/>
    <x v="2"/>
    <x v="0"/>
    <x v="54"/>
    <x v="2"/>
    <x v="2"/>
    <x v="2"/>
  </r>
  <r>
    <x v="367"/>
    <x v="2"/>
    <x v="20"/>
    <x v="1"/>
    <x v="11"/>
    <x v="3"/>
    <x v="23"/>
    <x v="15"/>
    <x v="0"/>
    <x v="0"/>
  </r>
  <r>
    <x v="367"/>
    <x v="3"/>
    <x v="23"/>
    <x v="0"/>
    <x v="7"/>
    <x v="2"/>
    <x v="72"/>
    <x v="20"/>
    <x v="0"/>
    <x v="0"/>
  </r>
  <r>
    <x v="368"/>
    <x v="0"/>
    <x v="2"/>
    <x v="1"/>
    <x v="2"/>
    <x v="1"/>
    <x v="46"/>
    <x v="2"/>
    <x v="2"/>
    <x v="2"/>
  </r>
  <r>
    <x v="369"/>
    <x v="0"/>
    <x v="22"/>
    <x v="1"/>
    <x v="17"/>
    <x v="2"/>
    <x v="41"/>
    <x v="19"/>
    <x v="5"/>
    <x v="5"/>
  </r>
  <r>
    <x v="369"/>
    <x v="1"/>
    <x v="4"/>
    <x v="1"/>
    <x v="3"/>
    <x v="3"/>
    <x v="25"/>
    <x v="4"/>
    <x v="1"/>
    <x v="1"/>
  </r>
  <r>
    <x v="370"/>
    <x v="0"/>
    <x v="15"/>
    <x v="0"/>
    <x v="11"/>
    <x v="0"/>
    <x v="51"/>
    <x v="12"/>
    <x v="0"/>
    <x v="0"/>
  </r>
  <r>
    <x v="370"/>
    <x v="1"/>
    <x v="10"/>
    <x v="0"/>
    <x v="8"/>
    <x v="0"/>
    <x v="57"/>
    <x v="9"/>
    <x v="0"/>
    <x v="0"/>
  </r>
  <r>
    <x v="371"/>
    <x v="0"/>
    <x v="16"/>
    <x v="0"/>
    <x v="13"/>
    <x v="2"/>
    <x v="26"/>
    <x v="14"/>
    <x v="2"/>
    <x v="2"/>
  </r>
  <r>
    <x v="371"/>
    <x v="1"/>
    <x v="15"/>
    <x v="1"/>
    <x v="11"/>
    <x v="3"/>
    <x v="23"/>
    <x v="12"/>
    <x v="0"/>
    <x v="0"/>
  </r>
  <r>
    <x v="371"/>
    <x v="2"/>
    <x v="21"/>
    <x v="0"/>
    <x v="16"/>
    <x v="3"/>
    <x v="38"/>
    <x v="18"/>
    <x v="1"/>
    <x v="1"/>
  </r>
  <r>
    <x v="372"/>
    <x v="0"/>
    <x v="1"/>
    <x v="1"/>
    <x v="1"/>
    <x v="2"/>
    <x v="134"/>
    <x v="1"/>
    <x v="1"/>
    <x v="1"/>
  </r>
  <r>
    <x v="372"/>
    <x v="1"/>
    <x v="13"/>
    <x v="0"/>
    <x v="11"/>
    <x v="3"/>
    <x v="21"/>
    <x v="12"/>
    <x v="0"/>
    <x v="0"/>
  </r>
  <r>
    <x v="372"/>
    <x v="2"/>
    <x v="23"/>
    <x v="1"/>
    <x v="7"/>
    <x v="0"/>
    <x v="83"/>
    <x v="20"/>
    <x v="0"/>
    <x v="0"/>
  </r>
  <r>
    <x v="372"/>
    <x v="3"/>
    <x v="10"/>
    <x v="0"/>
    <x v="8"/>
    <x v="3"/>
    <x v="98"/>
    <x v="9"/>
    <x v="0"/>
    <x v="0"/>
  </r>
  <r>
    <x v="372"/>
    <x v="4"/>
    <x v="17"/>
    <x v="0"/>
    <x v="11"/>
    <x v="3"/>
    <x v="21"/>
    <x v="15"/>
    <x v="0"/>
    <x v="0"/>
  </r>
  <r>
    <x v="373"/>
    <x v="0"/>
    <x v="2"/>
    <x v="0"/>
    <x v="2"/>
    <x v="3"/>
    <x v="139"/>
    <x v="2"/>
    <x v="2"/>
    <x v="2"/>
  </r>
  <r>
    <x v="373"/>
    <x v="1"/>
    <x v="14"/>
    <x v="0"/>
    <x v="12"/>
    <x v="1"/>
    <x v="140"/>
    <x v="13"/>
    <x v="1"/>
    <x v="1"/>
  </r>
  <r>
    <x v="374"/>
    <x v="0"/>
    <x v="20"/>
    <x v="1"/>
    <x v="11"/>
    <x v="2"/>
    <x v="64"/>
    <x v="15"/>
    <x v="0"/>
    <x v="0"/>
  </r>
  <r>
    <x v="374"/>
    <x v="1"/>
    <x v="6"/>
    <x v="1"/>
    <x v="5"/>
    <x v="2"/>
    <x v="125"/>
    <x v="6"/>
    <x v="1"/>
    <x v="1"/>
  </r>
  <r>
    <x v="374"/>
    <x v="2"/>
    <x v="4"/>
    <x v="1"/>
    <x v="3"/>
    <x v="1"/>
    <x v="127"/>
    <x v="4"/>
    <x v="1"/>
    <x v="1"/>
  </r>
  <r>
    <x v="374"/>
    <x v="3"/>
    <x v="10"/>
    <x v="1"/>
    <x v="8"/>
    <x v="2"/>
    <x v="11"/>
    <x v="9"/>
    <x v="0"/>
    <x v="0"/>
  </r>
  <r>
    <x v="375"/>
    <x v="0"/>
    <x v="6"/>
    <x v="1"/>
    <x v="5"/>
    <x v="1"/>
    <x v="130"/>
    <x v="6"/>
    <x v="1"/>
    <x v="1"/>
  </r>
  <r>
    <x v="375"/>
    <x v="1"/>
    <x v="19"/>
    <x v="1"/>
    <x v="15"/>
    <x v="3"/>
    <x v="50"/>
    <x v="17"/>
    <x v="4"/>
    <x v="4"/>
  </r>
  <r>
    <x v="376"/>
    <x v="0"/>
    <x v="1"/>
    <x v="0"/>
    <x v="1"/>
    <x v="2"/>
    <x v="22"/>
    <x v="1"/>
    <x v="1"/>
    <x v="1"/>
  </r>
  <r>
    <x v="376"/>
    <x v="1"/>
    <x v="15"/>
    <x v="0"/>
    <x v="11"/>
    <x v="1"/>
    <x v="36"/>
    <x v="12"/>
    <x v="0"/>
    <x v="0"/>
  </r>
  <r>
    <x v="377"/>
    <x v="0"/>
    <x v="8"/>
    <x v="1"/>
    <x v="0"/>
    <x v="2"/>
    <x v="3"/>
    <x v="3"/>
    <x v="0"/>
    <x v="0"/>
  </r>
  <r>
    <x v="378"/>
    <x v="0"/>
    <x v="11"/>
    <x v="0"/>
    <x v="9"/>
    <x v="1"/>
    <x v="45"/>
    <x v="10"/>
    <x v="3"/>
    <x v="3"/>
  </r>
  <r>
    <x v="378"/>
    <x v="1"/>
    <x v="3"/>
    <x v="0"/>
    <x v="0"/>
    <x v="0"/>
    <x v="0"/>
    <x v="3"/>
    <x v="0"/>
    <x v="0"/>
  </r>
  <r>
    <x v="379"/>
    <x v="0"/>
    <x v="3"/>
    <x v="0"/>
    <x v="0"/>
    <x v="2"/>
    <x v="7"/>
    <x v="3"/>
    <x v="0"/>
    <x v="0"/>
  </r>
  <r>
    <x v="379"/>
    <x v="1"/>
    <x v="16"/>
    <x v="1"/>
    <x v="13"/>
    <x v="2"/>
    <x v="67"/>
    <x v="14"/>
    <x v="2"/>
    <x v="2"/>
  </r>
  <r>
    <x v="380"/>
    <x v="0"/>
    <x v="20"/>
    <x v="1"/>
    <x v="11"/>
    <x v="1"/>
    <x v="35"/>
    <x v="15"/>
    <x v="0"/>
    <x v="0"/>
  </r>
  <r>
    <x v="381"/>
    <x v="0"/>
    <x v="1"/>
    <x v="0"/>
    <x v="1"/>
    <x v="3"/>
    <x v="112"/>
    <x v="1"/>
    <x v="1"/>
    <x v="1"/>
  </r>
  <r>
    <x v="381"/>
    <x v="1"/>
    <x v="11"/>
    <x v="0"/>
    <x v="9"/>
    <x v="3"/>
    <x v="128"/>
    <x v="10"/>
    <x v="3"/>
    <x v="3"/>
  </r>
  <r>
    <x v="381"/>
    <x v="2"/>
    <x v="17"/>
    <x v="0"/>
    <x v="11"/>
    <x v="1"/>
    <x v="36"/>
    <x v="15"/>
    <x v="0"/>
    <x v="0"/>
  </r>
  <r>
    <x v="382"/>
    <x v="0"/>
    <x v="23"/>
    <x v="0"/>
    <x v="7"/>
    <x v="1"/>
    <x v="10"/>
    <x v="20"/>
    <x v="0"/>
    <x v="0"/>
  </r>
  <r>
    <x v="382"/>
    <x v="1"/>
    <x v="13"/>
    <x v="1"/>
    <x v="11"/>
    <x v="2"/>
    <x v="64"/>
    <x v="12"/>
    <x v="0"/>
    <x v="0"/>
  </r>
  <r>
    <x v="382"/>
    <x v="2"/>
    <x v="17"/>
    <x v="0"/>
    <x v="11"/>
    <x v="3"/>
    <x v="21"/>
    <x v="15"/>
    <x v="0"/>
    <x v="0"/>
  </r>
  <r>
    <x v="382"/>
    <x v="3"/>
    <x v="20"/>
    <x v="1"/>
    <x v="11"/>
    <x v="2"/>
    <x v="64"/>
    <x v="15"/>
    <x v="0"/>
    <x v="0"/>
  </r>
  <r>
    <x v="382"/>
    <x v="4"/>
    <x v="15"/>
    <x v="0"/>
    <x v="11"/>
    <x v="3"/>
    <x v="21"/>
    <x v="12"/>
    <x v="0"/>
    <x v="0"/>
  </r>
  <r>
    <x v="383"/>
    <x v="0"/>
    <x v="0"/>
    <x v="0"/>
    <x v="0"/>
    <x v="3"/>
    <x v="12"/>
    <x v="0"/>
    <x v="0"/>
    <x v="0"/>
  </r>
  <r>
    <x v="383"/>
    <x v="1"/>
    <x v="20"/>
    <x v="1"/>
    <x v="11"/>
    <x v="0"/>
    <x v="78"/>
    <x v="15"/>
    <x v="0"/>
    <x v="0"/>
  </r>
  <r>
    <x v="383"/>
    <x v="2"/>
    <x v="1"/>
    <x v="0"/>
    <x v="1"/>
    <x v="2"/>
    <x v="22"/>
    <x v="1"/>
    <x v="1"/>
    <x v="1"/>
  </r>
  <r>
    <x v="383"/>
    <x v="3"/>
    <x v="12"/>
    <x v="0"/>
    <x v="10"/>
    <x v="3"/>
    <x v="80"/>
    <x v="11"/>
    <x v="0"/>
    <x v="0"/>
  </r>
  <r>
    <x v="383"/>
    <x v="4"/>
    <x v="4"/>
    <x v="0"/>
    <x v="3"/>
    <x v="0"/>
    <x v="4"/>
    <x v="4"/>
    <x v="1"/>
    <x v="1"/>
  </r>
  <r>
    <x v="384"/>
    <x v="0"/>
    <x v="20"/>
    <x v="0"/>
    <x v="11"/>
    <x v="1"/>
    <x v="36"/>
    <x v="15"/>
    <x v="0"/>
    <x v="0"/>
  </r>
  <r>
    <x v="384"/>
    <x v="1"/>
    <x v="14"/>
    <x v="1"/>
    <x v="12"/>
    <x v="0"/>
    <x v="61"/>
    <x v="13"/>
    <x v="1"/>
    <x v="1"/>
  </r>
  <r>
    <x v="384"/>
    <x v="2"/>
    <x v="8"/>
    <x v="1"/>
    <x v="0"/>
    <x v="2"/>
    <x v="3"/>
    <x v="3"/>
    <x v="0"/>
    <x v="0"/>
  </r>
  <r>
    <x v="385"/>
    <x v="0"/>
    <x v="1"/>
    <x v="0"/>
    <x v="1"/>
    <x v="0"/>
    <x v="34"/>
    <x v="1"/>
    <x v="1"/>
    <x v="1"/>
  </r>
  <r>
    <x v="385"/>
    <x v="1"/>
    <x v="5"/>
    <x v="1"/>
    <x v="4"/>
    <x v="2"/>
    <x v="79"/>
    <x v="5"/>
    <x v="1"/>
    <x v="1"/>
  </r>
  <r>
    <x v="385"/>
    <x v="2"/>
    <x v="3"/>
    <x v="1"/>
    <x v="0"/>
    <x v="0"/>
    <x v="24"/>
    <x v="3"/>
    <x v="0"/>
    <x v="0"/>
  </r>
  <r>
    <x v="386"/>
    <x v="0"/>
    <x v="9"/>
    <x v="0"/>
    <x v="7"/>
    <x v="0"/>
    <x v="59"/>
    <x v="8"/>
    <x v="0"/>
    <x v="0"/>
  </r>
  <r>
    <x v="387"/>
    <x v="0"/>
    <x v="23"/>
    <x v="1"/>
    <x v="7"/>
    <x v="0"/>
    <x v="83"/>
    <x v="20"/>
    <x v="0"/>
    <x v="0"/>
  </r>
  <r>
    <x v="387"/>
    <x v="1"/>
    <x v="17"/>
    <x v="1"/>
    <x v="11"/>
    <x v="1"/>
    <x v="35"/>
    <x v="15"/>
    <x v="0"/>
    <x v="0"/>
  </r>
  <r>
    <x v="387"/>
    <x v="2"/>
    <x v="6"/>
    <x v="0"/>
    <x v="5"/>
    <x v="1"/>
    <x v="116"/>
    <x v="6"/>
    <x v="1"/>
    <x v="1"/>
  </r>
  <r>
    <x v="387"/>
    <x v="3"/>
    <x v="16"/>
    <x v="0"/>
    <x v="13"/>
    <x v="3"/>
    <x v="86"/>
    <x v="14"/>
    <x v="2"/>
    <x v="2"/>
  </r>
  <r>
    <x v="388"/>
    <x v="0"/>
    <x v="6"/>
    <x v="0"/>
    <x v="5"/>
    <x v="1"/>
    <x v="116"/>
    <x v="6"/>
    <x v="1"/>
    <x v="1"/>
  </r>
  <r>
    <x v="388"/>
    <x v="1"/>
    <x v="12"/>
    <x v="1"/>
    <x v="10"/>
    <x v="1"/>
    <x v="109"/>
    <x v="11"/>
    <x v="0"/>
    <x v="0"/>
  </r>
  <r>
    <x v="388"/>
    <x v="2"/>
    <x v="2"/>
    <x v="1"/>
    <x v="2"/>
    <x v="2"/>
    <x v="2"/>
    <x v="2"/>
    <x v="2"/>
    <x v="2"/>
  </r>
  <r>
    <x v="388"/>
    <x v="3"/>
    <x v="21"/>
    <x v="0"/>
    <x v="16"/>
    <x v="2"/>
    <x v="60"/>
    <x v="18"/>
    <x v="1"/>
    <x v="1"/>
  </r>
  <r>
    <x v="388"/>
    <x v="4"/>
    <x v="11"/>
    <x v="0"/>
    <x v="9"/>
    <x v="0"/>
    <x v="141"/>
    <x v="10"/>
    <x v="3"/>
    <x v="3"/>
  </r>
  <r>
    <x v="389"/>
    <x v="0"/>
    <x v="19"/>
    <x v="0"/>
    <x v="15"/>
    <x v="2"/>
    <x v="115"/>
    <x v="17"/>
    <x v="4"/>
    <x v="4"/>
  </r>
  <r>
    <x v="389"/>
    <x v="1"/>
    <x v="14"/>
    <x v="1"/>
    <x v="12"/>
    <x v="1"/>
    <x v="102"/>
    <x v="13"/>
    <x v="1"/>
    <x v="1"/>
  </r>
  <r>
    <x v="389"/>
    <x v="2"/>
    <x v="11"/>
    <x v="0"/>
    <x v="9"/>
    <x v="2"/>
    <x v="121"/>
    <x v="10"/>
    <x v="3"/>
    <x v="3"/>
  </r>
  <r>
    <x v="390"/>
    <x v="0"/>
    <x v="1"/>
    <x v="0"/>
    <x v="1"/>
    <x v="1"/>
    <x v="31"/>
    <x v="1"/>
    <x v="1"/>
    <x v="1"/>
  </r>
  <r>
    <x v="390"/>
    <x v="1"/>
    <x v="21"/>
    <x v="1"/>
    <x v="16"/>
    <x v="0"/>
    <x v="95"/>
    <x v="18"/>
    <x v="1"/>
    <x v="1"/>
  </r>
  <r>
    <x v="390"/>
    <x v="2"/>
    <x v="24"/>
    <x v="1"/>
    <x v="8"/>
    <x v="1"/>
    <x v="30"/>
    <x v="9"/>
    <x v="0"/>
    <x v="0"/>
  </r>
  <r>
    <x v="391"/>
    <x v="0"/>
    <x v="15"/>
    <x v="1"/>
    <x v="11"/>
    <x v="3"/>
    <x v="23"/>
    <x v="12"/>
    <x v="0"/>
    <x v="0"/>
  </r>
  <r>
    <x v="391"/>
    <x v="1"/>
    <x v="5"/>
    <x v="1"/>
    <x v="4"/>
    <x v="2"/>
    <x v="79"/>
    <x v="5"/>
    <x v="1"/>
    <x v="1"/>
  </r>
  <r>
    <x v="392"/>
    <x v="0"/>
    <x v="18"/>
    <x v="1"/>
    <x v="14"/>
    <x v="0"/>
    <x v="117"/>
    <x v="16"/>
    <x v="1"/>
    <x v="1"/>
  </r>
  <r>
    <x v="393"/>
    <x v="0"/>
    <x v="19"/>
    <x v="0"/>
    <x v="15"/>
    <x v="2"/>
    <x v="115"/>
    <x v="17"/>
    <x v="4"/>
    <x v="4"/>
  </r>
  <r>
    <x v="393"/>
    <x v="1"/>
    <x v="3"/>
    <x v="0"/>
    <x v="0"/>
    <x v="0"/>
    <x v="0"/>
    <x v="3"/>
    <x v="0"/>
    <x v="0"/>
  </r>
  <r>
    <x v="393"/>
    <x v="2"/>
    <x v="15"/>
    <x v="1"/>
    <x v="11"/>
    <x v="0"/>
    <x v="78"/>
    <x v="12"/>
    <x v="0"/>
    <x v="0"/>
  </r>
  <r>
    <x v="394"/>
    <x v="0"/>
    <x v="15"/>
    <x v="0"/>
    <x v="11"/>
    <x v="2"/>
    <x v="18"/>
    <x v="12"/>
    <x v="0"/>
    <x v="0"/>
  </r>
  <r>
    <x v="395"/>
    <x v="0"/>
    <x v="10"/>
    <x v="0"/>
    <x v="8"/>
    <x v="3"/>
    <x v="98"/>
    <x v="9"/>
    <x v="0"/>
    <x v="0"/>
  </r>
  <r>
    <x v="395"/>
    <x v="1"/>
    <x v="22"/>
    <x v="1"/>
    <x v="17"/>
    <x v="2"/>
    <x v="41"/>
    <x v="19"/>
    <x v="5"/>
    <x v="5"/>
  </r>
  <r>
    <x v="395"/>
    <x v="2"/>
    <x v="21"/>
    <x v="0"/>
    <x v="16"/>
    <x v="0"/>
    <x v="58"/>
    <x v="18"/>
    <x v="1"/>
    <x v="1"/>
  </r>
  <r>
    <x v="396"/>
    <x v="0"/>
    <x v="14"/>
    <x v="0"/>
    <x v="12"/>
    <x v="2"/>
    <x v="55"/>
    <x v="13"/>
    <x v="1"/>
    <x v="1"/>
  </r>
  <r>
    <x v="397"/>
    <x v="0"/>
    <x v="1"/>
    <x v="1"/>
    <x v="1"/>
    <x v="2"/>
    <x v="134"/>
    <x v="1"/>
    <x v="1"/>
    <x v="1"/>
  </r>
  <r>
    <x v="397"/>
    <x v="1"/>
    <x v="9"/>
    <x v="1"/>
    <x v="7"/>
    <x v="2"/>
    <x v="32"/>
    <x v="8"/>
    <x v="0"/>
    <x v="0"/>
  </r>
  <r>
    <x v="397"/>
    <x v="2"/>
    <x v="22"/>
    <x v="0"/>
    <x v="17"/>
    <x v="0"/>
    <x v="76"/>
    <x v="19"/>
    <x v="5"/>
    <x v="5"/>
  </r>
  <r>
    <x v="397"/>
    <x v="3"/>
    <x v="7"/>
    <x v="0"/>
    <x v="6"/>
    <x v="2"/>
    <x v="113"/>
    <x v="7"/>
    <x v="0"/>
    <x v="0"/>
  </r>
  <r>
    <x v="398"/>
    <x v="0"/>
    <x v="22"/>
    <x v="0"/>
    <x v="17"/>
    <x v="2"/>
    <x v="111"/>
    <x v="19"/>
    <x v="5"/>
    <x v="5"/>
  </r>
  <r>
    <x v="398"/>
    <x v="1"/>
    <x v="16"/>
    <x v="1"/>
    <x v="13"/>
    <x v="2"/>
    <x v="67"/>
    <x v="14"/>
    <x v="2"/>
    <x v="2"/>
  </r>
  <r>
    <x v="398"/>
    <x v="2"/>
    <x v="15"/>
    <x v="0"/>
    <x v="11"/>
    <x v="3"/>
    <x v="21"/>
    <x v="12"/>
    <x v="0"/>
    <x v="0"/>
  </r>
  <r>
    <x v="399"/>
    <x v="0"/>
    <x v="24"/>
    <x v="1"/>
    <x v="8"/>
    <x v="1"/>
    <x v="30"/>
    <x v="9"/>
    <x v="0"/>
    <x v="0"/>
  </r>
  <r>
    <x v="399"/>
    <x v="1"/>
    <x v="11"/>
    <x v="0"/>
    <x v="9"/>
    <x v="0"/>
    <x v="141"/>
    <x v="10"/>
    <x v="3"/>
    <x v="3"/>
  </r>
  <r>
    <x v="399"/>
    <x v="2"/>
    <x v="5"/>
    <x v="1"/>
    <x v="4"/>
    <x v="0"/>
    <x v="73"/>
    <x v="5"/>
    <x v="1"/>
    <x v="1"/>
  </r>
  <r>
    <x v="400"/>
    <x v="0"/>
    <x v="19"/>
    <x v="0"/>
    <x v="15"/>
    <x v="0"/>
    <x v="122"/>
    <x v="17"/>
    <x v="4"/>
    <x v="4"/>
  </r>
  <r>
    <x v="400"/>
    <x v="1"/>
    <x v="2"/>
    <x v="1"/>
    <x v="2"/>
    <x v="0"/>
    <x v="54"/>
    <x v="2"/>
    <x v="2"/>
    <x v="2"/>
  </r>
  <r>
    <x v="401"/>
    <x v="0"/>
    <x v="18"/>
    <x v="1"/>
    <x v="14"/>
    <x v="1"/>
    <x v="138"/>
    <x v="16"/>
    <x v="1"/>
    <x v="1"/>
  </r>
  <r>
    <x v="401"/>
    <x v="1"/>
    <x v="21"/>
    <x v="0"/>
    <x v="16"/>
    <x v="1"/>
    <x v="105"/>
    <x v="18"/>
    <x v="1"/>
    <x v="1"/>
  </r>
  <r>
    <x v="401"/>
    <x v="2"/>
    <x v="8"/>
    <x v="0"/>
    <x v="0"/>
    <x v="2"/>
    <x v="7"/>
    <x v="3"/>
    <x v="0"/>
    <x v="0"/>
  </r>
  <r>
    <x v="402"/>
    <x v="0"/>
    <x v="10"/>
    <x v="1"/>
    <x v="8"/>
    <x v="3"/>
    <x v="97"/>
    <x v="9"/>
    <x v="0"/>
    <x v="0"/>
  </r>
  <r>
    <x v="402"/>
    <x v="1"/>
    <x v="14"/>
    <x v="1"/>
    <x v="12"/>
    <x v="0"/>
    <x v="61"/>
    <x v="13"/>
    <x v="1"/>
    <x v="1"/>
  </r>
  <r>
    <x v="402"/>
    <x v="2"/>
    <x v="13"/>
    <x v="1"/>
    <x v="11"/>
    <x v="2"/>
    <x v="64"/>
    <x v="12"/>
    <x v="0"/>
    <x v="0"/>
  </r>
  <r>
    <x v="402"/>
    <x v="3"/>
    <x v="24"/>
    <x v="0"/>
    <x v="8"/>
    <x v="0"/>
    <x v="57"/>
    <x v="9"/>
    <x v="0"/>
    <x v="0"/>
  </r>
  <r>
    <x v="403"/>
    <x v="0"/>
    <x v="11"/>
    <x v="0"/>
    <x v="9"/>
    <x v="1"/>
    <x v="45"/>
    <x v="10"/>
    <x v="3"/>
    <x v="3"/>
  </r>
  <r>
    <x v="403"/>
    <x v="1"/>
    <x v="22"/>
    <x v="1"/>
    <x v="17"/>
    <x v="2"/>
    <x v="41"/>
    <x v="19"/>
    <x v="5"/>
    <x v="5"/>
  </r>
  <r>
    <x v="403"/>
    <x v="2"/>
    <x v="3"/>
    <x v="1"/>
    <x v="0"/>
    <x v="0"/>
    <x v="24"/>
    <x v="3"/>
    <x v="0"/>
    <x v="0"/>
  </r>
  <r>
    <x v="404"/>
    <x v="0"/>
    <x v="5"/>
    <x v="1"/>
    <x v="4"/>
    <x v="0"/>
    <x v="73"/>
    <x v="5"/>
    <x v="1"/>
    <x v="1"/>
  </r>
  <r>
    <x v="404"/>
    <x v="1"/>
    <x v="2"/>
    <x v="1"/>
    <x v="2"/>
    <x v="3"/>
    <x v="70"/>
    <x v="2"/>
    <x v="2"/>
    <x v="2"/>
  </r>
  <r>
    <x v="404"/>
    <x v="2"/>
    <x v="15"/>
    <x v="1"/>
    <x v="11"/>
    <x v="1"/>
    <x v="35"/>
    <x v="12"/>
    <x v="0"/>
    <x v="0"/>
  </r>
  <r>
    <x v="405"/>
    <x v="0"/>
    <x v="4"/>
    <x v="0"/>
    <x v="3"/>
    <x v="0"/>
    <x v="4"/>
    <x v="4"/>
    <x v="1"/>
    <x v="1"/>
  </r>
  <r>
    <x v="406"/>
    <x v="0"/>
    <x v="0"/>
    <x v="0"/>
    <x v="0"/>
    <x v="0"/>
    <x v="0"/>
    <x v="0"/>
    <x v="0"/>
    <x v="0"/>
  </r>
  <r>
    <x v="406"/>
    <x v="1"/>
    <x v="21"/>
    <x v="0"/>
    <x v="16"/>
    <x v="2"/>
    <x v="60"/>
    <x v="18"/>
    <x v="1"/>
    <x v="1"/>
  </r>
  <r>
    <x v="407"/>
    <x v="0"/>
    <x v="9"/>
    <x v="0"/>
    <x v="7"/>
    <x v="0"/>
    <x v="59"/>
    <x v="8"/>
    <x v="0"/>
    <x v="0"/>
  </r>
  <r>
    <x v="407"/>
    <x v="1"/>
    <x v="5"/>
    <x v="0"/>
    <x v="4"/>
    <x v="1"/>
    <x v="133"/>
    <x v="5"/>
    <x v="1"/>
    <x v="1"/>
  </r>
  <r>
    <x v="407"/>
    <x v="2"/>
    <x v="6"/>
    <x v="1"/>
    <x v="5"/>
    <x v="1"/>
    <x v="130"/>
    <x v="6"/>
    <x v="1"/>
    <x v="1"/>
  </r>
  <r>
    <x v="407"/>
    <x v="3"/>
    <x v="7"/>
    <x v="1"/>
    <x v="6"/>
    <x v="0"/>
    <x v="71"/>
    <x v="7"/>
    <x v="0"/>
    <x v="0"/>
  </r>
  <r>
    <x v="408"/>
    <x v="0"/>
    <x v="12"/>
    <x v="0"/>
    <x v="10"/>
    <x v="1"/>
    <x v="15"/>
    <x v="11"/>
    <x v="0"/>
    <x v="0"/>
  </r>
  <r>
    <x v="408"/>
    <x v="1"/>
    <x v="3"/>
    <x v="1"/>
    <x v="0"/>
    <x v="0"/>
    <x v="24"/>
    <x v="3"/>
    <x v="0"/>
    <x v="0"/>
  </r>
  <r>
    <x v="408"/>
    <x v="2"/>
    <x v="20"/>
    <x v="0"/>
    <x v="11"/>
    <x v="2"/>
    <x v="18"/>
    <x v="15"/>
    <x v="0"/>
    <x v="0"/>
  </r>
  <r>
    <x v="409"/>
    <x v="0"/>
    <x v="22"/>
    <x v="0"/>
    <x v="17"/>
    <x v="3"/>
    <x v="93"/>
    <x v="19"/>
    <x v="5"/>
    <x v="5"/>
  </r>
  <r>
    <x v="409"/>
    <x v="1"/>
    <x v="11"/>
    <x v="1"/>
    <x v="9"/>
    <x v="2"/>
    <x v="126"/>
    <x v="10"/>
    <x v="3"/>
    <x v="3"/>
  </r>
  <r>
    <x v="409"/>
    <x v="2"/>
    <x v="24"/>
    <x v="1"/>
    <x v="8"/>
    <x v="3"/>
    <x v="97"/>
    <x v="9"/>
    <x v="0"/>
    <x v="0"/>
  </r>
  <r>
    <x v="410"/>
    <x v="0"/>
    <x v="6"/>
    <x v="0"/>
    <x v="5"/>
    <x v="1"/>
    <x v="116"/>
    <x v="6"/>
    <x v="1"/>
    <x v="1"/>
  </r>
  <r>
    <x v="410"/>
    <x v="1"/>
    <x v="8"/>
    <x v="1"/>
    <x v="0"/>
    <x v="2"/>
    <x v="3"/>
    <x v="3"/>
    <x v="0"/>
    <x v="0"/>
  </r>
  <r>
    <x v="411"/>
    <x v="0"/>
    <x v="14"/>
    <x v="0"/>
    <x v="12"/>
    <x v="3"/>
    <x v="40"/>
    <x v="13"/>
    <x v="1"/>
    <x v="1"/>
  </r>
  <r>
    <x v="411"/>
    <x v="1"/>
    <x v="24"/>
    <x v="0"/>
    <x v="8"/>
    <x v="1"/>
    <x v="77"/>
    <x v="9"/>
    <x v="0"/>
    <x v="0"/>
  </r>
  <r>
    <x v="411"/>
    <x v="2"/>
    <x v="7"/>
    <x v="0"/>
    <x v="6"/>
    <x v="3"/>
    <x v="47"/>
    <x v="7"/>
    <x v="0"/>
    <x v="0"/>
  </r>
  <r>
    <x v="412"/>
    <x v="0"/>
    <x v="1"/>
    <x v="1"/>
    <x v="1"/>
    <x v="2"/>
    <x v="134"/>
    <x v="1"/>
    <x v="1"/>
    <x v="1"/>
  </r>
  <r>
    <x v="412"/>
    <x v="1"/>
    <x v="22"/>
    <x v="0"/>
    <x v="17"/>
    <x v="3"/>
    <x v="93"/>
    <x v="19"/>
    <x v="5"/>
    <x v="5"/>
  </r>
  <r>
    <x v="412"/>
    <x v="2"/>
    <x v="11"/>
    <x v="0"/>
    <x v="9"/>
    <x v="1"/>
    <x v="45"/>
    <x v="10"/>
    <x v="3"/>
    <x v="3"/>
  </r>
  <r>
    <x v="413"/>
    <x v="0"/>
    <x v="4"/>
    <x v="1"/>
    <x v="3"/>
    <x v="3"/>
    <x v="25"/>
    <x v="4"/>
    <x v="1"/>
    <x v="1"/>
  </r>
  <r>
    <x v="414"/>
    <x v="0"/>
    <x v="5"/>
    <x v="0"/>
    <x v="4"/>
    <x v="1"/>
    <x v="133"/>
    <x v="5"/>
    <x v="1"/>
    <x v="1"/>
  </r>
  <r>
    <x v="414"/>
    <x v="1"/>
    <x v="19"/>
    <x v="1"/>
    <x v="15"/>
    <x v="0"/>
    <x v="33"/>
    <x v="17"/>
    <x v="4"/>
    <x v="4"/>
  </r>
  <r>
    <x v="414"/>
    <x v="2"/>
    <x v="21"/>
    <x v="0"/>
    <x v="16"/>
    <x v="0"/>
    <x v="58"/>
    <x v="18"/>
    <x v="1"/>
    <x v="1"/>
  </r>
  <r>
    <x v="414"/>
    <x v="3"/>
    <x v="18"/>
    <x v="1"/>
    <x v="14"/>
    <x v="2"/>
    <x v="124"/>
    <x v="16"/>
    <x v="1"/>
    <x v="1"/>
  </r>
  <r>
    <x v="415"/>
    <x v="0"/>
    <x v="13"/>
    <x v="0"/>
    <x v="11"/>
    <x v="1"/>
    <x v="36"/>
    <x v="12"/>
    <x v="0"/>
    <x v="0"/>
  </r>
  <r>
    <x v="415"/>
    <x v="1"/>
    <x v="15"/>
    <x v="0"/>
    <x v="11"/>
    <x v="1"/>
    <x v="36"/>
    <x v="12"/>
    <x v="0"/>
    <x v="0"/>
  </r>
  <r>
    <x v="415"/>
    <x v="2"/>
    <x v="24"/>
    <x v="0"/>
    <x v="8"/>
    <x v="3"/>
    <x v="98"/>
    <x v="9"/>
    <x v="0"/>
    <x v="0"/>
  </r>
  <r>
    <x v="416"/>
    <x v="0"/>
    <x v="8"/>
    <x v="1"/>
    <x v="0"/>
    <x v="1"/>
    <x v="19"/>
    <x v="3"/>
    <x v="0"/>
    <x v="0"/>
  </r>
  <r>
    <x v="416"/>
    <x v="1"/>
    <x v="18"/>
    <x v="1"/>
    <x v="14"/>
    <x v="1"/>
    <x v="138"/>
    <x v="16"/>
    <x v="1"/>
    <x v="1"/>
  </r>
  <r>
    <x v="417"/>
    <x v="0"/>
    <x v="10"/>
    <x v="0"/>
    <x v="8"/>
    <x v="2"/>
    <x v="101"/>
    <x v="9"/>
    <x v="0"/>
    <x v="0"/>
  </r>
  <r>
    <x v="417"/>
    <x v="1"/>
    <x v="0"/>
    <x v="0"/>
    <x v="0"/>
    <x v="2"/>
    <x v="7"/>
    <x v="0"/>
    <x v="0"/>
    <x v="0"/>
  </r>
  <r>
    <x v="418"/>
    <x v="0"/>
    <x v="11"/>
    <x v="0"/>
    <x v="9"/>
    <x v="2"/>
    <x v="121"/>
    <x v="10"/>
    <x v="3"/>
    <x v="3"/>
  </r>
  <r>
    <x v="419"/>
    <x v="0"/>
    <x v="7"/>
    <x v="1"/>
    <x v="6"/>
    <x v="0"/>
    <x v="71"/>
    <x v="7"/>
    <x v="0"/>
    <x v="0"/>
  </r>
  <r>
    <x v="419"/>
    <x v="1"/>
    <x v="12"/>
    <x v="1"/>
    <x v="10"/>
    <x v="3"/>
    <x v="120"/>
    <x v="11"/>
    <x v="0"/>
    <x v="0"/>
  </r>
  <r>
    <x v="419"/>
    <x v="2"/>
    <x v="5"/>
    <x v="1"/>
    <x v="4"/>
    <x v="2"/>
    <x v="79"/>
    <x v="5"/>
    <x v="1"/>
    <x v="1"/>
  </r>
  <r>
    <x v="420"/>
    <x v="0"/>
    <x v="18"/>
    <x v="1"/>
    <x v="14"/>
    <x v="1"/>
    <x v="138"/>
    <x v="16"/>
    <x v="1"/>
    <x v="1"/>
  </r>
  <r>
    <x v="420"/>
    <x v="1"/>
    <x v="5"/>
    <x v="1"/>
    <x v="4"/>
    <x v="0"/>
    <x v="73"/>
    <x v="5"/>
    <x v="1"/>
    <x v="1"/>
  </r>
  <r>
    <x v="420"/>
    <x v="2"/>
    <x v="0"/>
    <x v="1"/>
    <x v="0"/>
    <x v="0"/>
    <x v="24"/>
    <x v="0"/>
    <x v="0"/>
    <x v="0"/>
  </r>
  <r>
    <x v="420"/>
    <x v="3"/>
    <x v="4"/>
    <x v="0"/>
    <x v="3"/>
    <x v="1"/>
    <x v="123"/>
    <x v="4"/>
    <x v="1"/>
    <x v="1"/>
  </r>
  <r>
    <x v="420"/>
    <x v="4"/>
    <x v="19"/>
    <x v="1"/>
    <x v="15"/>
    <x v="0"/>
    <x v="33"/>
    <x v="17"/>
    <x v="4"/>
    <x v="4"/>
  </r>
  <r>
    <x v="421"/>
    <x v="0"/>
    <x v="0"/>
    <x v="1"/>
    <x v="0"/>
    <x v="2"/>
    <x v="3"/>
    <x v="0"/>
    <x v="0"/>
    <x v="0"/>
  </r>
  <r>
    <x v="422"/>
    <x v="0"/>
    <x v="1"/>
    <x v="1"/>
    <x v="1"/>
    <x v="2"/>
    <x v="134"/>
    <x v="1"/>
    <x v="1"/>
    <x v="1"/>
  </r>
  <r>
    <x v="422"/>
    <x v="1"/>
    <x v="7"/>
    <x v="0"/>
    <x v="6"/>
    <x v="0"/>
    <x v="81"/>
    <x v="7"/>
    <x v="0"/>
    <x v="0"/>
  </r>
  <r>
    <x v="422"/>
    <x v="2"/>
    <x v="19"/>
    <x v="1"/>
    <x v="15"/>
    <x v="1"/>
    <x v="69"/>
    <x v="17"/>
    <x v="4"/>
    <x v="4"/>
  </r>
  <r>
    <x v="422"/>
    <x v="3"/>
    <x v="6"/>
    <x v="0"/>
    <x v="5"/>
    <x v="0"/>
    <x v="56"/>
    <x v="6"/>
    <x v="1"/>
    <x v="1"/>
  </r>
  <r>
    <x v="423"/>
    <x v="0"/>
    <x v="13"/>
    <x v="0"/>
    <x v="11"/>
    <x v="3"/>
    <x v="21"/>
    <x v="12"/>
    <x v="0"/>
    <x v="0"/>
  </r>
  <r>
    <x v="423"/>
    <x v="1"/>
    <x v="18"/>
    <x v="0"/>
    <x v="14"/>
    <x v="2"/>
    <x v="62"/>
    <x v="16"/>
    <x v="1"/>
    <x v="1"/>
  </r>
  <r>
    <x v="424"/>
    <x v="0"/>
    <x v="18"/>
    <x v="0"/>
    <x v="14"/>
    <x v="3"/>
    <x v="107"/>
    <x v="16"/>
    <x v="1"/>
    <x v="1"/>
  </r>
  <r>
    <x v="424"/>
    <x v="1"/>
    <x v="20"/>
    <x v="1"/>
    <x v="11"/>
    <x v="1"/>
    <x v="35"/>
    <x v="15"/>
    <x v="0"/>
    <x v="0"/>
  </r>
  <r>
    <x v="424"/>
    <x v="2"/>
    <x v="23"/>
    <x v="0"/>
    <x v="7"/>
    <x v="2"/>
    <x v="72"/>
    <x v="20"/>
    <x v="0"/>
    <x v="0"/>
  </r>
  <r>
    <x v="425"/>
    <x v="0"/>
    <x v="2"/>
    <x v="0"/>
    <x v="2"/>
    <x v="3"/>
    <x v="139"/>
    <x v="2"/>
    <x v="2"/>
    <x v="2"/>
  </r>
  <r>
    <x v="425"/>
    <x v="1"/>
    <x v="19"/>
    <x v="1"/>
    <x v="15"/>
    <x v="2"/>
    <x v="89"/>
    <x v="17"/>
    <x v="4"/>
    <x v="4"/>
  </r>
  <r>
    <x v="426"/>
    <x v="0"/>
    <x v="10"/>
    <x v="1"/>
    <x v="8"/>
    <x v="1"/>
    <x v="30"/>
    <x v="9"/>
    <x v="0"/>
    <x v="0"/>
  </r>
  <r>
    <x v="426"/>
    <x v="1"/>
    <x v="12"/>
    <x v="1"/>
    <x v="10"/>
    <x v="3"/>
    <x v="120"/>
    <x v="11"/>
    <x v="0"/>
    <x v="0"/>
  </r>
  <r>
    <x v="426"/>
    <x v="2"/>
    <x v="8"/>
    <x v="1"/>
    <x v="0"/>
    <x v="1"/>
    <x v="19"/>
    <x v="3"/>
    <x v="0"/>
    <x v="0"/>
  </r>
  <r>
    <x v="427"/>
    <x v="0"/>
    <x v="21"/>
    <x v="1"/>
    <x v="16"/>
    <x v="0"/>
    <x v="95"/>
    <x v="18"/>
    <x v="1"/>
    <x v="1"/>
  </r>
  <r>
    <x v="427"/>
    <x v="1"/>
    <x v="15"/>
    <x v="0"/>
    <x v="11"/>
    <x v="0"/>
    <x v="51"/>
    <x v="12"/>
    <x v="0"/>
    <x v="0"/>
  </r>
  <r>
    <x v="428"/>
    <x v="0"/>
    <x v="16"/>
    <x v="0"/>
    <x v="13"/>
    <x v="0"/>
    <x v="114"/>
    <x v="14"/>
    <x v="2"/>
    <x v="2"/>
  </r>
  <r>
    <x v="428"/>
    <x v="1"/>
    <x v="4"/>
    <x v="1"/>
    <x v="3"/>
    <x v="3"/>
    <x v="25"/>
    <x v="4"/>
    <x v="1"/>
    <x v="1"/>
  </r>
  <r>
    <x v="428"/>
    <x v="2"/>
    <x v="21"/>
    <x v="1"/>
    <x v="16"/>
    <x v="2"/>
    <x v="131"/>
    <x v="18"/>
    <x v="1"/>
    <x v="1"/>
  </r>
  <r>
    <x v="428"/>
    <x v="3"/>
    <x v="18"/>
    <x v="0"/>
    <x v="14"/>
    <x v="1"/>
    <x v="29"/>
    <x v="16"/>
    <x v="1"/>
    <x v="1"/>
  </r>
  <r>
    <x v="428"/>
    <x v="4"/>
    <x v="6"/>
    <x v="0"/>
    <x v="5"/>
    <x v="3"/>
    <x v="92"/>
    <x v="6"/>
    <x v="1"/>
    <x v="1"/>
  </r>
  <r>
    <x v="429"/>
    <x v="0"/>
    <x v="13"/>
    <x v="1"/>
    <x v="11"/>
    <x v="3"/>
    <x v="23"/>
    <x v="12"/>
    <x v="0"/>
    <x v="0"/>
  </r>
  <r>
    <x v="429"/>
    <x v="1"/>
    <x v="16"/>
    <x v="0"/>
    <x v="13"/>
    <x v="1"/>
    <x v="142"/>
    <x v="14"/>
    <x v="2"/>
    <x v="2"/>
  </r>
  <r>
    <x v="429"/>
    <x v="2"/>
    <x v="4"/>
    <x v="1"/>
    <x v="3"/>
    <x v="0"/>
    <x v="84"/>
    <x v="4"/>
    <x v="1"/>
    <x v="1"/>
  </r>
  <r>
    <x v="429"/>
    <x v="3"/>
    <x v="17"/>
    <x v="1"/>
    <x v="11"/>
    <x v="0"/>
    <x v="78"/>
    <x v="15"/>
    <x v="0"/>
    <x v="0"/>
  </r>
  <r>
    <x v="429"/>
    <x v="4"/>
    <x v="1"/>
    <x v="0"/>
    <x v="1"/>
    <x v="0"/>
    <x v="34"/>
    <x v="1"/>
    <x v="1"/>
    <x v="1"/>
  </r>
  <r>
    <x v="430"/>
    <x v="0"/>
    <x v="15"/>
    <x v="1"/>
    <x v="11"/>
    <x v="0"/>
    <x v="78"/>
    <x v="12"/>
    <x v="0"/>
    <x v="0"/>
  </r>
  <r>
    <x v="430"/>
    <x v="1"/>
    <x v="18"/>
    <x v="0"/>
    <x v="14"/>
    <x v="3"/>
    <x v="107"/>
    <x v="16"/>
    <x v="1"/>
    <x v="1"/>
  </r>
  <r>
    <x v="430"/>
    <x v="2"/>
    <x v="9"/>
    <x v="0"/>
    <x v="7"/>
    <x v="0"/>
    <x v="59"/>
    <x v="8"/>
    <x v="0"/>
    <x v="0"/>
  </r>
  <r>
    <x v="430"/>
    <x v="3"/>
    <x v="17"/>
    <x v="1"/>
    <x v="11"/>
    <x v="1"/>
    <x v="35"/>
    <x v="15"/>
    <x v="0"/>
    <x v="0"/>
  </r>
  <r>
    <x v="430"/>
    <x v="4"/>
    <x v="23"/>
    <x v="0"/>
    <x v="7"/>
    <x v="1"/>
    <x v="10"/>
    <x v="20"/>
    <x v="0"/>
    <x v="0"/>
  </r>
  <r>
    <x v="431"/>
    <x v="0"/>
    <x v="2"/>
    <x v="1"/>
    <x v="2"/>
    <x v="0"/>
    <x v="54"/>
    <x v="2"/>
    <x v="2"/>
    <x v="2"/>
  </r>
  <r>
    <x v="431"/>
    <x v="1"/>
    <x v="14"/>
    <x v="1"/>
    <x v="12"/>
    <x v="2"/>
    <x v="74"/>
    <x v="13"/>
    <x v="1"/>
    <x v="1"/>
  </r>
  <r>
    <x v="432"/>
    <x v="0"/>
    <x v="18"/>
    <x v="0"/>
    <x v="14"/>
    <x v="3"/>
    <x v="107"/>
    <x v="16"/>
    <x v="1"/>
    <x v="1"/>
  </r>
  <r>
    <x v="432"/>
    <x v="1"/>
    <x v="2"/>
    <x v="0"/>
    <x v="2"/>
    <x v="0"/>
    <x v="135"/>
    <x v="2"/>
    <x v="2"/>
    <x v="2"/>
  </r>
  <r>
    <x v="432"/>
    <x v="2"/>
    <x v="24"/>
    <x v="0"/>
    <x v="8"/>
    <x v="3"/>
    <x v="98"/>
    <x v="9"/>
    <x v="0"/>
    <x v="0"/>
  </r>
  <r>
    <x v="432"/>
    <x v="3"/>
    <x v="4"/>
    <x v="0"/>
    <x v="3"/>
    <x v="0"/>
    <x v="4"/>
    <x v="4"/>
    <x v="1"/>
    <x v="1"/>
  </r>
  <r>
    <x v="433"/>
    <x v="0"/>
    <x v="20"/>
    <x v="0"/>
    <x v="11"/>
    <x v="2"/>
    <x v="18"/>
    <x v="15"/>
    <x v="0"/>
    <x v="0"/>
  </r>
  <r>
    <x v="433"/>
    <x v="1"/>
    <x v="0"/>
    <x v="0"/>
    <x v="0"/>
    <x v="3"/>
    <x v="12"/>
    <x v="0"/>
    <x v="0"/>
    <x v="0"/>
  </r>
  <r>
    <x v="433"/>
    <x v="2"/>
    <x v="11"/>
    <x v="0"/>
    <x v="9"/>
    <x v="0"/>
    <x v="141"/>
    <x v="10"/>
    <x v="3"/>
    <x v="3"/>
  </r>
  <r>
    <x v="433"/>
    <x v="3"/>
    <x v="16"/>
    <x v="1"/>
    <x v="13"/>
    <x v="1"/>
    <x v="136"/>
    <x v="14"/>
    <x v="2"/>
    <x v="2"/>
  </r>
  <r>
    <x v="433"/>
    <x v="4"/>
    <x v="9"/>
    <x v="1"/>
    <x v="7"/>
    <x v="2"/>
    <x v="32"/>
    <x v="8"/>
    <x v="0"/>
    <x v="0"/>
  </r>
  <r>
    <x v="434"/>
    <x v="0"/>
    <x v="13"/>
    <x v="0"/>
    <x v="11"/>
    <x v="2"/>
    <x v="18"/>
    <x v="12"/>
    <x v="0"/>
    <x v="0"/>
  </r>
  <r>
    <x v="434"/>
    <x v="1"/>
    <x v="11"/>
    <x v="0"/>
    <x v="9"/>
    <x v="2"/>
    <x v="121"/>
    <x v="10"/>
    <x v="3"/>
    <x v="3"/>
  </r>
  <r>
    <x v="434"/>
    <x v="2"/>
    <x v="9"/>
    <x v="0"/>
    <x v="7"/>
    <x v="2"/>
    <x v="72"/>
    <x v="8"/>
    <x v="0"/>
    <x v="0"/>
  </r>
  <r>
    <x v="435"/>
    <x v="0"/>
    <x v="5"/>
    <x v="0"/>
    <x v="4"/>
    <x v="2"/>
    <x v="6"/>
    <x v="5"/>
    <x v="1"/>
    <x v="1"/>
  </r>
  <r>
    <x v="435"/>
    <x v="1"/>
    <x v="19"/>
    <x v="0"/>
    <x v="15"/>
    <x v="0"/>
    <x v="122"/>
    <x v="17"/>
    <x v="4"/>
    <x v="4"/>
  </r>
  <r>
    <x v="436"/>
    <x v="0"/>
    <x v="5"/>
    <x v="0"/>
    <x v="4"/>
    <x v="2"/>
    <x v="6"/>
    <x v="5"/>
    <x v="1"/>
    <x v="1"/>
  </r>
  <r>
    <x v="436"/>
    <x v="1"/>
    <x v="2"/>
    <x v="0"/>
    <x v="2"/>
    <x v="2"/>
    <x v="99"/>
    <x v="2"/>
    <x v="2"/>
    <x v="2"/>
  </r>
  <r>
    <x v="436"/>
    <x v="2"/>
    <x v="1"/>
    <x v="1"/>
    <x v="1"/>
    <x v="2"/>
    <x v="134"/>
    <x v="1"/>
    <x v="1"/>
    <x v="1"/>
  </r>
  <r>
    <x v="437"/>
    <x v="0"/>
    <x v="4"/>
    <x v="0"/>
    <x v="3"/>
    <x v="1"/>
    <x v="123"/>
    <x v="4"/>
    <x v="1"/>
    <x v="1"/>
  </r>
  <r>
    <x v="437"/>
    <x v="1"/>
    <x v="13"/>
    <x v="0"/>
    <x v="11"/>
    <x v="3"/>
    <x v="21"/>
    <x v="12"/>
    <x v="0"/>
    <x v="0"/>
  </r>
  <r>
    <x v="437"/>
    <x v="2"/>
    <x v="1"/>
    <x v="1"/>
    <x v="1"/>
    <x v="2"/>
    <x v="134"/>
    <x v="1"/>
    <x v="1"/>
    <x v="1"/>
  </r>
  <r>
    <x v="437"/>
    <x v="3"/>
    <x v="17"/>
    <x v="1"/>
    <x v="11"/>
    <x v="2"/>
    <x v="64"/>
    <x v="15"/>
    <x v="0"/>
    <x v="0"/>
  </r>
  <r>
    <x v="438"/>
    <x v="0"/>
    <x v="18"/>
    <x v="1"/>
    <x v="14"/>
    <x v="1"/>
    <x v="138"/>
    <x v="16"/>
    <x v="1"/>
    <x v="1"/>
  </r>
  <r>
    <x v="438"/>
    <x v="1"/>
    <x v="14"/>
    <x v="1"/>
    <x v="12"/>
    <x v="2"/>
    <x v="74"/>
    <x v="13"/>
    <x v="1"/>
    <x v="1"/>
  </r>
  <r>
    <x v="439"/>
    <x v="0"/>
    <x v="23"/>
    <x v="1"/>
    <x v="7"/>
    <x v="1"/>
    <x v="53"/>
    <x v="20"/>
    <x v="0"/>
    <x v="0"/>
  </r>
  <r>
    <x v="439"/>
    <x v="1"/>
    <x v="4"/>
    <x v="1"/>
    <x v="3"/>
    <x v="1"/>
    <x v="127"/>
    <x v="4"/>
    <x v="1"/>
    <x v="1"/>
  </r>
  <r>
    <x v="440"/>
    <x v="0"/>
    <x v="10"/>
    <x v="0"/>
    <x v="8"/>
    <x v="1"/>
    <x v="77"/>
    <x v="9"/>
    <x v="0"/>
    <x v="0"/>
  </r>
  <r>
    <x v="440"/>
    <x v="1"/>
    <x v="12"/>
    <x v="0"/>
    <x v="10"/>
    <x v="3"/>
    <x v="80"/>
    <x v="11"/>
    <x v="0"/>
    <x v="0"/>
  </r>
  <r>
    <x v="441"/>
    <x v="0"/>
    <x v="3"/>
    <x v="1"/>
    <x v="0"/>
    <x v="1"/>
    <x v="19"/>
    <x v="3"/>
    <x v="0"/>
    <x v="0"/>
  </r>
  <r>
    <x v="441"/>
    <x v="1"/>
    <x v="8"/>
    <x v="1"/>
    <x v="0"/>
    <x v="0"/>
    <x v="24"/>
    <x v="3"/>
    <x v="0"/>
    <x v="0"/>
  </r>
  <r>
    <x v="441"/>
    <x v="2"/>
    <x v="18"/>
    <x v="1"/>
    <x v="14"/>
    <x v="0"/>
    <x v="117"/>
    <x v="16"/>
    <x v="1"/>
    <x v="1"/>
  </r>
  <r>
    <x v="442"/>
    <x v="0"/>
    <x v="21"/>
    <x v="0"/>
    <x v="16"/>
    <x v="2"/>
    <x v="60"/>
    <x v="18"/>
    <x v="1"/>
    <x v="1"/>
  </r>
  <r>
    <x v="442"/>
    <x v="1"/>
    <x v="8"/>
    <x v="0"/>
    <x v="0"/>
    <x v="0"/>
    <x v="0"/>
    <x v="3"/>
    <x v="0"/>
    <x v="0"/>
  </r>
  <r>
    <x v="443"/>
    <x v="0"/>
    <x v="13"/>
    <x v="0"/>
    <x v="11"/>
    <x v="1"/>
    <x v="36"/>
    <x v="12"/>
    <x v="0"/>
    <x v="0"/>
  </r>
  <r>
    <x v="443"/>
    <x v="1"/>
    <x v="12"/>
    <x v="1"/>
    <x v="10"/>
    <x v="1"/>
    <x v="109"/>
    <x v="11"/>
    <x v="0"/>
    <x v="0"/>
  </r>
  <r>
    <x v="443"/>
    <x v="2"/>
    <x v="0"/>
    <x v="1"/>
    <x v="0"/>
    <x v="2"/>
    <x v="3"/>
    <x v="0"/>
    <x v="0"/>
    <x v="0"/>
  </r>
  <r>
    <x v="443"/>
    <x v="3"/>
    <x v="3"/>
    <x v="0"/>
    <x v="0"/>
    <x v="3"/>
    <x v="12"/>
    <x v="3"/>
    <x v="0"/>
    <x v="0"/>
  </r>
  <r>
    <x v="443"/>
    <x v="4"/>
    <x v="2"/>
    <x v="1"/>
    <x v="2"/>
    <x v="0"/>
    <x v="54"/>
    <x v="2"/>
    <x v="2"/>
    <x v="2"/>
  </r>
  <r>
    <x v="444"/>
    <x v="0"/>
    <x v="14"/>
    <x v="0"/>
    <x v="12"/>
    <x v="0"/>
    <x v="137"/>
    <x v="13"/>
    <x v="1"/>
    <x v="1"/>
  </r>
  <r>
    <x v="444"/>
    <x v="1"/>
    <x v="3"/>
    <x v="0"/>
    <x v="0"/>
    <x v="1"/>
    <x v="5"/>
    <x v="3"/>
    <x v="0"/>
    <x v="0"/>
  </r>
  <r>
    <x v="444"/>
    <x v="2"/>
    <x v="19"/>
    <x v="0"/>
    <x v="15"/>
    <x v="0"/>
    <x v="122"/>
    <x v="17"/>
    <x v="4"/>
    <x v="4"/>
  </r>
  <r>
    <x v="445"/>
    <x v="0"/>
    <x v="13"/>
    <x v="0"/>
    <x v="11"/>
    <x v="0"/>
    <x v="51"/>
    <x v="12"/>
    <x v="0"/>
    <x v="0"/>
  </r>
  <r>
    <x v="445"/>
    <x v="1"/>
    <x v="3"/>
    <x v="1"/>
    <x v="0"/>
    <x v="1"/>
    <x v="19"/>
    <x v="3"/>
    <x v="0"/>
    <x v="0"/>
  </r>
  <r>
    <x v="446"/>
    <x v="0"/>
    <x v="4"/>
    <x v="1"/>
    <x v="3"/>
    <x v="2"/>
    <x v="49"/>
    <x v="4"/>
    <x v="1"/>
    <x v="1"/>
  </r>
  <r>
    <x v="446"/>
    <x v="1"/>
    <x v="5"/>
    <x v="0"/>
    <x v="4"/>
    <x v="3"/>
    <x v="16"/>
    <x v="5"/>
    <x v="1"/>
    <x v="1"/>
  </r>
  <r>
    <x v="446"/>
    <x v="2"/>
    <x v="1"/>
    <x v="0"/>
    <x v="1"/>
    <x v="1"/>
    <x v="31"/>
    <x v="1"/>
    <x v="1"/>
    <x v="1"/>
  </r>
  <r>
    <x v="447"/>
    <x v="0"/>
    <x v="17"/>
    <x v="1"/>
    <x v="11"/>
    <x v="2"/>
    <x v="64"/>
    <x v="15"/>
    <x v="0"/>
    <x v="0"/>
  </r>
  <r>
    <x v="447"/>
    <x v="1"/>
    <x v="18"/>
    <x v="1"/>
    <x v="14"/>
    <x v="2"/>
    <x v="124"/>
    <x v="16"/>
    <x v="1"/>
    <x v="1"/>
  </r>
  <r>
    <x v="448"/>
    <x v="0"/>
    <x v="7"/>
    <x v="1"/>
    <x v="6"/>
    <x v="2"/>
    <x v="27"/>
    <x v="7"/>
    <x v="0"/>
    <x v="0"/>
  </r>
  <r>
    <x v="448"/>
    <x v="1"/>
    <x v="6"/>
    <x v="0"/>
    <x v="5"/>
    <x v="2"/>
    <x v="132"/>
    <x v="6"/>
    <x v="1"/>
    <x v="1"/>
  </r>
  <r>
    <x v="448"/>
    <x v="2"/>
    <x v="14"/>
    <x v="1"/>
    <x v="12"/>
    <x v="1"/>
    <x v="102"/>
    <x v="13"/>
    <x v="1"/>
    <x v="1"/>
  </r>
  <r>
    <x v="448"/>
    <x v="3"/>
    <x v="8"/>
    <x v="1"/>
    <x v="0"/>
    <x v="0"/>
    <x v="24"/>
    <x v="3"/>
    <x v="0"/>
    <x v="0"/>
  </r>
  <r>
    <x v="449"/>
    <x v="0"/>
    <x v="24"/>
    <x v="0"/>
    <x v="8"/>
    <x v="2"/>
    <x v="101"/>
    <x v="9"/>
    <x v="0"/>
    <x v="0"/>
  </r>
  <r>
    <x v="449"/>
    <x v="1"/>
    <x v="10"/>
    <x v="0"/>
    <x v="8"/>
    <x v="1"/>
    <x v="77"/>
    <x v="9"/>
    <x v="0"/>
    <x v="0"/>
  </r>
  <r>
    <x v="449"/>
    <x v="2"/>
    <x v="21"/>
    <x v="0"/>
    <x v="16"/>
    <x v="3"/>
    <x v="38"/>
    <x v="18"/>
    <x v="1"/>
    <x v="1"/>
  </r>
  <r>
    <x v="450"/>
    <x v="0"/>
    <x v="15"/>
    <x v="1"/>
    <x v="11"/>
    <x v="2"/>
    <x v="64"/>
    <x v="12"/>
    <x v="0"/>
    <x v="0"/>
  </r>
  <r>
    <x v="451"/>
    <x v="0"/>
    <x v="16"/>
    <x v="0"/>
    <x v="13"/>
    <x v="2"/>
    <x v="26"/>
    <x v="14"/>
    <x v="2"/>
    <x v="2"/>
  </r>
  <r>
    <x v="451"/>
    <x v="1"/>
    <x v="3"/>
    <x v="0"/>
    <x v="0"/>
    <x v="2"/>
    <x v="7"/>
    <x v="3"/>
    <x v="0"/>
    <x v="0"/>
  </r>
  <r>
    <x v="451"/>
    <x v="2"/>
    <x v="14"/>
    <x v="1"/>
    <x v="12"/>
    <x v="3"/>
    <x v="20"/>
    <x v="13"/>
    <x v="1"/>
    <x v="1"/>
  </r>
  <r>
    <x v="451"/>
    <x v="3"/>
    <x v="1"/>
    <x v="0"/>
    <x v="1"/>
    <x v="3"/>
    <x v="112"/>
    <x v="1"/>
    <x v="1"/>
    <x v="1"/>
  </r>
  <r>
    <x v="452"/>
    <x v="0"/>
    <x v="19"/>
    <x v="0"/>
    <x v="15"/>
    <x v="2"/>
    <x v="115"/>
    <x v="17"/>
    <x v="4"/>
    <x v="4"/>
  </r>
  <r>
    <x v="452"/>
    <x v="1"/>
    <x v="0"/>
    <x v="1"/>
    <x v="0"/>
    <x v="0"/>
    <x v="24"/>
    <x v="0"/>
    <x v="0"/>
    <x v="0"/>
  </r>
  <r>
    <x v="452"/>
    <x v="2"/>
    <x v="4"/>
    <x v="0"/>
    <x v="3"/>
    <x v="0"/>
    <x v="4"/>
    <x v="4"/>
    <x v="1"/>
    <x v="1"/>
  </r>
  <r>
    <x v="453"/>
    <x v="0"/>
    <x v="22"/>
    <x v="1"/>
    <x v="17"/>
    <x v="1"/>
    <x v="85"/>
    <x v="19"/>
    <x v="5"/>
    <x v="5"/>
  </r>
  <r>
    <x v="453"/>
    <x v="1"/>
    <x v="17"/>
    <x v="1"/>
    <x v="11"/>
    <x v="2"/>
    <x v="64"/>
    <x v="15"/>
    <x v="0"/>
    <x v="0"/>
  </r>
  <r>
    <x v="453"/>
    <x v="2"/>
    <x v="24"/>
    <x v="1"/>
    <x v="8"/>
    <x v="3"/>
    <x v="97"/>
    <x v="9"/>
    <x v="0"/>
    <x v="0"/>
  </r>
  <r>
    <x v="454"/>
    <x v="0"/>
    <x v="11"/>
    <x v="0"/>
    <x v="9"/>
    <x v="2"/>
    <x v="121"/>
    <x v="10"/>
    <x v="3"/>
    <x v="3"/>
  </r>
  <r>
    <x v="455"/>
    <x v="0"/>
    <x v="7"/>
    <x v="1"/>
    <x v="6"/>
    <x v="1"/>
    <x v="100"/>
    <x v="7"/>
    <x v="0"/>
    <x v="0"/>
  </r>
  <r>
    <x v="455"/>
    <x v="1"/>
    <x v="19"/>
    <x v="0"/>
    <x v="15"/>
    <x v="1"/>
    <x v="75"/>
    <x v="17"/>
    <x v="4"/>
    <x v="4"/>
  </r>
  <r>
    <x v="456"/>
    <x v="0"/>
    <x v="24"/>
    <x v="1"/>
    <x v="8"/>
    <x v="1"/>
    <x v="30"/>
    <x v="9"/>
    <x v="0"/>
    <x v="0"/>
  </r>
  <r>
    <x v="456"/>
    <x v="1"/>
    <x v="6"/>
    <x v="0"/>
    <x v="5"/>
    <x v="2"/>
    <x v="132"/>
    <x v="6"/>
    <x v="1"/>
    <x v="1"/>
  </r>
  <r>
    <x v="456"/>
    <x v="2"/>
    <x v="14"/>
    <x v="1"/>
    <x v="12"/>
    <x v="3"/>
    <x v="20"/>
    <x v="13"/>
    <x v="1"/>
    <x v="1"/>
  </r>
  <r>
    <x v="456"/>
    <x v="3"/>
    <x v="7"/>
    <x v="0"/>
    <x v="6"/>
    <x v="0"/>
    <x v="81"/>
    <x v="7"/>
    <x v="0"/>
    <x v="0"/>
  </r>
  <r>
    <x v="457"/>
    <x v="0"/>
    <x v="6"/>
    <x v="0"/>
    <x v="5"/>
    <x v="0"/>
    <x v="56"/>
    <x v="6"/>
    <x v="1"/>
    <x v="1"/>
  </r>
  <r>
    <x v="457"/>
    <x v="1"/>
    <x v="20"/>
    <x v="1"/>
    <x v="11"/>
    <x v="1"/>
    <x v="35"/>
    <x v="15"/>
    <x v="0"/>
    <x v="0"/>
  </r>
  <r>
    <x v="457"/>
    <x v="2"/>
    <x v="16"/>
    <x v="0"/>
    <x v="13"/>
    <x v="3"/>
    <x v="86"/>
    <x v="14"/>
    <x v="2"/>
    <x v="2"/>
  </r>
  <r>
    <x v="457"/>
    <x v="3"/>
    <x v="24"/>
    <x v="0"/>
    <x v="8"/>
    <x v="0"/>
    <x v="57"/>
    <x v="9"/>
    <x v="0"/>
    <x v="0"/>
  </r>
  <r>
    <x v="457"/>
    <x v="4"/>
    <x v="5"/>
    <x v="1"/>
    <x v="4"/>
    <x v="0"/>
    <x v="73"/>
    <x v="5"/>
    <x v="1"/>
    <x v="1"/>
  </r>
  <r>
    <x v="458"/>
    <x v="0"/>
    <x v="16"/>
    <x v="0"/>
    <x v="13"/>
    <x v="0"/>
    <x v="114"/>
    <x v="14"/>
    <x v="2"/>
    <x v="2"/>
  </r>
  <r>
    <x v="459"/>
    <x v="0"/>
    <x v="23"/>
    <x v="0"/>
    <x v="7"/>
    <x v="2"/>
    <x v="72"/>
    <x v="20"/>
    <x v="0"/>
    <x v="0"/>
  </r>
  <r>
    <x v="459"/>
    <x v="1"/>
    <x v="9"/>
    <x v="1"/>
    <x v="7"/>
    <x v="1"/>
    <x v="53"/>
    <x v="8"/>
    <x v="0"/>
    <x v="0"/>
  </r>
  <r>
    <x v="459"/>
    <x v="2"/>
    <x v="4"/>
    <x v="0"/>
    <x v="3"/>
    <x v="0"/>
    <x v="4"/>
    <x v="4"/>
    <x v="1"/>
    <x v="1"/>
  </r>
  <r>
    <x v="459"/>
    <x v="3"/>
    <x v="13"/>
    <x v="1"/>
    <x v="11"/>
    <x v="3"/>
    <x v="23"/>
    <x v="12"/>
    <x v="0"/>
    <x v="0"/>
  </r>
  <r>
    <x v="460"/>
    <x v="0"/>
    <x v="3"/>
    <x v="0"/>
    <x v="0"/>
    <x v="1"/>
    <x v="5"/>
    <x v="3"/>
    <x v="0"/>
    <x v="0"/>
  </r>
  <r>
    <x v="460"/>
    <x v="1"/>
    <x v="4"/>
    <x v="0"/>
    <x v="3"/>
    <x v="0"/>
    <x v="4"/>
    <x v="4"/>
    <x v="1"/>
    <x v="1"/>
  </r>
  <r>
    <x v="460"/>
    <x v="2"/>
    <x v="1"/>
    <x v="1"/>
    <x v="1"/>
    <x v="2"/>
    <x v="134"/>
    <x v="1"/>
    <x v="1"/>
    <x v="1"/>
  </r>
  <r>
    <x v="460"/>
    <x v="3"/>
    <x v="24"/>
    <x v="0"/>
    <x v="8"/>
    <x v="3"/>
    <x v="98"/>
    <x v="9"/>
    <x v="0"/>
    <x v="0"/>
  </r>
  <r>
    <x v="460"/>
    <x v="4"/>
    <x v="9"/>
    <x v="1"/>
    <x v="7"/>
    <x v="3"/>
    <x v="106"/>
    <x v="8"/>
    <x v="0"/>
    <x v="0"/>
  </r>
  <r>
    <x v="461"/>
    <x v="0"/>
    <x v="10"/>
    <x v="1"/>
    <x v="8"/>
    <x v="3"/>
    <x v="97"/>
    <x v="9"/>
    <x v="0"/>
    <x v="0"/>
  </r>
  <r>
    <x v="462"/>
    <x v="0"/>
    <x v="17"/>
    <x v="1"/>
    <x v="11"/>
    <x v="1"/>
    <x v="35"/>
    <x v="15"/>
    <x v="0"/>
    <x v="0"/>
  </r>
  <r>
    <x v="463"/>
    <x v="0"/>
    <x v="14"/>
    <x v="0"/>
    <x v="12"/>
    <x v="3"/>
    <x v="40"/>
    <x v="13"/>
    <x v="1"/>
    <x v="1"/>
  </r>
  <r>
    <x v="464"/>
    <x v="0"/>
    <x v="18"/>
    <x v="1"/>
    <x v="14"/>
    <x v="3"/>
    <x v="110"/>
    <x v="16"/>
    <x v="1"/>
    <x v="1"/>
  </r>
  <r>
    <x v="464"/>
    <x v="1"/>
    <x v="22"/>
    <x v="1"/>
    <x v="17"/>
    <x v="3"/>
    <x v="68"/>
    <x v="19"/>
    <x v="5"/>
    <x v="5"/>
  </r>
  <r>
    <x v="465"/>
    <x v="0"/>
    <x v="23"/>
    <x v="1"/>
    <x v="7"/>
    <x v="0"/>
    <x v="83"/>
    <x v="20"/>
    <x v="0"/>
    <x v="0"/>
  </r>
  <r>
    <x v="465"/>
    <x v="1"/>
    <x v="18"/>
    <x v="0"/>
    <x v="14"/>
    <x v="0"/>
    <x v="63"/>
    <x v="16"/>
    <x v="1"/>
    <x v="1"/>
  </r>
  <r>
    <x v="465"/>
    <x v="2"/>
    <x v="14"/>
    <x v="1"/>
    <x v="12"/>
    <x v="2"/>
    <x v="74"/>
    <x v="13"/>
    <x v="1"/>
    <x v="1"/>
  </r>
  <r>
    <x v="465"/>
    <x v="3"/>
    <x v="12"/>
    <x v="0"/>
    <x v="10"/>
    <x v="3"/>
    <x v="80"/>
    <x v="11"/>
    <x v="0"/>
    <x v="0"/>
  </r>
  <r>
    <x v="465"/>
    <x v="4"/>
    <x v="21"/>
    <x v="0"/>
    <x v="16"/>
    <x v="3"/>
    <x v="38"/>
    <x v="18"/>
    <x v="1"/>
    <x v="1"/>
  </r>
  <r>
    <x v="466"/>
    <x v="0"/>
    <x v="23"/>
    <x v="0"/>
    <x v="7"/>
    <x v="1"/>
    <x v="10"/>
    <x v="20"/>
    <x v="0"/>
    <x v="0"/>
  </r>
  <r>
    <x v="466"/>
    <x v="1"/>
    <x v="2"/>
    <x v="0"/>
    <x v="2"/>
    <x v="1"/>
    <x v="43"/>
    <x v="2"/>
    <x v="2"/>
    <x v="2"/>
  </r>
  <r>
    <x v="466"/>
    <x v="2"/>
    <x v="13"/>
    <x v="1"/>
    <x v="11"/>
    <x v="3"/>
    <x v="23"/>
    <x v="12"/>
    <x v="0"/>
    <x v="0"/>
  </r>
  <r>
    <x v="466"/>
    <x v="3"/>
    <x v="7"/>
    <x v="1"/>
    <x v="6"/>
    <x v="1"/>
    <x v="100"/>
    <x v="7"/>
    <x v="0"/>
    <x v="0"/>
  </r>
  <r>
    <x v="466"/>
    <x v="4"/>
    <x v="16"/>
    <x v="0"/>
    <x v="13"/>
    <x v="3"/>
    <x v="86"/>
    <x v="14"/>
    <x v="2"/>
    <x v="2"/>
  </r>
  <r>
    <x v="467"/>
    <x v="0"/>
    <x v="23"/>
    <x v="0"/>
    <x v="7"/>
    <x v="3"/>
    <x v="65"/>
    <x v="20"/>
    <x v="0"/>
    <x v="0"/>
  </r>
  <r>
    <x v="467"/>
    <x v="1"/>
    <x v="11"/>
    <x v="1"/>
    <x v="9"/>
    <x v="2"/>
    <x v="126"/>
    <x v="10"/>
    <x v="3"/>
    <x v="3"/>
  </r>
  <r>
    <x v="467"/>
    <x v="2"/>
    <x v="2"/>
    <x v="1"/>
    <x v="2"/>
    <x v="2"/>
    <x v="2"/>
    <x v="2"/>
    <x v="2"/>
    <x v="2"/>
  </r>
  <r>
    <x v="467"/>
    <x v="3"/>
    <x v="22"/>
    <x v="0"/>
    <x v="17"/>
    <x v="3"/>
    <x v="93"/>
    <x v="19"/>
    <x v="5"/>
    <x v="5"/>
  </r>
  <r>
    <x v="468"/>
    <x v="0"/>
    <x v="1"/>
    <x v="1"/>
    <x v="1"/>
    <x v="3"/>
    <x v="96"/>
    <x v="1"/>
    <x v="1"/>
    <x v="1"/>
  </r>
  <r>
    <x v="468"/>
    <x v="1"/>
    <x v="4"/>
    <x v="0"/>
    <x v="3"/>
    <x v="1"/>
    <x v="123"/>
    <x v="4"/>
    <x v="1"/>
    <x v="1"/>
  </r>
  <r>
    <x v="468"/>
    <x v="2"/>
    <x v="12"/>
    <x v="1"/>
    <x v="10"/>
    <x v="0"/>
    <x v="48"/>
    <x v="11"/>
    <x v="0"/>
    <x v="0"/>
  </r>
  <r>
    <x v="469"/>
    <x v="0"/>
    <x v="9"/>
    <x v="0"/>
    <x v="7"/>
    <x v="2"/>
    <x v="72"/>
    <x v="8"/>
    <x v="0"/>
    <x v="0"/>
  </r>
  <r>
    <x v="469"/>
    <x v="1"/>
    <x v="17"/>
    <x v="0"/>
    <x v="11"/>
    <x v="2"/>
    <x v="18"/>
    <x v="15"/>
    <x v="0"/>
    <x v="0"/>
  </r>
  <r>
    <x v="469"/>
    <x v="2"/>
    <x v="1"/>
    <x v="1"/>
    <x v="1"/>
    <x v="0"/>
    <x v="82"/>
    <x v="1"/>
    <x v="1"/>
    <x v="1"/>
  </r>
  <r>
    <x v="470"/>
    <x v="0"/>
    <x v="15"/>
    <x v="0"/>
    <x v="11"/>
    <x v="0"/>
    <x v="51"/>
    <x v="12"/>
    <x v="0"/>
    <x v="0"/>
  </r>
  <r>
    <x v="470"/>
    <x v="1"/>
    <x v="17"/>
    <x v="1"/>
    <x v="11"/>
    <x v="2"/>
    <x v="64"/>
    <x v="15"/>
    <x v="0"/>
    <x v="0"/>
  </r>
  <r>
    <x v="471"/>
    <x v="0"/>
    <x v="12"/>
    <x v="0"/>
    <x v="10"/>
    <x v="3"/>
    <x v="80"/>
    <x v="11"/>
    <x v="0"/>
    <x v="0"/>
  </r>
  <r>
    <x v="471"/>
    <x v="1"/>
    <x v="20"/>
    <x v="1"/>
    <x v="11"/>
    <x v="3"/>
    <x v="23"/>
    <x v="15"/>
    <x v="0"/>
    <x v="0"/>
  </r>
  <r>
    <x v="472"/>
    <x v="0"/>
    <x v="8"/>
    <x v="0"/>
    <x v="0"/>
    <x v="1"/>
    <x v="5"/>
    <x v="3"/>
    <x v="0"/>
    <x v="0"/>
  </r>
  <r>
    <x v="473"/>
    <x v="0"/>
    <x v="23"/>
    <x v="1"/>
    <x v="7"/>
    <x v="2"/>
    <x v="32"/>
    <x v="20"/>
    <x v="0"/>
    <x v="0"/>
  </r>
  <r>
    <x v="473"/>
    <x v="1"/>
    <x v="16"/>
    <x v="0"/>
    <x v="13"/>
    <x v="0"/>
    <x v="114"/>
    <x v="14"/>
    <x v="2"/>
    <x v="2"/>
  </r>
  <r>
    <x v="474"/>
    <x v="0"/>
    <x v="7"/>
    <x v="1"/>
    <x v="6"/>
    <x v="1"/>
    <x v="100"/>
    <x v="7"/>
    <x v="0"/>
    <x v="0"/>
  </r>
  <r>
    <x v="474"/>
    <x v="1"/>
    <x v="8"/>
    <x v="1"/>
    <x v="0"/>
    <x v="0"/>
    <x v="24"/>
    <x v="3"/>
    <x v="0"/>
    <x v="0"/>
  </r>
  <r>
    <x v="474"/>
    <x v="2"/>
    <x v="22"/>
    <x v="0"/>
    <x v="17"/>
    <x v="0"/>
    <x v="76"/>
    <x v="19"/>
    <x v="5"/>
    <x v="5"/>
  </r>
  <r>
    <x v="475"/>
    <x v="0"/>
    <x v="13"/>
    <x v="1"/>
    <x v="11"/>
    <x v="1"/>
    <x v="35"/>
    <x v="12"/>
    <x v="0"/>
    <x v="0"/>
  </r>
  <r>
    <x v="475"/>
    <x v="1"/>
    <x v="4"/>
    <x v="1"/>
    <x v="3"/>
    <x v="0"/>
    <x v="84"/>
    <x v="4"/>
    <x v="1"/>
    <x v="1"/>
  </r>
  <r>
    <x v="475"/>
    <x v="2"/>
    <x v="16"/>
    <x v="1"/>
    <x v="13"/>
    <x v="1"/>
    <x v="136"/>
    <x v="14"/>
    <x v="2"/>
    <x v="2"/>
  </r>
  <r>
    <x v="475"/>
    <x v="3"/>
    <x v="0"/>
    <x v="1"/>
    <x v="0"/>
    <x v="2"/>
    <x v="3"/>
    <x v="0"/>
    <x v="0"/>
    <x v="0"/>
  </r>
  <r>
    <x v="476"/>
    <x v="0"/>
    <x v="18"/>
    <x v="0"/>
    <x v="14"/>
    <x v="3"/>
    <x v="107"/>
    <x v="16"/>
    <x v="1"/>
    <x v="1"/>
  </r>
  <r>
    <x v="476"/>
    <x v="1"/>
    <x v="2"/>
    <x v="0"/>
    <x v="2"/>
    <x v="2"/>
    <x v="99"/>
    <x v="2"/>
    <x v="2"/>
    <x v="2"/>
  </r>
  <r>
    <x v="477"/>
    <x v="0"/>
    <x v="20"/>
    <x v="1"/>
    <x v="11"/>
    <x v="1"/>
    <x v="35"/>
    <x v="15"/>
    <x v="0"/>
    <x v="0"/>
  </r>
  <r>
    <x v="478"/>
    <x v="0"/>
    <x v="8"/>
    <x v="0"/>
    <x v="0"/>
    <x v="1"/>
    <x v="5"/>
    <x v="3"/>
    <x v="0"/>
    <x v="0"/>
  </r>
  <r>
    <x v="478"/>
    <x v="1"/>
    <x v="10"/>
    <x v="0"/>
    <x v="8"/>
    <x v="2"/>
    <x v="101"/>
    <x v="9"/>
    <x v="0"/>
    <x v="0"/>
  </r>
  <r>
    <x v="478"/>
    <x v="2"/>
    <x v="20"/>
    <x v="0"/>
    <x v="11"/>
    <x v="0"/>
    <x v="51"/>
    <x v="15"/>
    <x v="0"/>
    <x v="0"/>
  </r>
  <r>
    <x v="478"/>
    <x v="3"/>
    <x v="14"/>
    <x v="0"/>
    <x v="12"/>
    <x v="2"/>
    <x v="55"/>
    <x v="13"/>
    <x v="1"/>
    <x v="1"/>
  </r>
  <r>
    <x v="478"/>
    <x v="4"/>
    <x v="2"/>
    <x v="0"/>
    <x v="2"/>
    <x v="0"/>
    <x v="135"/>
    <x v="2"/>
    <x v="2"/>
    <x v="2"/>
  </r>
  <r>
    <x v="479"/>
    <x v="0"/>
    <x v="4"/>
    <x v="0"/>
    <x v="3"/>
    <x v="2"/>
    <x v="143"/>
    <x v="4"/>
    <x v="1"/>
    <x v="1"/>
  </r>
  <r>
    <x v="479"/>
    <x v="1"/>
    <x v="12"/>
    <x v="0"/>
    <x v="10"/>
    <x v="2"/>
    <x v="119"/>
    <x v="11"/>
    <x v="0"/>
    <x v="0"/>
  </r>
  <r>
    <x v="479"/>
    <x v="2"/>
    <x v="19"/>
    <x v="1"/>
    <x v="15"/>
    <x v="1"/>
    <x v="69"/>
    <x v="17"/>
    <x v="4"/>
    <x v="4"/>
  </r>
  <r>
    <x v="480"/>
    <x v="0"/>
    <x v="17"/>
    <x v="1"/>
    <x v="11"/>
    <x v="0"/>
    <x v="78"/>
    <x v="15"/>
    <x v="0"/>
    <x v="0"/>
  </r>
  <r>
    <x v="480"/>
    <x v="1"/>
    <x v="3"/>
    <x v="1"/>
    <x v="0"/>
    <x v="1"/>
    <x v="19"/>
    <x v="3"/>
    <x v="0"/>
    <x v="0"/>
  </r>
  <r>
    <x v="480"/>
    <x v="2"/>
    <x v="11"/>
    <x v="1"/>
    <x v="9"/>
    <x v="3"/>
    <x v="42"/>
    <x v="10"/>
    <x v="3"/>
    <x v="3"/>
  </r>
  <r>
    <x v="481"/>
    <x v="0"/>
    <x v="17"/>
    <x v="0"/>
    <x v="11"/>
    <x v="0"/>
    <x v="51"/>
    <x v="15"/>
    <x v="0"/>
    <x v="0"/>
  </r>
  <r>
    <x v="481"/>
    <x v="1"/>
    <x v="15"/>
    <x v="0"/>
    <x v="11"/>
    <x v="3"/>
    <x v="21"/>
    <x v="12"/>
    <x v="0"/>
    <x v="0"/>
  </r>
  <r>
    <x v="482"/>
    <x v="0"/>
    <x v="7"/>
    <x v="0"/>
    <x v="6"/>
    <x v="1"/>
    <x v="9"/>
    <x v="7"/>
    <x v="0"/>
    <x v="0"/>
  </r>
  <r>
    <x v="483"/>
    <x v="0"/>
    <x v="1"/>
    <x v="1"/>
    <x v="1"/>
    <x v="3"/>
    <x v="96"/>
    <x v="1"/>
    <x v="1"/>
    <x v="1"/>
  </r>
  <r>
    <x v="483"/>
    <x v="1"/>
    <x v="24"/>
    <x v="0"/>
    <x v="8"/>
    <x v="2"/>
    <x v="101"/>
    <x v="9"/>
    <x v="0"/>
    <x v="0"/>
  </r>
  <r>
    <x v="483"/>
    <x v="2"/>
    <x v="11"/>
    <x v="1"/>
    <x v="9"/>
    <x v="2"/>
    <x v="126"/>
    <x v="10"/>
    <x v="3"/>
    <x v="3"/>
  </r>
  <r>
    <x v="483"/>
    <x v="3"/>
    <x v="18"/>
    <x v="0"/>
    <x v="14"/>
    <x v="0"/>
    <x v="63"/>
    <x v="16"/>
    <x v="1"/>
    <x v="1"/>
  </r>
  <r>
    <x v="484"/>
    <x v="0"/>
    <x v="17"/>
    <x v="0"/>
    <x v="11"/>
    <x v="3"/>
    <x v="21"/>
    <x v="15"/>
    <x v="0"/>
    <x v="0"/>
  </r>
  <r>
    <x v="484"/>
    <x v="1"/>
    <x v="8"/>
    <x v="1"/>
    <x v="0"/>
    <x v="2"/>
    <x v="3"/>
    <x v="3"/>
    <x v="0"/>
    <x v="0"/>
  </r>
  <r>
    <x v="485"/>
    <x v="0"/>
    <x v="11"/>
    <x v="0"/>
    <x v="9"/>
    <x v="1"/>
    <x v="45"/>
    <x v="10"/>
    <x v="3"/>
    <x v="3"/>
  </r>
  <r>
    <x v="485"/>
    <x v="1"/>
    <x v="19"/>
    <x v="1"/>
    <x v="15"/>
    <x v="2"/>
    <x v="89"/>
    <x v="17"/>
    <x v="4"/>
    <x v="4"/>
  </r>
  <r>
    <x v="486"/>
    <x v="0"/>
    <x v="18"/>
    <x v="0"/>
    <x v="14"/>
    <x v="0"/>
    <x v="63"/>
    <x v="16"/>
    <x v="1"/>
    <x v="1"/>
  </r>
  <r>
    <x v="487"/>
    <x v="0"/>
    <x v="17"/>
    <x v="1"/>
    <x v="11"/>
    <x v="1"/>
    <x v="35"/>
    <x v="15"/>
    <x v="0"/>
    <x v="0"/>
  </r>
  <r>
    <x v="487"/>
    <x v="1"/>
    <x v="19"/>
    <x v="1"/>
    <x v="15"/>
    <x v="2"/>
    <x v="89"/>
    <x v="17"/>
    <x v="4"/>
    <x v="4"/>
  </r>
  <r>
    <x v="487"/>
    <x v="2"/>
    <x v="13"/>
    <x v="0"/>
    <x v="11"/>
    <x v="2"/>
    <x v="18"/>
    <x v="12"/>
    <x v="0"/>
    <x v="0"/>
  </r>
  <r>
    <x v="488"/>
    <x v="0"/>
    <x v="1"/>
    <x v="1"/>
    <x v="1"/>
    <x v="3"/>
    <x v="96"/>
    <x v="1"/>
    <x v="1"/>
    <x v="1"/>
  </r>
  <r>
    <x v="489"/>
    <x v="0"/>
    <x v="10"/>
    <x v="0"/>
    <x v="8"/>
    <x v="3"/>
    <x v="98"/>
    <x v="9"/>
    <x v="0"/>
    <x v="0"/>
  </r>
  <r>
    <x v="489"/>
    <x v="1"/>
    <x v="19"/>
    <x v="0"/>
    <x v="15"/>
    <x v="2"/>
    <x v="115"/>
    <x v="17"/>
    <x v="4"/>
    <x v="4"/>
  </r>
  <r>
    <x v="489"/>
    <x v="2"/>
    <x v="15"/>
    <x v="0"/>
    <x v="11"/>
    <x v="3"/>
    <x v="21"/>
    <x v="12"/>
    <x v="0"/>
    <x v="0"/>
  </r>
  <r>
    <x v="489"/>
    <x v="3"/>
    <x v="17"/>
    <x v="1"/>
    <x v="11"/>
    <x v="1"/>
    <x v="35"/>
    <x v="15"/>
    <x v="0"/>
    <x v="0"/>
  </r>
  <r>
    <x v="490"/>
    <x v="0"/>
    <x v="11"/>
    <x v="1"/>
    <x v="9"/>
    <x v="0"/>
    <x v="44"/>
    <x v="10"/>
    <x v="3"/>
    <x v="3"/>
  </r>
  <r>
    <x v="490"/>
    <x v="1"/>
    <x v="20"/>
    <x v="1"/>
    <x v="11"/>
    <x v="2"/>
    <x v="64"/>
    <x v="15"/>
    <x v="0"/>
    <x v="0"/>
  </r>
  <r>
    <x v="490"/>
    <x v="2"/>
    <x v="12"/>
    <x v="1"/>
    <x v="10"/>
    <x v="2"/>
    <x v="94"/>
    <x v="11"/>
    <x v="0"/>
    <x v="0"/>
  </r>
  <r>
    <x v="491"/>
    <x v="0"/>
    <x v="18"/>
    <x v="0"/>
    <x v="14"/>
    <x v="3"/>
    <x v="107"/>
    <x v="16"/>
    <x v="1"/>
    <x v="1"/>
  </r>
  <r>
    <x v="491"/>
    <x v="1"/>
    <x v="13"/>
    <x v="1"/>
    <x v="11"/>
    <x v="3"/>
    <x v="23"/>
    <x v="12"/>
    <x v="0"/>
    <x v="0"/>
  </r>
  <r>
    <x v="491"/>
    <x v="2"/>
    <x v="8"/>
    <x v="0"/>
    <x v="0"/>
    <x v="2"/>
    <x v="7"/>
    <x v="3"/>
    <x v="0"/>
    <x v="0"/>
  </r>
  <r>
    <x v="492"/>
    <x v="0"/>
    <x v="12"/>
    <x v="0"/>
    <x v="10"/>
    <x v="2"/>
    <x v="119"/>
    <x v="11"/>
    <x v="0"/>
    <x v="0"/>
  </r>
  <r>
    <x v="492"/>
    <x v="1"/>
    <x v="9"/>
    <x v="1"/>
    <x v="7"/>
    <x v="2"/>
    <x v="32"/>
    <x v="8"/>
    <x v="0"/>
    <x v="0"/>
  </r>
  <r>
    <x v="492"/>
    <x v="2"/>
    <x v="8"/>
    <x v="0"/>
    <x v="0"/>
    <x v="2"/>
    <x v="7"/>
    <x v="3"/>
    <x v="0"/>
    <x v="0"/>
  </r>
  <r>
    <x v="493"/>
    <x v="0"/>
    <x v="19"/>
    <x v="0"/>
    <x v="15"/>
    <x v="3"/>
    <x v="37"/>
    <x v="17"/>
    <x v="4"/>
    <x v="4"/>
  </r>
  <r>
    <x v="494"/>
    <x v="0"/>
    <x v="13"/>
    <x v="0"/>
    <x v="11"/>
    <x v="0"/>
    <x v="51"/>
    <x v="12"/>
    <x v="0"/>
    <x v="0"/>
  </r>
  <r>
    <x v="494"/>
    <x v="1"/>
    <x v="11"/>
    <x v="0"/>
    <x v="9"/>
    <x v="2"/>
    <x v="121"/>
    <x v="10"/>
    <x v="3"/>
    <x v="3"/>
  </r>
  <r>
    <x v="495"/>
    <x v="0"/>
    <x v="19"/>
    <x v="0"/>
    <x v="15"/>
    <x v="0"/>
    <x v="122"/>
    <x v="17"/>
    <x v="4"/>
    <x v="4"/>
  </r>
  <r>
    <x v="495"/>
    <x v="1"/>
    <x v="17"/>
    <x v="0"/>
    <x v="11"/>
    <x v="3"/>
    <x v="21"/>
    <x v="15"/>
    <x v="0"/>
    <x v="0"/>
  </r>
  <r>
    <x v="495"/>
    <x v="2"/>
    <x v="20"/>
    <x v="1"/>
    <x v="11"/>
    <x v="0"/>
    <x v="78"/>
    <x v="15"/>
    <x v="0"/>
    <x v="0"/>
  </r>
  <r>
    <x v="496"/>
    <x v="0"/>
    <x v="22"/>
    <x v="1"/>
    <x v="17"/>
    <x v="1"/>
    <x v="85"/>
    <x v="19"/>
    <x v="5"/>
    <x v="5"/>
  </r>
  <r>
    <x v="497"/>
    <x v="0"/>
    <x v="24"/>
    <x v="0"/>
    <x v="8"/>
    <x v="1"/>
    <x v="77"/>
    <x v="9"/>
    <x v="0"/>
    <x v="0"/>
  </r>
  <r>
    <x v="497"/>
    <x v="1"/>
    <x v="20"/>
    <x v="0"/>
    <x v="11"/>
    <x v="3"/>
    <x v="21"/>
    <x v="15"/>
    <x v="0"/>
    <x v="0"/>
  </r>
  <r>
    <x v="497"/>
    <x v="2"/>
    <x v="2"/>
    <x v="0"/>
    <x v="2"/>
    <x v="1"/>
    <x v="43"/>
    <x v="2"/>
    <x v="2"/>
    <x v="2"/>
  </r>
  <r>
    <x v="498"/>
    <x v="0"/>
    <x v="16"/>
    <x v="0"/>
    <x v="13"/>
    <x v="0"/>
    <x v="114"/>
    <x v="14"/>
    <x v="2"/>
    <x v="2"/>
  </r>
  <r>
    <x v="498"/>
    <x v="1"/>
    <x v="12"/>
    <x v="0"/>
    <x v="10"/>
    <x v="1"/>
    <x v="15"/>
    <x v="11"/>
    <x v="0"/>
    <x v="0"/>
  </r>
  <r>
    <x v="498"/>
    <x v="2"/>
    <x v="15"/>
    <x v="1"/>
    <x v="11"/>
    <x v="0"/>
    <x v="78"/>
    <x v="12"/>
    <x v="0"/>
    <x v="0"/>
  </r>
  <r>
    <x v="498"/>
    <x v="3"/>
    <x v="0"/>
    <x v="1"/>
    <x v="0"/>
    <x v="3"/>
    <x v="28"/>
    <x v="0"/>
    <x v="0"/>
    <x v="0"/>
  </r>
  <r>
    <x v="499"/>
    <x v="0"/>
    <x v="10"/>
    <x v="1"/>
    <x v="8"/>
    <x v="2"/>
    <x v="11"/>
    <x v="9"/>
    <x v="0"/>
    <x v="0"/>
  </r>
  <r>
    <x v="499"/>
    <x v="1"/>
    <x v="15"/>
    <x v="0"/>
    <x v="11"/>
    <x v="0"/>
    <x v="51"/>
    <x v="12"/>
    <x v="0"/>
    <x v="0"/>
  </r>
  <r>
    <x v="500"/>
    <x v="0"/>
    <x v="23"/>
    <x v="1"/>
    <x v="7"/>
    <x v="2"/>
    <x v="32"/>
    <x v="20"/>
    <x v="0"/>
    <x v="0"/>
  </r>
  <r>
    <x v="500"/>
    <x v="1"/>
    <x v="1"/>
    <x v="0"/>
    <x v="1"/>
    <x v="1"/>
    <x v="31"/>
    <x v="1"/>
    <x v="1"/>
    <x v="1"/>
  </r>
  <r>
    <x v="500"/>
    <x v="2"/>
    <x v="15"/>
    <x v="0"/>
    <x v="11"/>
    <x v="3"/>
    <x v="21"/>
    <x v="12"/>
    <x v="0"/>
    <x v="0"/>
  </r>
  <r>
    <x v="500"/>
    <x v="3"/>
    <x v="19"/>
    <x v="1"/>
    <x v="15"/>
    <x v="1"/>
    <x v="69"/>
    <x v="17"/>
    <x v="4"/>
    <x v="4"/>
  </r>
  <r>
    <x v="501"/>
    <x v="0"/>
    <x v="17"/>
    <x v="0"/>
    <x v="11"/>
    <x v="2"/>
    <x v="18"/>
    <x v="15"/>
    <x v="0"/>
    <x v="0"/>
  </r>
  <r>
    <x v="502"/>
    <x v="0"/>
    <x v="17"/>
    <x v="1"/>
    <x v="11"/>
    <x v="1"/>
    <x v="35"/>
    <x v="15"/>
    <x v="0"/>
    <x v="0"/>
  </r>
  <r>
    <x v="502"/>
    <x v="1"/>
    <x v="2"/>
    <x v="0"/>
    <x v="2"/>
    <x v="2"/>
    <x v="99"/>
    <x v="2"/>
    <x v="2"/>
    <x v="2"/>
  </r>
  <r>
    <x v="503"/>
    <x v="0"/>
    <x v="24"/>
    <x v="1"/>
    <x v="8"/>
    <x v="3"/>
    <x v="97"/>
    <x v="9"/>
    <x v="0"/>
    <x v="0"/>
  </r>
  <r>
    <x v="503"/>
    <x v="1"/>
    <x v="6"/>
    <x v="1"/>
    <x v="5"/>
    <x v="2"/>
    <x v="125"/>
    <x v="6"/>
    <x v="1"/>
    <x v="1"/>
  </r>
  <r>
    <x v="504"/>
    <x v="0"/>
    <x v="8"/>
    <x v="0"/>
    <x v="0"/>
    <x v="0"/>
    <x v="0"/>
    <x v="3"/>
    <x v="0"/>
    <x v="0"/>
  </r>
  <r>
    <x v="505"/>
    <x v="0"/>
    <x v="22"/>
    <x v="0"/>
    <x v="17"/>
    <x v="3"/>
    <x v="93"/>
    <x v="19"/>
    <x v="5"/>
    <x v="5"/>
  </r>
  <r>
    <x v="505"/>
    <x v="1"/>
    <x v="14"/>
    <x v="0"/>
    <x v="12"/>
    <x v="1"/>
    <x v="140"/>
    <x v="13"/>
    <x v="1"/>
    <x v="1"/>
  </r>
  <r>
    <x v="506"/>
    <x v="0"/>
    <x v="16"/>
    <x v="1"/>
    <x v="13"/>
    <x v="2"/>
    <x v="67"/>
    <x v="14"/>
    <x v="2"/>
    <x v="2"/>
  </r>
  <r>
    <x v="506"/>
    <x v="1"/>
    <x v="17"/>
    <x v="1"/>
    <x v="11"/>
    <x v="1"/>
    <x v="35"/>
    <x v="15"/>
    <x v="0"/>
    <x v="0"/>
  </r>
  <r>
    <x v="506"/>
    <x v="2"/>
    <x v="0"/>
    <x v="1"/>
    <x v="0"/>
    <x v="3"/>
    <x v="28"/>
    <x v="0"/>
    <x v="0"/>
    <x v="0"/>
  </r>
  <r>
    <x v="507"/>
    <x v="0"/>
    <x v="1"/>
    <x v="0"/>
    <x v="1"/>
    <x v="2"/>
    <x v="22"/>
    <x v="1"/>
    <x v="1"/>
    <x v="1"/>
  </r>
  <r>
    <x v="507"/>
    <x v="1"/>
    <x v="6"/>
    <x v="1"/>
    <x v="5"/>
    <x v="2"/>
    <x v="125"/>
    <x v="6"/>
    <x v="1"/>
    <x v="1"/>
  </r>
  <r>
    <x v="507"/>
    <x v="2"/>
    <x v="2"/>
    <x v="1"/>
    <x v="2"/>
    <x v="2"/>
    <x v="2"/>
    <x v="2"/>
    <x v="2"/>
    <x v="2"/>
  </r>
  <r>
    <x v="507"/>
    <x v="3"/>
    <x v="22"/>
    <x v="0"/>
    <x v="17"/>
    <x v="1"/>
    <x v="88"/>
    <x v="19"/>
    <x v="5"/>
    <x v="5"/>
  </r>
  <r>
    <x v="508"/>
    <x v="0"/>
    <x v="19"/>
    <x v="1"/>
    <x v="15"/>
    <x v="0"/>
    <x v="33"/>
    <x v="17"/>
    <x v="4"/>
    <x v="4"/>
  </r>
  <r>
    <x v="508"/>
    <x v="1"/>
    <x v="4"/>
    <x v="1"/>
    <x v="3"/>
    <x v="2"/>
    <x v="49"/>
    <x v="4"/>
    <x v="1"/>
    <x v="1"/>
  </r>
  <r>
    <x v="509"/>
    <x v="0"/>
    <x v="7"/>
    <x v="0"/>
    <x v="6"/>
    <x v="3"/>
    <x v="47"/>
    <x v="7"/>
    <x v="0"/>
    <x v="0"/>
  </r>
  <r>
    <x v="510"/>
    <x v="0"/>
    <x v="13"/>
    <x v="1"/>
    <x v="11"/>
    <x v="2"/>
    <x v="64"/>
    <x v="12"/>
    <x v="0"/>
    <x v="0"/>
  </r>
  <r>
    <x v="510"/>
    <x v="1"/>
    <x v="17"/>
    <x v="0"/>
    <x v="11"/>
    <x v="3"/>
    <x v="21"/>
    <x v="15"/>
    <x v="0"/>
    <x v="0"/>
  </r>
  <r>
    <x v="511"/>
    <x v="0"/>
    <x v="20"/>
    <x v="0"/>
    <x v="11"/>
    <x v="1"/>
    <x v="36"/>
    <x v="15"/>
    <x v="0"/>
    <x v="0"/>
  </r>
  <r>
    <x v="512"/>
    <x v="0"/>
    <x v="14"/>
    <x v="0"/>
    <x v="12"/>
    <x v="1"/>
    <x v="140"/>
    <x v="13"/>
    <x v="1"/>
    <x v="1"/>
  </r>
  <r>
    <x v="512"/>
    <x v="1"/>
    <x v="17"/>
    <x v="0"/>
    <x v="11"/>
    <x v="0"/>
    <x v="51"/>
    <x v="15"/>
    <x v="0"/>
    <x v="0"/>
  </r>
  <r>
    <x v="512"/>
    <x v="2"/>
    <x v="19"/>
    <x v="0"/>
    <x v="15"/>
    <x v="1"/>
    <x v="75"/>
    <x v="17"/>
    <x v="4"/>
    <x v="4"/>
  </r>
  <r>
    <x v="513"/>
    <x v="0"/>
    <x v="9"/>
    <x v="1"/>
    <x v="7"/>
    <x v="0"/>
    <x v="83"/>
    <x v="8"/>
    <x v="0"/>
    <x v="0"/>
  </r>
  <r>
    <x v="513"/>
    <x v="1"/>
    <x v="7"/>
    <x v="1"/>
    <x v="6"/>
    <x v="1"/>
    <x v="100"/>
    <x v="7"/>
    <x v="0"/>
    <x v="0"/>
  </r>
  <r>
    <x v="514"/>
    <x v="0"/>
    <x v="1"/>
    <x v="0"/>
    <x v="1"/>
    <x v="1"/>
    <x v="31"/>
    <x v="1"/>
    <x v="1"/>
    <x v="1"/>
  </r>
  <r>
    <x v="514"/>
    <x v="1"/>
    <x v="21"/>
    <x v="0"/>
    <x v="16"/>
    <x v="3"/>
    <x v="38"/>
    <x v="18"/>
    <x v="1"/>
    <x v="1"/>
  </r>
  <r>
    <x v="514"/>
    <x v="2"/>
    <x v="22"/>
    <x v="1"/>
    <x v="17"/>
    <x v="1"/>
    <x v="85"/>
    <x v="19"/>
    <x v="5"/>
    <x v="5"/>
  </r>
  <r>
    <x v="514"/>
    <x v="3"/>
    <x v="18"/>
    <x v="1"/>
    <x v="14"/>
    <x v="0"/>
    <x v="117"/>
    <x v="16"/>
    <x v="1"/>
    <x v="1"/>
  </r>
  <r>
    <x v="515"/>
    <x v="0"/>
    <x v="14"/>
    <x v="0"/>
    <x v="12"/>
    <x v="2"/>
    <x v="55"/>
    <x v="13"/>
    <x v="1"/>
    <x v="1"/>
  </r>
  <r>
    <x v="515"/>
    <x v="1"/>
    <x v="21"/>
    <x v="1"/>
    <x v="16"/>
    <x v="3"/>
    <x v="87"/>
    <x v="18"/>
    <x v="1"/>
    <x v="1"/>
  </r>
  <r>
    <x v="516"/>
    <x v="0"/>
    <x v="20"/>
    <x v="1"/>
    <x v="11"/>
    <x v="1"/>
    <x v="35"/>
    <x v="15"/>
    <x v="0"/>
    <x v="0"/>
  </r>
  <r>
    <x v="517"/>
    <x v="0"/>
    <x v="3"/>
    <x v="1"/>
    <x v="0"/>
    <x v="0"/>
    <x v="24"/>
    <x v="3"/>
    <x v="0"/>
    <x v="0"/>
  </r>
  <r>
    <x v="517"/>
    <x v="1"/>
    <x v="21"/>
    <x v="1"/>
    <x v="16"/>
    <x v="2"/>
    <x v="131"/>
    <x v="18"/>
    <x v="1"/>
    <x v="1"/>
  </r>
  <r>
    <x v="517"/>
    <x v="2"/>
    <x v="22"/>
    <x v="1"/>
    <x v="17"/>
    <x v="2"/>
    <x v="41"/>
    <x v="19"/>
    <x v="5"/>
    <x v="5"/>
  </r>
  <r>
    <x v="517"/>
    <x v="3"/>
    <x v="12"/>
    <x v="1"/>
    <x v="10"/>
    <x v="0"/>
    <x v="48"/>
    <x v="11"/>
    <x v="0"/>
    <x v="0"/>
  </r>
  <r>
    <x v="517"/>
    <x v="4"/>
    <x v="16"/>
    <x v="1"/>
    <x v="13"/>
    <x v="1"/>
    <x v="136"/>
    <x v="14"/>
    <x v="2"/>
    <x v="2"/>
  </r>
  <r>
    <x v="518"/>
    <x v="0"/>
    <x v="18"/>
    <x v="0"/>
    <x v="14"/>
    <x v="1"/>
    <x v="29"/>
    <x v="16"/>
    <x v="1"/>
    <x v="1"/>
  </r>
  <r>
    <x v="518"/>
    <x v="1"/>
    <x v="3"/>
    <x v="0"/>
    <x v="0"/>
    <x v="3"/>
    <x v="12"/>
    <x v="3"/>
    <x v="0"/>
    <x v="0"/>
  </r>
  <r>
    <x v="518"/>
    <x v="2"/>
    <x v="19"/>
    <x v="1"/>
    <x v="15"/>
    <x v="2"/>
    <x v="89"/>
    <x v="17"/>
    <x v="4"/>
    <x v="4"/>
  </r>
  <r>
    <x v="518"/>
    <x v="3"/>
    <x v="9"/>
    <x v="1"/>
    <x v="7"/>
    <x v="0"/>
    <x v="83"/>
    <x v="8"/>
    <x v="0"/>
    <x v="0"/>
  </r>
  <r>
    <x v="518"/>
    <x v="4"/>
    <x v="14"/>
    <x v="0"/>
    <x v="12"/>
    <x v="2"/>
    <x v="55"/>
    <x v="13"/>
    <x v="1"/>
    <x v="1"/>
  </r>
  <r>
    <x v="519"/>
    <x v="0"/>
    <x v="8"/>
    <x v="0"/>
    <x v="0"/>
    <x v="3"/>
    <x v="12"/>
    <x v="3"/>
    <x v="0"/>
    <x v="0"/>
  </r>
  <r>
    <x v="519"/>
    <x v="1"/>
    <x v="24"/>
    <x v="0"/>
    <x v="8"/>
    <x v="0"/>
    <x v="57"/>
    <x v="9"/>
    <x v="0"/>
    <x v="0"/>
  </r>
  <r>
    <x v="519"/>
    <x v="2"/>
    <x v="2"/>
    <x v="0"/>
    <x v="2"/>
    <x v="1"/>
    <x v="43"/>
    <x v="2"/>
    <x v="2"/>
    <x v="2"/>
  </r>
  <r>
    <x v="520"/>
    <x v="0"/>
    <x v="21"/>
    <x v="0"/>
    <x v="16"/>
    <x v="0"/>
    <x v="58"/>
    <x v="18"/>
    <x v="1"/>
    <x v="1"/>
  </r>
  <r>
    <x v="520"/>
    <x v="1"/>
    <x v="15"/>
    <x v="0"/>
    <x v="11"/>
    <x v="0"/>
    <x v="51"/>
    <x v="12"/>
    <x v="0"/>
    <x v="0"/>
  </r>
  <r>
    <x v="521"/>
    <x v="0"/>
    <x v="4"/>
    <x v="1"/>
    <x v="3"/>
    <x v="1"/>
    <x v="127"/>
    <x v="4"/>
    <x v="1"/>
    <x v="1"/>
  </r>
  <r>
    <x v="521"/>
    <x v="1"/>
    <x v="13"/>
    <x v="1"/>
    <x v="11"/>
    <x v="1"/>
    <x v="35"/>
    <x v="12"/>
    <x v="0"/>
    <x v="0"/>
  </r>
  <r>
    <x v="521"/>
    <x v="2"/>
    <x v="20"/>
    <x v="0"/>
    <x v="11"/>
    <x v="2"/>
    <x v="18"/>
    <x v="15"/>
    <x v="0"/>
    <x v="0"/>
  </r>
  <r>
    <x v="522"/>
    <x v="0"/>
    <x v="10"/>
    <x v="0"/>
    <x v="8"/>
    <x v="0"/>
    <x v="57"/>
    <x v="9"/>
    <x v="0"/>
    <x v="0"/>
  </r>
  <r>
    <x v="522"/>
    <x v="1"/>
    <x v="0"/>
    <x v="0"/>
    <x v="0"/>
    <x v="2"/>
    <x v="7"/>
    <x v="0"/>
    <x v="0"/>
    <x v="0"/>
  </r>
  <r>
    <x v="522"/>
    <x v="2"/>
    <x v="21"/>
    <x v="1"/>
    <x v="16"/>
    <x v="3"/>
    <x v="87"/>
    <x v="18"/>
    <x v="1"/>
    <x v="1"/>
  </r>
  <r>
    <x v="522"/>
    <x v="3"/>
    <x v="3"/>
    <x v="1"/>
    <x v="0"/>
    <x v="1"/>
    <x v="19"/>
    <x v="3"/>
    <x v="0"/>
    <x v="0"/>
  </r>
  <r>
    <x v="523"/>
    <x v="0"/>
    <x v="16"/>
    <x v="0"/>
    <x v="13"/>
    <x v="1"/>
    <x v="142"/>
    <x v="14"/>
    <x v="2"/>
    <x v="2"/>
  </r>
  <r>
    <x v="523"/>
    <x v="1"/>
    <x v="6"/>
    <x v="0"/>
    <x v="5"/>
    <x v="2"/>
    <x v="132"/>
    <x v="6"/>
    <x v="1"/>
    <x v="1"/>
  </r>
  <r>
    <x v="523"/>
    <x v="2"/>
    <x v="11"/>
    <x v="0"/>
    <x v="9"/>
    <x v="0"/>
    <x v="141"/>
    <x v="10"/>
    <x v="3"/>
    <x v="3"/>
  </r>
  <r>
    <x v="523"/>
    <x v="3"/>
    <x v="5"/>
    <x v="1"/>
    <x v="4"/>
    <x v="1"/>
    <x v="13"/>
    <x v="5"/>
    <x v="1"/>
    <x v="1"/>
  </r>
  <r>
    <x v="523"/>
    <x v="4"/>
    <x v="8"/>
    <x v="0"/>
    <x v="0"/>
    <x v="2"/>
    <x v="7"/>
    <x v="3"/>
    <x v="0"/>
    <x v="0"/>
  </r>
  <r>
    <x v="524"/>
    <x v="0"/>
    <x v="11"/>
    <x v="1"/>
    <x v="9"/>
    <x v="1"/>
    <x v="14"/>
    <x v="10"/>
    <x v="3"/>
    <x v="3"/>
  </r>
  <r>
    <x v="524"/>
    <x v="1"/>
    <x v="18"/>
    <x v="1"/>
    <x v="14"/>
    <x v="1"/>
    <x v="138"/>
    <x v="16"/>
    <x v="1"/>
    <x v="1"/>
  </r>
  <r>
    <x v="524"/>
    <x v="2"/>
    <x v="2"/>
    <x v="0"/>
    <x v="2"/>
    <x v="3"/>
    <x v="139"/>
    <x v="2"/>
    <x v="2"/>
    <x v="2"/>
  </r>
  <r>
    <x v="525"/>
    <x v="0"/>
    <x v="5"/>
    <x v="1"/>
    <x v="4"/>
    <x v="3"/>
    <x v="52"/>
    <x v="5"/>
    <x v="1"/>
    <x v="1"/>
  </r>
  <r>
    <x v="525"/>
    <x v="1"/>
    <x v="1"/>
    <x v="0"/>
    <x v="1"/>
    <x v="3"/>
    <x v="112"/>
    <x v="1"/>
    <x v="1"/>
    <x v="1"/>
  </r>
  <r>
    <x v="525"/>
    <x v="2"/>
    <x v="20"/>
    <x v="0"/>
    <x v="11"/>
    <x v="2"/>
    <x v="18"/>
    <x v="15"/>
    <x v="0"/>
    <x v="0"/>
  </r>
  <r>
    <x v="525"/>
    <x v="3"/>
    <x v="12"/>
    <x v="0"/>
    <x v="10"/>
    <x v="1"/>
    <x v="15"/>
    <x v="11"/>
    <x v="0"/>
    <x v="0"/>
  </r>
  <r>
    <x v="526"/>
    <x v="0"/>
    <x v="9"/>
    <x v="1"/>
    <x v="7"/>
    <x v="1"/>
    <x v="53"/>
    <x v="8"/>
    <x v="0"/>
    <x v="0"/>
  </r>
  <r>
    <x v="526"/>
    <x v="1"/>
    <x v="4"/>
    <x v="0"/>
    <x v="3"/>
    <x v="0"/>
    <x v="4"/>
    <x v="4"/>
    <x v="1"/>
    <x v="1"/>
  </r>
  <r>
    <x v="526"/>
    <x v="2"/>
    <x v="23"/>
    <x v="0"/>
    <x v="7"/>
    <x v="3"/>
    <x v="65"/>
    <x v="20"/>
    <x v="0"/>
    <x v="0"/>
  </r>
  <r>
    <x v="526"/>
    <x v="3"/>
    <x v="11"/>
    <x v="1"/>
    <x v="9"/>
    <x v="0"/>
    <x v="44"/>
    <x v="10"/>
    <x v="3"/>
    <x v="3"/>
  </r>
  <r>
    <x v="527"/>
    <x v="0"/>
    <x v="20"/>
    <x v="1"/>
    <x v="11"/>
    <x v="2"/>
    <x v="64"/>
    <x v="15"/>
    <x v="0"/>
    <x v="0"/>
  </r>
  <r>
    <x v="528"/>
    <x v="0"/>
    <x v="10"/>
    <x v="1"/>
    <x v="8"/>
    <x v="1"/>
    <x v="30"/>
    <x v="9"/>
    <x v="0"/>
    <x v="0"/>
  </r>
  <r>
    <x v="529"/>
    <x v="0"/>
    <x v="6"/>
    <x v="1"/>
    <x v="5"/>
    <x v="2"/>
    <x v="125"/>
    <x v="6"/>
    <x v="1"/>
    <x v="1"/>
  </r>
  <r>
    <x v="529"/>
    <x v="1"/>
    <x v="4"/>
    <x v="0"/>
    <x v="3"/>
    <x v="1"/>
    <x v="123"/>
    <x v="4"/>
    <x v="1"/>
    <x v="1"/>
  </r>
  <r>
    <x v="529"/>
    <x v="2"/>
    <x v="18"/>
    <x v="1"/>
    <x v="14"/>
    <x v="0"/>
    <x v="117"/>
    <x v="16"/>
    <x v="1"/>
    <x v="1"/>
  </r>
  <r>
    <x v="530"/>
    <x v="0"/>
    <x v="18"/>
    <x v="0"/>
    <x v="14"/>
    <x v="0"/>
    <x v="63"/>
    <x v="16"/>
    <x v="1"/>
    <x v="1"/>
  </r>
  <r>
    <x v="530"/>
    <x v="1"/>
    <x v="10"/>
    <x v="1"/>
    <x v="8"/>
    <x v="0"/>
    <x v="118"/>
    <x v="9"/>
    <x v="0"/>
    <x v="0"/>
  </r>
  <r>
    <x v="530"/>
    <x v="2"/>
    <x v="22"/>
    <x v="0"/>
    <x v="17"/>
    <x v="1"/>
    <x v="88"/>
    <x v="19"/>
    <x v="5"/>
    <x v="5"/>
  </r>
  <r>
    <x v="531"/>
    <x v="0"/>
    <x v="7"/>
    <x v="1"/>
    <x v="6"/>
    <x v="1"/>
    <x v="100"/>
    <x v="7"/>
    <x v="0"/>
    <x v="0"/>
  </r>
  <r>
    <x v="531"/>
    <x v="1"/>
    <x v="3"/>
    <x v="1"/>
    <x v="0"/>
    <x v="0"/>
    <x v="24"/>
    <x v="3"/>
    <x v="0"/>
    <x v="0"/>
  </r>
  <r>
    <x v="531"/>
    <x v="2"/>
    <x v="10"/>
    <x v="0"/>
    <x v="8"/>
    <x v="3"/>
    <x v="98"/>
    <x v="9"/>
    <x v="0"/>
    <x v="0"/>
  </r>
  <r>
    <x v="532"/>
    <x v="0"/>
    <x v="4"/>
    <x v="0"/>
    <x v="3"/>
    <x v="0"/>
    <x v="4"/>
    <x v="4"/>
    <x v="1"/>
    <x v="1"/>
  </r>
  <r>
    <x v="532"/>
    <x v="1"/>
    <x v="10"/>
    <x v="1"/>
    <x v="8"/>
    <x v="3"/>
    <x v="97"/>
    <x v="9"/>
    <x v="0"/>
    <x v="0"/>
  </r>
  <r>
    <x v="532"/>
    <x v="2"/>
    <x v="2"/>
    <x v="0"/>
    <x v="2"/>
    <x v="0"/>
    <x v="135"/>
    <x v="2"/>
    <x v="2"/>
    <x v="2"/>
  </r>
  <r>
    <x v="532"/>
    <x v="3"/>
    <x v="22"/>
    <x v="0"/>
    <x v="17"/>
    <x v="2"/>
    <x v="111"/>
    <x v="19"/>
    <x v="5"/>
    <x v="5"/>
  </r>
  <r>
    <x v="533"/>
    <x v="0"/>
    <x v="20"/>
    <x v="1"/>
    <x v="11"/>
    <x v="2"/>
    <x v="64"/>
    <x v="15"/>
    <x v="0"/>
    <x v="0"/>
  </r>
  <r>
    <x v="533"/>
    <x v="1"/>
    <x v="11"/>
    <x v="1"/>
    <x v="9"/>
    <x v="2"/>
    <x v="126"/>
    <x v="10"/>
    <x v="3"/>
    <x v="3"/>
  </r>
  <r>
    <x v="533"/>
    <x v="2"/>
    <x v="6"/>
    <x v="0"/>
    <x v="5"/>
    <x v="1"/>
    <x v="116"/>
    <x v="6"/>
    <x v="1"/>
    <x v="1"/>
  </r>
  <r>
    <x v="533"/>
    <x v="3"/>
    <x v="24"/>
    <x v="1"/>
    <x v="8"/>
    <x v="3"/>
    <x v="97"/>
    <x v="9"/>
    <x v="0"/>
    <x v="0"/>
  </r>
  <r>
    <x v="534"/>
    <x v="0"/>
    <x v="24"/>
    <x v="0"/>
    <x v="8"/>
    <x v="2"/>
    <x v="101"/>
    <x v="9"/>
    <x v="0"/>
    <x v="0"/>
  </r>
  <r>
    <x v="534"/>
    <x v="1"/>
    <x v="12"/>
    <x v="0"/>
    <x v="10"/>
    <x v="3"/>
    <x v="80"/>
    <x v="11"/>
    <x v="0"/>
    <x v="0"/>
  </r>
  <r>
    <x v="534"/>
    <x v="2"/>
    <x v="13"/>
    <x v="1"/>
    <x v="11"/>
    <x v="3"/>
    <x v="23"/>
    <x v="12"/>
    <x v="0"/>
    <x v="0"/>
  </r>
  <r>
    <x v="535"/>
    <x v="0"/>
    <x v="13"/>
    <x v="0"/>
    <x v="11"/>
    <x v="3"/>
    <x v="21"/>
    <x v="12"/>
    <x v="0"/>
    <x v="0"/>
  </r>
  <r>
    <x v="535"/>
    <x v="1"/>
    <x v="6"/>
    <x v="0"/>
    <x v="5"/>
    <x v="3"/>
    <x v="92"/>
    <x v="6"/>
    <x v="1"/>
    <x v="1"/>
  </r>
  <r>
    <x v="535"/>
    <x v="2"/>
    <x v="10"/>
    <x v="1"/>
    <x v="8"/>
    <x v="2"/>
    <x v="11"/>
    <x v="9"/>
    <x v="0"/>
    <x v="0"/>
  </r>
  <r>
    <x v="535"/>
    <x v="3"/>
    <x v="15"/>
    <x v="0"/>
    <x v="11"/>
    <x v="1"/>
    <x v="36"/>
    <x v="12"/>
    <x v="0"/>
    <x v="0"/>
  </r>
  <r>
    <x v="536"/>
    <x v="0"/>
    <x v="2"/>
    <x v="0"/>
    <x v="2"/>
    <x v="2"/>
    <x v="99"/>
    <x v="2"/>
    <x v="2"/>
    <x v="2"/>
  </r>
  <r>
    <x v="536"/>
    <x v="1"/>
    <x v="8"/>
    <x v="0"/>
    <x v="0"/>
    <x v="2"/>
    <x v="7"/>
    <x v="3"/>
    <x v="0"/>
    <x v="0"/>
  </r>
  <r>
    <x v="536"/>
    <x v="2"/>
    <x v="7"/>
    <x v="1"/>
    <x v="6"/>
    <x v="3"/>
    <x v="17"/>
    <x v="7"/>
    <x v="0"/>
    <x v="0"/>
  </r>
  <r>
    <x v="536"/>
    <x v="3"/>
    <x v="22"/>
    <x v="1"/>
    <x v="17"/>
    <x v="0"/>
    <x v="91"/>
    <x v="19"/>
    <x v="5"/>
    <x v="5"/>
  </r>
  <r>
    <x v="537"/>
    <x v="0"/>
    <x v="6"/>
    <x v="1"/>
    <x v="5"/>
    <x v="0"/>
    <x v="39"/>
    <x v="6"/>
    <x v="1"/>
    <x v="1"/>
  </r>
  <r>
    <x v="538"/>
    <x v="0"/>
    <x v="11"/>
    <x v="1"/>
    <x v="9"/>
    <x v="3"/>
    <x v="42"/>
    <x v="10"/>
    <x v="3"/>
    <x v="3"/>
  </r>
  <r>
    <x v="538"/>
    <x v="1"/>
    <x v="19"/>
    <x v="0"/>
    <x v="15"/>
    <x v="2"/>
    <x v="115"/>
    <x v="17"/>
    <x v="4"/>
    <x v="4"/>
  </r>
  <r>
    <x v="538"/>
    <x v="2"/>
    <x v="20"/>
    <x v="1"/>
    <x v="11"/>
    <x v="1"/>
    <x v="35"/>
    <x v="15"/>
    <x v="0"/>
    <x v="0"/>
  </r>
  <r>
    <x v="539"/>
    <x v="0"/>
    <x v="23"/>
    <x v="0"/>
    <x v="7"/>
    <x v="3"/>
    <x v="65"/>
    <x v="20"/>
    <x v="0"/>
    <x v="0"/>
  </r>
  <r>
    <x v="539"/>
    <x v="1"/>
    <x v="8"/>
    <x v="1"/>
    <x v="0"/>
    <x v="3"/>
    <x v="28"/>
    <x v="3"/>
    <x v="0"/>
    <x v="0"/>
  </r>
  <r>
    <x v="539"/>
    <x v="2"/>
    <x v="19"/>
    <x v="1"/>
    <x v="15"/>
    <x v="1"/>
    <x v="69"/>
    <x v="17"/>
    <x v="4"/>
    <x v="4"/>
  </r>
  <r>
    <x v="540"/>
    <x v="0"/>
    <x v="13"/>
    <x v="1"/>
    <x v="11"/>
    <x v="2"/>
    <x v="64"/>
    <x v="12"/>
    <x v="0"/>
    <x v="0"/>
  </r>
  <r>
    <x v="541"/>
    <x v="0"/>
    <x v="3"/>
    <x v="1"/>
    <x v="0"/>
    <x v="0"/>
    <x v="24"/>
    <x v="3"/>
    <x v="0"/>
    <x v="0"/>
  </r>
  <r>
    <x v="541"/>
    <x v="1"/>
    <x v="11"/>
    <x v="0"/>
    <x v="9"/>
    <x v="3"/>
    <x v="128"/>
    <x v="10"/>
    <x v="3"/>
    <x v="3"/>
  </r>
  <r>
    <x v="541"/>
    <x v="2"/>
    <x v="0"/>
    <x v="0"/>
    <x v="0"/>
    <x v="3"/>
    <x v="12"/>
    <x v="0"/>
    <x v="0"/>
    <x v="0"/>
  </r>
  <r>
    <x v="541"/>
    <x v="3"/>
    <x v="23"/>
    <x v="1"/>
    <x v="7"/>
    <x v="0"/>
    <x v="83"/>
    <x v="20"/>
    <x v="0"/>
    <x v="0"/>
  </r>
  <r>
    <x v="542"/>
    <x v="0"/>
    <x v="22"/>
    <x v="0"/>
    <x v="17"/>
    <x v="0"/>
    <x v="76"/>
    <x v="19"/>
    <x v="5"/>
    <x v="5"/>
  </r>
  <r>
    <x v="542"/>
    <x v="1"/>
    <x v="9"/>
    <x v="0"/>
    <x v="7"/>
    <x v="0"/>
    <x v="59"/>
    <x v="8"/>
    <x v="0"/>
    <x v="0"/>
  </r>
  <r>
    <x v="542"/>
    <x v="2"/>
    <x v="8"/>
    <x v="1"/>
    <x v="0"/>
    <x v="2"/>
    <x v="3"/>
    <x v="3"/>
    <x v="0"/>
    <x v="0"/>
  </r>
  <r>
    <x v="543"/>
    <x v="0"/>
    <x v="10"/>
    <x v="0"/>
    <x v="8"/>
    <x v="2"/>
    <x v="101"/>
    <x v="9"/>
    <x v="0"/>
    <x v="0"/>
  </r>
  <r>
    <x v="543"/>
    <x v="1"/>
    <x v="7"/>
    <x v="0"/>
    <x v="6"/>
    <x v="3"/>
    <x v="47"/>
    <x v="7"/>
    <x v="0"/>
    <x v="0"/>
  </r>
  <r>
    <x v="543"/>
    <x v="2"/>
    <x v="20"/>
    <x v="0"/>
    <x v="11"/>
    <x v="2"/>
    <x v="18"/>
    <x v="15"/>
    <x v="0"/>
    <x v="0"/>
  </r>
  <r>
    <x v="544"/>
    <x v="0"/>
    <x v="22"/>
    <x v="1"/>
    <x v="17"/>
    <x v="0"/>
    <x v="91"/>
    <x v="19"/>
    <x v="5"/>
    <x v="5"/>
  </r>
  <r>
    <x v="544"/>
    <x v="1"/>
    <x v="18"/>
    <x v="0"/>
    <x v="14"/>
    <x v="1"/>
    <x v="29"/>
    <x v="16"/>
    <x v="1"/>
    <x v="1"/>
  </r>
  <r>
    <x v="544"/>
    <x v="2"/>
    <x v="24"/>
    <x v="0"/>
    <x v="8"/>
    <x v="0"/>
    <x v="57"/>
    <x v="9"/>
    <x v="0"/>
    <x v="0"/>
  </r>
  <r>
    <x v="544"/>
    <x v="3"/>
    <x v="0"/>
    <x v="1"/>
    <x v="0"/>
    <x v="1"/>
    <x v="19"/>
    <x v="0"/>
    <x v="0"/>
    <x v="0"/>
  </r>
  <r>
    <x v="545"/>
    <x v="0"/>
    <x v="7"/>
    <x v="1"/>
    <x v="6"/>
    <x v="2"/>
    <x v="27"/>
    <x v="7"/>
    <x v="0"/>
    <x v="0"/>
  </r>
  <r>
    <x v="545"/>
    <x v="1"/>
    <x v="1"/>
    <x v="0"/>
    <x v="1"/>
    <x v="3"/>
    <x v="112"/>
    <x v="1"/>
    <x v="1"/>
    <x v="1"/>
  </r>
  <r>
    <x v="545"/>
    <x v="2"/>
    <x v="9"/>
    <x v="1"/>
    <x v="7"/>
    <x v="1"/>
    <x v="53"/>
    <x v="8"/>
    <x v="0"/>
    <x v="0"/>
  </r>
  <r>
    <x v="546"/>
    <x v="0"/>
    <x v="16"/>
    <x v="1"/>
    <x v="13"/>
    <x v="2"/>
    <x v="67"/>
    <x v="14"/>
    <x v="2"/>
    <x v="2"/>
  </r>
  <r>
    <x v="546"/>
    <x v="1"/>
    <x v="11"/>
    <x v="0"/>
    <x v="9"/>
    <x v="0"/>
    <x v="141"/>
    <x v="10"/>
    <x v="3"/>
    <x v="3"/>
  </r>
  <r>
    <x v="546"/>
    <x v="2"/>
    <x v="21"/>
    <x v="0"/>
    <x v="16"/>
    <x v="3"/>
    <x v="38"/>
    <x v="18"/>
    <x v="1"/>
    <x v="1"/>
  </r>
  <r>
    <x v="547"/>
    <x v="0"/>
    <x v="1"/>
    <x v="0"/>
    <x v="1"/>
    <x v="3"/>
    <x v="112"/>
    <x v="1"/>
    <x v="1"/>
    <x v="1"/>
  </r>
  <r>
    <x v="547"/>
    <x v="1"/>
    <x v="16"/>
    <x v="1"/>
    <x v="13"/>
    <x v="1"/>
    <x v="136"/>
    <x v="14"/>
    <x v="2"/>
    <x v="2"/>
  </r>
  <r>
    <x v="548"/>
    <x v="0"/>
    <x v="12"/>
    <x v="0"/>
    <x v="10"/>
    <x v="1"/>
    <x v="15"/>
    <x v="11"/>
    <x v="0"/>
    <x v="0"/>
  </r>
  <r>
    <x v="548"/>
    <x v="1"/>
    <x v="3"/>
    <x v="0"/>
    <x v="0"/>
    <x v="2"/>
    <x v="7"/>
    <x v="3"/>
    <x v="0"/>
    <x v="0"/>
  </r>
  <r>
    <x v="548"/>
    <x v="2"/>
    <x v="5"/>
    <x v="0"/>
    <x v="4"/>
    <x v="1"/>
    <x v="133"/>
    <x v="5"/>
    <x v="1"/>
    <x v="1"/>
  </r>
  <r>
    <x v="548"/>
    <x v="3"/>
    <x v="14"/>
    <x v="0"/>
    <x v="12"/>
    <x v="2"/>
    <x v="55"/>
    <x v="13"/>
    <x v="1"/>
    <x v="1"/>
  </r>
  <r>
    <x v="548"/>
    <x v="4"/>
    <x v="17"/>
    <x v="1"/>
    <x v="11"/>
    <x v="3"/>
    <x v="23"/>
    <x v="15"/>
    <x v="0"/>
    <x v="0"/>
  </r>
  <r>
    <x v="549"/>
    <x v="0"/>
    <x v="4"/>
    <x v="0"/>
    <x v="3"/>
    <x v="2"/>
    <x v="143"/>
    <x v="4"/>
    <x v="1"/>
    <x v="1"/>
  </r>
  <r>
    <x v="550"/>
    <x v="0"/>
    <x v="3"/>
    <x v="0"/>
    <x v="0"/>
    <x v="2"/>
    <x v="7"/>
    <x v="3"/>
    <x v="0"/>
    <x v="0"/>
  </r>
  <r>
    <x v="550"/>
    <x v="1"/>
    <x v="8"/>
    <x v="0"/>
    <x v="0"/>
    <x v="1"/>
    <x v="5"/>
    <x v="3"/>
    <x v="0"/>
    <x v="0"/>
  </r>
  <r>
    <x v="550"/>
    <x v="2"/>
    <x v="16"/>
    <x v="1"/>
    <x v="13"/>
    <x v="0"/>
    <x v="108"/>
    <x v="14"/>
    <x v="2"/>
    <x v="2"/>
  </r>
  <r>
    <x v="550"/>
    <x v="3"/>
    <x v="12"/>
    <x v="1"/>
    <x v="10"/>
    <x v="0"/>
    <x v="48"/>
    <x v="11"/>
    <x v="0"/>
    <x v="0"/>
  </r>
  <r>
    <x v="551"/>
    <x v="0"/>
    <x v="19"/>
    <x v="0"/>
    <x v="15"/>
    <x v="0"/>
    <x v="122"/>
    <x v="17"/>
    <x v="4"/>
    <x v="4"/>
  </r>
  <r>
    <x v="551"/>
    <x v="1"/>
    <x v="6"/>
    <x v="0"/>
    <x v="5"/>
    <x v="0"/>
    <x v="56"/>
    <x v="6"/>
    <x v="1"/>
    <x v="1"/>
  </r>
  <r>
    <x v="551"/>
    <x v="2"/>
    <x v="24"/>
    <x v="0"/>
    <x v="8"/>
    <x v="0"/>
    <x v="57"/>
    <x v="9"/>
    <x v="0"/>
    <x v="0"/>
  </r>
  <r>
    <x v="551"/>
    <x v="3"/>
    <x v="9"/>
    <x v="0"/>
    <x v="7"/>
    <x v="3"/>
    <x v="65"/>
    <x v="8"/>
    <x v="0"/>
    <x v="0"/>
  </r>
  <r>
    <x v="551"/>
    <x v="4"/>
    <x v="23"/>
    <x v="1"/>
    <x v="7"/>
    <x v="0"/>
    <x v="83"/>
    <x v="20"/>
    <x v="0"/>
    <x v="0"/>
  </r>
  <r>
    <x v="552"/>
    <x v="0"/>
    <x v="24"/>
    <x v="0"/>
    <x v="8"/>
    <x v="3"/>
    <x v="98"/>
    <x v="9"/>
    <x v="0"/>
    <x v="0"/>
  </r>
  <r>
    <x v="552"/>
    <x v="1"/>
    <x v="9"/>
    <x v="1"/>
    <x v="7"/>
    <x v="1"/>
    <x v="53"/>
    <x v="8"/>
    <x v="0"/>
    <x v="0"/>
  </r>
  <r>
    <x v="552"/>
    <x v="2"/>
    <x v="10"/>
    <x v="0"/>
    <x v="8"/>
    <x v="1"/>
    <x v="77"/>
    <x v="9"/>
    <x v="0"/>
    <x v="0"/>
  </r>
  <r>
    <x v="553"/>
    <x v="0"/>
    <x v="5"/>
    <x v="1"/>
    <x v="4"/>
    <x v="1"/>
    <x v="13"/>
    <x v="5"/>
    <x v="1"/>
    <x v="1"/>
  </r>
  <r>
    <x v="553"/>
    <x v="1"/>
    <x v="13"/>
    <x v="0"/>
    <x v="11"/>
    <x v="2"/>
    <x v="18"/>
    <x v="12"/>
    <x v="0"/>
    <x v="0"/>
  </r>
  <r>
    <x v="553"/>
    <x v="2"/>
    <x v="4"/>
    <x v="1"/>
    <x v="3"/>
    <x v="0"/>
    <x v="84"/>
    <x v="4"/>
    <x v="1"/>
    <x v="1"/>
  </r>
  <r>
    <x v="554"/>
    <x v="0"/>
    <x v="1"/>
    <x v="0"/>
    <x v="1"/>
    <x v="0"/>
    <x v="34"/>
    <x v="1"/>
    <x v="1"/>
    <x v="1"/>
  </r>
  <r>
    <x v="554"/>
    <x v="1"/>
    <x v="14"/>
    <x v="0"/>
    <x v="12"/>
    <x v="3"/>
    <x v="40"/>
    <x v="13"/>
    <x v="1"/>
    <x v="1"/>
  </r>
  <r>
    <x v="554"/>
    <x v="2"/>
    <x v="0"/>
    <x v="1"/>
    <x v="0"/>
    <x v="1"/>
    <x v="19"/>
    <x v="0"/>
    <x v="0"/>
    <x v="0"/>
  </r>
  <r>
    <x v="555"/>
    <x v="0"/>
    <x v="3"/>
    <x v="0"/>
    <x v="0"/>
    <x v="3"/>
    <x v="12"/>
    <x v="3"/>
    <x v="0"/>
    <x v="0"/>
  </r>
  <r>
    <x v="555"/>
    <x v="1"/>
    <x v="4"/>
    <x v="1"/>
    <x v="3"/>
    <x v="0"/>
    <x v="84"/>
    <x v="4"/>
    <x v="1"/>
    <x v="1"/>
  </r>
  <r>
    <x v="556"/>
    <x v="0"/>
    <x v="11"/>
    <x v="1"/>
    <x v="9"/>
    <x v="3"/>
    <x v="42"/>
    <x v="10"/>
    <x v="3"/>
    <x v="3"/>
  </r>
  <r>
    <x v="556"/>
    <x v="1"/>
    <x v="2"/>
    <x v="0"/>
    <x v="2"/>
    <x v="3"/>
    <x v="139"/>
    <x v="2"/>
    <x v="2"/>
    <x v="2"/>
  </r>
  <r>
    <x v="557"/>
    <x v="0"/>
    <x v="14"/>
    <x v="0"/>
    <x v="12"/>
    <x v="1"/>
    <x v="140"/>
    <x v="13"/>
    <x v="1"/>
    <x v="1"/>
  </r>
  <r>
    <x v="557"/>
    <x v="1"/>
    <x v="3"/>
    <x v="0"/>
    <x v="0"/>
    <x v="1"/>
    <x v="5"/>
    <x v="3"/>
    <x v="0"/>
    <x v="0"/>
  </r>
  <r>
    <x v="557"/>
    <x v="2"/>
    <x v="11"/>
    <x v="0"/>
    <x v="9"/>
    <x v="3"/>
    <x v="128"/>
    <x v="10"/>
    <x v="3"/>
    <x v="3"/>
  </r>
  <r>
    <x v="557"/>
    <x v="3"/>
    <x v="20"/>
    <x v="1"/>
    <x v="11"/>
    <x v="2"/>
    <x v="64"/>
    <x v="15"/>
    <x v="0"/>
    <x v="0"/>
  </r>
  <r>
    <x v="557"/>
    <x v="4"/>
    <x v="2"/>
    <x v="1"/>
    <x v="2"/>
    <x v="1"/>
    <x v="46"/>
    <x v="2"/>
    <x v="2"/>
    <x v="2"/>
  </r>
  <r>
    <x v="558"/>
    <x v="0"/>
    <x v="12"/>
    <x v="1"/>
    <x v="10"/>
    <x v="3"/>
    <x v="120"/>
    <x v="11"/>
    <x v="0"/>
    <x v="0"/>
  </r>
  <r>
    <x v="558"/>
    <x v="1"/>
    <x v="18"/>
    <x v="0"/>
    <x v="14"/>
    <x v="3"/>
    <x v="107"/>
    <x v="16"/>
    <x v="1"/>
    <x v="1"/>
  </r>
  <r>
    <x v="558"/>
    <x v="2"/>
    <x v="14"/>
    <x v="1"/>
    <x v="12"/>
    <x v="1"/>
    <x v="102"/>
    <x v="13"/>
    <x v="1"/>
    <x v="1"/>
  </r>
  <r>
    <x v="559"/>
    <x v="0"/>
    <x v="3"/>
    <x v="0"/>
    <x v="0"/>
    <x v="2"/>
    <x v="7"/>
    <x v="3"/>
    <x v="0"/>
    <x v="0"/>
  </r>
  <r>
    <x v="559"/>
    <x v="1"/>
    <x v="8"/>
    <x v="1"/>
    <x v="0"/>
    <x v="3"/>
    <x v="28"/>
    <x v="3"/>
    <x v="0"/>
    <x v="0"/>
  </r>
  <r>
    <x v="560"/>
    <x v="0"/>
    <x v="12"/>
    <x v="1"/>
    <x v="10"/>
    <x v="2"/>
    <x v="94"/>
    <x v="11"/>
    <x v="0"/>
    <x v="0"/>
  </r>
  <r>
    <x v="560"/>
    <x v="1"/>
    <x v="9"/>
    <x v="0"/>
    <x v="7"/>
    <x v="2"/>
    <x v="72"/>
    <x v="8"/>
    <x v="0"/>
    <x v="0"/>
  </r>
  <r>
    <x v="560"/>
    <x v="2"/>
    <x v="21"/>
    <x v="0"/>
    <x v="16"/>
    <x v="2"/>
    <x v="60"/>
    <x v="18"/>
    <x v="1"/>
    <x v="1"/>
  </r>
  <r>
    <x v="560"/>
    <x v="3"/>
    <x v="7"/>
    <x v="1"/>
    <x v="6"/>
    <x v="1"/>
    <x v="100"/>
    <x v="7"/>
    <x v="0"/>
    <x v="0"/>
  </r>
  <r>
    <x v="561"/>
    <x v="0"/>
    <x v="22"/>
    <x v="1"/>
    <x v="17"/>
    <x v="1"/>
    <x v="85"/>
    <x v="19"/>
    <x v="5"/>
    <x v="5"/>
  </r>
  <r>
    <x v="561"/>
    <x v="1"/>
    <x v="8"/>
    <x v="0"/>
    <x v="0"/>
    <x v="2"/>
    <x v="7"/>
    <x v="3"/>
    <x v="0"/>
    <x v="0"/>
  </r>
  <r>
    <x v="562"/>
    <x v="0"/>
    <x v="18"/>
    <x v="1"/>
    <x v="14"/>
    <x v="3"/>
    <x v="110"/>
    <x v="16"/>
    <x v="1"/>
    <x v="1"/>
  </r>
  <r>
    <x v="562"/>
    <x v="1"/>
    <x v="23"/>
    <x v="0"/>
    <x v="7"/>
    <x v="2"/>
    <x v="72"/>
    <x v="20"/>
    <x v="0"/>
    <x v="0"/>
  </r>
  <r>
    <x v="562"/>
    <x v="2"/>
    <x v="17"/>
    <x v="1"/>
    <x v="11"/>
    <x v="3"/>
    <x v="23"/>
    <x v="15"/>
    <x v="0"/>
    <x v="0"/>
  </r>
  <r>
    <x v="563"/>
    <x v="0"/>
    <x v="4"/>
    <x v="0"/>
    <x v="3"/>
    <x v="0"/>
    <x v="4"/>
    <x v="4"/>
    <x v="1"/>
    <x v="1"/>
  </r>
  <r>
    <x v="563"/>
    <x v="1"/>
    <x v="12"/>
    <x v="0"/>
    <x v="10"/>
    <x v="0"/>
    <x v="103"/>
    <x v="11"/>
    <x v="0"/>
    <x v="0"/>
  </r>
  <r>
    <x v="564"/>
    <x v="0"/>
    <x v="9"/>
    <x v="0"/>
    <x v="7"/>
    <x v="0"/>
    <x v="59"/>
    <x v="8"/>
    <x v="0"/>
    <x v="0"/>
  </r>
  <r>
    <x v="564"/>
    <x v="1"/>
    <x v="22"/>
    <x v="1"/>
    <x v="17"/>
    <x v="3"/>
    <x v="68"/>
    <x v="19"/>
    <x v="5"/>
    <x v="5"/>
  </r>
  <r>
    <x v="564"/>
    <x v="2"/>
    <x v="11"/>
    <x v="0"/>
    <x v="9"/>
    <x v="2"/>
    <x v="121"/>
    <x v="10"/>
    <x v="3"/>
    <x v="3"/>
  </r>
  <r>
    <x v="564"/>
    <x v="3"/>
    <x v="7"/>
    <x v="0"/>
    <x v="6"/>
    <x v="3"/>
    <x v="47"/>
    <x v="7"/>
    <x v="0"/>
    <x v="0"/>
  </r>
  <r>
    <x v="565"/>
    <x v="0"/>
    <x v="24"/>
    <x v="1"/>
    <x v="8"/>
    <x v="1"/>
    <x v="30"/>
    <x v="9"/>
    <x v="0"/>
    <x v="0"/>
  </r>
  <r>
    <x v="565"/>
    <x v="1"/>
    <x v="14"/>
    <x v="1"/>
    <x v="12"/>
    <x v="0"/>
    <x v="61"/>
    <x v="13"/>
    <x v="1"/>
    <x v="1"/>
  </r>
  <r>
    <x v="565"/>
    <x v="2"/>
    <x v="1"/>
    <x v="0"/>
    <x v="1"/>
    <x v="3"/>
    <x v="112"/>
    <x v="1"/>
    <x v="1"/>
    <x v="1"/>
  </r>
  <r>
    <x v="565"/>
    <x v="3"/>
    <x v="20"/>
    <x v="1"/>
    <x v="11"/>
    <x v="0"/>
    <x v="78"/>
    <x v="15"/>
    <x v="0"/>
    <x v="0"/>
  </r>
  <r>
    <x v="566"/>
    <x v="0"/>
    <x v="11"/>
    <x v="0"/>
    <x v="9"/>
    <x v="0"/>
    <x v="141"/>
    <x v="10"/>
    <x v="3"/>
    <x v="3"/>
  </r>
  <r>
    <x v="566"/>
    <x v="1"/>
    <x v="21"/>
    <x v="0"/>
    <x v="16"/>
    <x v="1"/>
    <x v="105"/>
    <x v="18"/>
    <x v="1"/>
    <x v="1"/>
  </r>
  <r>
    <x v="567"/>
    <x v="0"/>
    <x v="21"/>
    <x v="0"/>
    <x v="16"/>
    <x v="2"/>
    <x v="60"/>
    <x v="18"/>
    <x v="1"/>
    <x v="1"/>
  </r>
  <r>
    <x v="567"/>
    <x v="1"/>
    <x v="2"/>
    <x v="0"/>
    <x v="2"/>
    <x v="2"/>
    <x v="99"/>
    <x v="2"/>
    <x v="2"/>
    <x v="2"/>
  </r>
  <r>
    <x v="568"/>
    <x v="0"/>
    <x v="3"/>
    <x v="0"/>
    <x v="0"/>
    <x v="2"/>
    <x v="7"/>
    <x v="3"/>
    <x v="0"/>
    <x v="0"/>
  </r>
  <r>
    <x v="568"/>
    <x v="1"/>
    <x v="24"/>
    <x v="1"/>
    <x v="8"/>
    <x v="3"/>
    <x v="97"/>
    <x v="9"/>
    <x v="0"/>
    <x v="0"/>
  </r>
  <r>
    <x v="569"/>
    <x v="0"/>
    <x v="9"/>
    <x v="0"/>
    <x v="7"/>
    <x v="1"/>
    <x v="10"/>
    <x v="8"/>
    <x v="0"/>
    <x v="0"/>
  </r>
  <r>
    <x v="569"/>
    <x v="1"/>
    <x v="24"/>
    <x v="1"/>
    <x v="8"/>
    <x v="3"/>
    <x v="97"/>
    <x v="9"/>
    <x v="0"/>
    <x v="0"/>
  </r>
  <r>
    <x v="569"/>
    <x v="2"/>
    <x v="5"/>
    <x v="1"/>
    <x v="4"/>
    <x v="0"/>
    <x v="73"/>
    <x v="5"/>
    <x v="1"/>
    <x v="1"/>
  </r>
  <r>
    <x v="569"/>
    <x v="3"/>
    <x v="16"/>
    <x v="0"/>
    <x v="13"/>
    <x v="3"/>
    <x v="86"/>
    <x v="14"/>
    <x v="2"/>
    <x v="2"/>
  </r>
  <r>
    <x v="569"/>
    <x v="4"/>
    <x v="3"/>
    <x v="0"/>
    <x v="0"/>
    <x v="2"/>
    <x v="7"/>
    <x v="3"/>
    <x v="0"/>
    <x v="0"/>
  </r>
  <r>
    <x v="570"/>
    <x v="0"/>
    <x v="4"/>
    <x v="0"/>
    <x v="3"/>
    <x v="2"/>
    <x v="143"/>
    <x v="4"/>
    <x v="1"/>
    <x v="1"/>
  </r>
  <r>
    <x v="570"/>
    <x v="1"/>
    <x v="11"/>
    <x v="0"/>
    <x v="9"/>
    <x v="3"/>
    <x v="128"/>
    <x v="10"/>
    <x v="3"/>
    <x v="3"/>
  </r>
  <r>
    <x v="571"/>
    <x v="0"/>
    <x v="5"/>
    <x v="0"/>
    <x v="4"/>
    <x v="2"/>
    <x v="6"/>
    <x v="5"/>
    <x v="1"/>
    <x v="1"/>
  </r>
  <r>
    <x v="571"/>
    <x v="1"/>
    <x v="17"/>
    <x v="1"/>
    <x v="11"/>
    <x v="3"/>
    <x v="23"/>
    <x v="15"/>
    <x v="0"/>
    <x v="0"/>
  </r>
  <r>
    <x v="571"/>
    <x v="2"/>
    <x v="16"/>
    <x v="1"/>
    <x v="13"/>
    <x v="0"/>
    <x v="108"/>
    <x v="14"/>
    <x v="2"/>
    <x v="2"/>
  </r>
  <r>
    <x v="572"/>
    <x v="0"/>
    <x v="6"/>
    <x v="0"/>
    <x v="5"/>
    <x v="0"/>
    <x v="56"/>
    <x v="6"/>
    <x v="1"/>
    <x v="1"/>
  </r>
  <r>
    <x v="573"/>
    <x v="0"/>
    <x v="8"/>
    <x v="0"/>
    <x v="0"/>
    <x v="2"/>
    <x v="7"/>
    <x v="3"/>
    <x v="0"/>
    <x v="0"/>
  </r>
  <r>
    <x v="573"/>
    <x v="1"/>
    <x v="17"/>
    <x v="1"/>
    <x v="11"/>
    <x v="3"/>
    <x v="23"/>
    <x v="15"/>
    <x v="0"/>
    <x v="0"/>
  </r>
  <r>
    <x v="573"/>
    <x v="2"/>
    <x v="10"/>
    <x v="1"/>
    <x v="8"/>
    <x v="3"/>
    <x v="97"/>
    <x v="9"/>
    <x v="0"/>
    <x v="0"/>
  </r>
  <r>
    <x v="573"/>
    <x v="3"/>
    <x v="19"/>
    <x v="1"/>
    <x v="15"/>
    <x v="3"/>
    <x v="50"/>
    <x v="17"/>
    <x v="4"/>
    <x v="4"/>
  </r>
  <r>
    <x v="573"/>
    <x v="4"/>
    <x v="16"/>
    <x v="1"/>
    <x v="13"/>
    <x v="2"/>
    <x v="67"/>
    <x v="14"/>
    <x v="2"/>
    <x v="2"/>
  </r>
  <r>
    <x v="574"/>
    <x v="0"/>
    <x v="4"/>
    <x v="1"/>
    <x v="3"/>
    <x v="1"/>
    <x v="127"/>
    <x v="4"/>
    <x v="1"/>
    <x v="1"/>
  </r>
  <r>
    <x v="574"/>
    <x v="1"/>
    <x v="10"/>
    <x v="0"/>
    <x v="8"/>
    <x v="0"/>
    <x v="57"/>
    <x v="9"/>
    <x v="0"/>
    <x v="0"/>
  </r>
  <r>
    <x v="575"/>
    <x v="0"/>
    <x v="11"/>
    <x v="0"/>
    <x v="9"/>
    <x v="3"/>
    <x v="128"/>
    <x v="10"/>
    <x v="3"/>
    <x v="3"/>
  </r>
  <r>
    <x v="576"/>
    <x v="0"/>
    <x v="5"/>
    <x v="1"/>
    <x v="4"/>
    <x v="0"/>
    <x v="73"/>
    <x v="5"/>
    <x v="1"/>
    <x v="1"/>
  </r>
  <r>
    <x v="577"/>
    <x v="0"/>
    <x v="20"/>
    <x v="0"/>
    <x v="11"/>
    <x v="1"/>
    <x v="36"/>
    <x v="15"/>
    <x v="0"/>
    <x v="0"/>
  </r>
  <r>
    <x v="577"/>
    <x v="1"/>
    <x v="22"/>
    <x v="1"/>
    <x v="17"/>
    <x v="0"/>
    <x v="91"/>
    <x v="19"/>
    <x v="5"/>
    <x v="5"/>
  </r>
  <r>
    <x v="577"/>
    <x v="2"/>
    <x v="9"/>
    <x v="1"/>
    <x v="7"/>
    <x v="2"/>
    <x v="32"/>
    <x v="8"/>
    <x v="0"/>
    <x v="0"/>
  </r>
  <r>
    <x v="577"/>
    <x v="3"/>
    <x v="1"/>
    <x v="1"/>
    <x v="1"/>
    <x v="0"/>
    <x v="82"/>
    <x v="1"/>
    <x v="1"/>
    <x v="1"/>
  </r>
  <r>
    <x v="578"/>
    <x v="0"/>
    <x v="14"/>
    <x v="1"/>
    <x v="12"/>
    <x v="2"/>
    <x v="74"/>
    <x v="13"/>
    <x v="1"/>
    <x v="1"/>
  </r>
  <r>
    <x v="578"/>
    <x v="1"/>
    <x v="18"/>
    <x v="0"/>
    <x v="14"/>
    <x v="0"/>
    <x v="63"/>
    <x v="16"/>
    <x v="1"/>
    <x v="1"/>
  </r>
  <r>
    <x v="579"/>
    <x v="0"/>
    <x v="3"/>
    <x v="1"/>
    <x v="0"/>
    <x v="0"/>
    <x v="24"/>
    <x v="3"/>
    <x v="0"/>
    <x v="0"/>
  </r>
  <r>
    <x v="579"/>
    <x v="1"/>
    <x v="12"/>
    <x v="0"/>
    <x v="10"/>
    <x v="1"/>
    <x v="15"/>
    <x v="11"/>
    <x v="0"/>
    <x v="0"/>
  </r>
  <r>
    <x v="579"/>
    <x v="2"/>
    <x v="20"/>
    <x v="1"/>
    <x v="11"/>
    <x v="0"/>
    <x v="78"/>
    <x v="15"/>
    <x v="0"/>
    <x v="0"/>
  </r>
  <r>
    <x v="579"/>
    <x v="3"/>
    <x v="11"/>
    <x v="1"/>
    <x v="9"/>
    <x v="1"/>
    <x v="14"/>
    <x v="10"/>
    <x v="3"/>
    <x v="3"/>
  </r>
  <r>
    <x v="579"/>
    <x v="4"/>
    <x v="23"/>
    <x v="0"/>
    <x v="7"/>
    <x v="0"/>
    <x v="59"/>
    <x v="20"/>
    <x v="0"/>
    <x v="0"/>
  </r>
  <r>
    <x v="580"/>
    <x v="0"/>
    <x v="1"/>
    <x v="1"/>
    <x v="1"/>
    <x v="1"/>
    <x v="1"/>
    <x v="1"/>
    <x v="1"/>
    <x v="1"/>
  </r>
  <r>
    <x v="581"/>
    <x v="0"/>
    <x v="2"/>
    <x v="1"/>
    <x v="2"/>
    <x v="0"/>
    <x v="54"/>
    <x v="2"/>
    <x v="2"/>
    <x v="2"/>
  </r>
  <r>
    <x v="581"/>
    <x v="1"/>
    <x v="7"/>
    <x v="1"/>
    <x v="6"/>
    <x v="1"/>
    <x v="100"/>
    <x v="7"/>
    <x v="0"/>
    <x v="0"/>
  </r>
  <r>
    <x v="582"/>
    <x v="0"/>
    <x v="12"/>
    <x v="1"/>
    <x v="10"/>
    <x v="0"/>
    <x v="48"/>
    <x v="11"/>
    <x v="0"/>
    <x v="0"/>
  </r>
  <r>
    <x v="583"/>
    <x v="0"/>
    <x v="23"/>
    <x v="0"/>
    <x v="7"/>
    <x v="1"/>
    <x v="10"/>
    <x v="20"/>
    <x v="0"/>
    <x v="0"/>
  </r>
  <r>
    <x v="583"/>
    <x v="1"/>
    <x v="19"/>
    <x v="0"/>
    <x v="15"/>
    <x v="1"/>
    <x v="75"/>
    <x v="17"/>
    <x v="4"/>
    <x v="4"/>
  </r>
  <r>
    <x v="583"/>
    <x v="2"/>
    <x v="12"/>
    <x v="0"/>
    <x v="10"/>
    <x v="3"/>
    <x v="80"/>
    <x v="11"/>
    <x v="0"/>
    <x v="0"/>
  </r>
  <r>
    <x v="583"/>
    <x v="3"/>
    <x v="13"/>
    <x v="0"/>
    <x v="11"/>
    <x v="2"/>
    <x v="18"/>
    <x v="12"/>
    <x v="0"/>
    <x v="0"/>
  </r>
  <r>
    <x v="583"/>
    <x v="4"/>
    <x v="1"/>
    <x v="1"/>
    <x v="1"/>
    <x v="1"/>
    <x v="1"/>
    <x v="1"/>
    <x v="1"/>
    <x v="1"/>
  </r>
  <r>
    <x v="584"/>
    <x v="0"/>
    <x v="2"/>
    <x v="0"/>
    <x v="2"/>
    <x v="0"/>
    <x v="135"/>
    <x v="2"/>
    <x v="2"/>
    <x v="2"/>
  </r>
  <r>
    <x v="584"/>
    <x v="1"/>
    <x v="9"/>
    <x v="1"/>
    <x v="7"/>
    <x v="0"/>
    <x v="83"/>
    <x v="8"/>
    <x v="0"/>
    <x v="0"/>
  </r>
  <r>
    <x v="584"/>
    <x v="2"/>
    <x v="12"/>
    <x v="0"/>
    <x v="10"/>
    <x v="2"/>
    <x v="119"/>
    <x v="11"/>
    <x v="0"/>
    <x v="0"/>
  </r>
  <r>
    <x v="584"/>
    <x v="3"/>
    <x v="10"/>
    <x v="1"/>
    <x v="8"/>
    <x v="1"/>
    <x v="30"/>
    <x v="9"/>
    <x v="0"/>
    <x v="0"/>
  </r>
  <r>
    <x v="585"/>
    <x v="0"/>
    <x v="16"/>
    <x v="1"/>
    <x v="13"/>
    <x v="3"/>
    <x v="104"/>
    <x v="14"/>
    <x v="2"/>
    <x v="2"/>
  </r>
  <r>
    <x v="585"/>
    <x v="1"/>
    <x v="19"/>
    <x v="1"/>
    <x v="15"/>
    <x v="0"/>
    <x v="33"/>
    <x v="17"/>
    <x v="4"/>
    <x v="4"/>
  </r>
  <r>
    <x v="586"/>
    <x v="0"/>
    <x v="24"/>
    <x v="0"/>
    <x v="8"/>
    <x v="2"/>
    <x v="101"/>
    <x v="9"/>
    <x v="0"/>
    <x v="0"/>
  </r>
  <r>
    <x v="586"/>
    <x v="1"/>
    <x v="19"/>
    <x v="0"/>
    <x v="15"/>
    <x v="2"/>
    <x v="115"/>
    <x v="17"/>
    <x v="4"/>
    <x v="4"/>
  </r>
  <r>
    <x v="586"/>
    <x v="2"/>
    <x v="9"/>
    <x v="0"/>
    <x v="7"/>
    <x v="2"/>
    <x v="72"/>
    <x v="8"/>
    <x v="0"/>
    <x v="0"/>
  </r>
  <r>
    <x v="586"/>
    <x v="3"/>
    <x v="20"/>
    <x v="0"/>
    <x v="11"/>
    <x v="0"/>
    <x v="51"/>
    <x v="15"/>
    <x v="0"/>
    <x v="0"/>
  </r>
  <r>
    <x v="587"/>
    <x v="0"/>
    <x v="2"/>
    <x v="1"/>
    <x v="2"/>
    <x v="1"/>
    <x v="46"/>
    <x v="2"/>
    <x v="2"/>
    <x v="2"/>
  </r>
  <r>
    <x v="587"/>
    <x v="1"/>
    <x v="19"/>
    <x v="0"/>
    <x v="15"/>
    <x v="0"/>
    <x v="122"/>
    <x v="17"/>
    <x v="4"/>
    <x v="4"/>
  </r>
  <r>
    <x v="588"/>
    <x v="0"/>
    <x v="12"/>
    <x v="1"/>
    <x v="10"/>
    <x v="2"/>
    <x v="94"/>
    <x v="11"/>
    <x v="0"/>
    <x v="0"/>
  </r>
  <r>
    <x v="589"/>
    <x v="0"/>
    <x v="6"/>
    <x v="1"/>
    <x v="5"/>
    <x v="3"/>
    <x v="8"/>
    <x v="6"/>
    <x v="1"/>
    <x v="1"/>
  </r>
  <r>
    <x v="589"/>
    <x v="1"/>
    <x v="0"/>
    <x v="0"/>
    <x v="0"/>
    <x v="1"/>
    <x v="5"/>
    <x v="0"/>
    <x v="0"/>
    <x v="0"/>
  </r>
  <r>
    <x v="589"/>
    <x v="2"/>
    <x v="1"/>
    <x v="1"/>
    <x v="1"/>
    <x v="2"/>
    <x v="134"/>
    <x v="1"/>
    <x v="1"/>
    <x v="1"/>
  </r>
  <r>
    <x v="589"/>
    <x v="3"/>
    <x v="21"/>
    <x v="1"/>
    <x v="16"/>
    <x v="3"/>
    <x v="87"/>
    <x v="18"/>
    <x v="1"/>
    <x v="1"/>
  </r>
  <r>
    <x v="589"/>
    <x v="4"/>
    <x v="24"/>
    <x v="0"/>
    <x v="8"/>
    <x v="3"/>
    <x v="98"/>
    <x v="9"/>
    <x v="0"/>
    <x v="0"/>
  </r>
  <r>
    <x v="590"/>
    <x v="0"/>
    <x v="3"/>
    <x v="1"/>
    <x v="0"/>
    <x v="2"/>
    <x v="3"/>
    <x v="3"/>
    <x v="0"/>
    <x v="0"/>
  </r>
  <r>
    <x v="590"/>
    <x v="1"/>
    <x v="22"/>
    <x v="1"/>
    <x v="17"/>
    <x v="2"/>
    <x v="41"/>
    <x v="19"/>
    <x v="5"/>
    <x v="5"/>
  </r>
  <r>
    <x v="590"/>
    <x v="2"/>
    <x v="6"/>
    <x v="1"/>
    <x v="5"/>
    <x v="3"/>
    <x v="8"/>
    <x v="6"/>
    <x v="1"/>
    <x v="1"/>
  </r>
  <r>
    <x v="591"/>
    <x v="0"/>
    <x v="20"/>
    <x v="1"/>
    <x v="11"/>
    <x v="3"/>
    <x v="23"/>
    <x v="15"/>
    <x v="0"/>
    <x v="0"/>
  </r>
  <r>
    <x v="591"/>
    <x v="1"/>
    <x v="3"/>
    <x v="0"/>
    <x v="0"/>
    <x v="2"/>
    <x v="7"/>
    <x v="3"/>
    <x v="0"/>
    <x v="0"/>
  </r>
  <r>
    <x v="591"/>
    <x v="2"/>
    <x v="9"/>
    <x v="1"/>
    <x v="7"/>
    <x v="1"/>
    <x v="53"/>
    <x v="8"/>
    <x v="0"/>
    <x v="0"/>
  </r>
  <r>
    <x v="592"/>
    <x v="0"/>
    <x v="5"/>
    <x v="1"/>
    <x v="4"/>
    <x v="3"/>
    <x v="52"/>
    <x v="5"/>
    <x v="1"/>
    <x v="1"/>
  </r>
  <r>
    <x v="592"/>
    <x v="1"/>
    <x v="22"/>
    <x v="0"/>
    <x v="17"/>
    <x v="1"/>
    <x v="88"/>
    <x v="19"/>
    <x v="5"/>
    <x v="5"/>
  </r>
  <r>
    <x v="593"/>
    <x v="0"/>
    <x v="8"/>
    <x v="0"/>
    <x v="0"/>
    <x v="3"/>
    <x v="12"/>
    <x v="3"/>
    <x v="0"/>
    <x v="0"/>
  </r>
  <r>
    <x v="593"/>
    <x v="1"/>
    <x v="20"/>
    <x v="1"/>
    <x v="11"/>
    <x v="2"/>
    <x v="64"/>
    <x v="15"/>
    <x v="0"/>
    <x v="0"/>
  </r>
  <r>
    <x v="594"/>
    <x v="0"/>
    <x v="4"/>
    <x v="0"/>
    <x v="3"/>
    <x v="1"/>
    <x v="123"/>
    <x v="4"/>
    <x v="1"/>
    <x v="1"/>
  </r>
  <r>
    <x v="594"/>
    <x v="1"/>
    <x v="23"/>
    <x v="1"/>
    <x v="7"/>
    <x v="1"/>
    <x v="53"/>
    <x v="20"/>
    <x v="0"/>
    <x v="0"/>
  </r>
  <r>
    <x v="594"/>
    <x v="2"/>
    <x v="5"/>
    <x v="0"/>
    <x v="4"/>
    <x v="1"/>
    <x v="133"/>
    <x v="5"/>
    <x v="1"/>
    <x v="1"/>
  </r>
  <r>
    <x v="594"/>
    <x v="3"/>
    <x v="2"/>
    <x v="0"/>
    <x v="2"/>
    <x v="1"/>
    <x v="43"/>
    <x v="2"/>
    <x v="2"/>
    <x v="2"/>
  </r>
  <r>
    <x v="594"/>
    <x v="4"/>
    <x v="8"/>
    <x v="1"/>
    <x v="0"/>
    <x v="2"/>
    <x v="3"/>
    <x v="3"/>
    <x v="0"/>
    <x v="0"/>
  </r>
  <r>
    <x v="595"/>
    <x v="0"/>
    <x v="21"/>
    <x v="0"/>
    <x v="16"/>
    <x v="2"/>
    <x v="60"/>
    <x v="18"/>
    <x v="1"/>
    <x v="1"/>
  </r>
  <r>
    <x v="595"/>
    <x v="1"/>
    <x v="19"/>
    <x v="1"/>
    <x v="15"/>
    <x v="3"/>
    <x v="50"/>
    <x v="17"/>
    <x v="4"/>
    <x v="4"/>
  </r>
  <r>
    <x v="595"/>
    <x v="2"/>
    <x v="11"/>
    <x v="0"/>
    <x v="9"/>
    <x v="2"/>
    <x v="121"/>
    <x v="10"/>
    <x v="3"/>
    <x v="3"/>
  </r>
  <r>
    <x v="596"/>
    <x v="0"/>
    <x v="7"/>
    <x v="1"/>
    <x v="6"/>
    <x v="0"/>
    <x v="71"/>
    <x v="7"/>
    <x v="0"/>
    <x v="0"/>
  </r>
  <r>
    <x v="596"/>
    <x v="1"/>
    <x v="1"/>
    <x v="0"/>
    <x v="1"/>
    <x v="1"/>
    <x v="31"/>
    <x v="1"/>
    <x v="1"/>
    <x v="1"/>
  </r>
  <r>
    <x v="597"/>
    <x v="0"/>
    <x v="4"/>
    <x v="1"/>
    <x v="3"/>
    <x v="2"/>
    <x v="49"/>
    <x v="4"/>
    <x v="1"/>
    <x v="1"/>
  </r>
  <r>
    <x v="597"/>
    <x v="1"/>
    <x v="3"/>
    <x v="1"/>
    <x v="0"/>
    <x v="1"/>
    <x v="19"/>
    <x v="3"/>
    <x v="0"/>
    <x v="0"/>
  </r>
  <r>
    <x v="597"/>
    <x v="2"/>
    <x v="15"/>
    <x v="0"/>
    <x v="11"/>
    <x v="3"/>
    <x v="21"/>
    <x v="12"/>
    <x v="0"/>
    <x v="0"/>
  </r>
  <r>
    <x v="598"/>
    <x v="0"/>
    <x v="11"/>
    <x v="1"/>
    <x v="9"/>
    <x v="2"/>
    <x v="126"/>
    <x v="10"/>
    <x v="3"/>
    <x v="3"/>
  </r>
  <r>
    <x v="598"/>
    <x v="1"/>
    <x v="13"/>
    <x v="1"/>
    <x v="11"/>
    <x v="0"/>
    <x v="78"/>
    <x v="12"/>
    <x v="0"/>
    <x v="0"/>
  </r>
  <r>
    <x v="598"/>
    <x v="2"/>
    <x v="19"/>
    <x v="0"/>
    <x v="15"/>
    <x v="1"/>
    <x v="75"/>
    <x v="17"/>
    <x v="4"/>
    <x v="4"/>
  </r>
  <r>
    <x v="598"/>
    <x v="3"/>
    <x v="2"/>
    <x v="1"/>
    <x v="2"/>
    <x v="3"/>
    <x v="70"/>
    <x v="2"/>
    <x v="2"/>
    <x v="2"/>
  </r>
  <r>
    <x v="599"/>
    <x v="0"/>
    <x v="8"/>
    <x v="1"/>
    <x v="0"/>
    <x v="1"/>
    <x v="19"/>
    <x v="3"/>
    <x v="0"/>
    <x v="0"/>
  </r>
  <r>
    <x v="599"/>
    <x v="1"/>
    <x v="4"/>
    <x v="0"/>
    <x v="3"/>
    <x v="0"/>
    <x v="4"/>
    <x v="4"/>
    <x v="1"/>
    <x v="1"/>
  </r>
  <r>
    <x v="599"/>
    <x v="2"/>
    <x v="9"/>
    <x v="1"/>
    <x v="7"/>
    <x v="1"/>
    <x v="53"/>
    <x v="8"/>
    <x v="0"/>
    <x v="0"/>
  </r>
  <r>
    <x v="600"/>
    <x v="0"/>
    <x v="10"/>
    <x v="1"/>
    <x v="8"/>
    <x v="0"/>
    <x v="118"/>
    <x v="9"/>
    <x v="0"/>
    <x v="0"/>
  </r>
  <r>
    <x v="601"/>
    <x v="0"/>
    <x v="12"/>
    <x v="1"/>
    <x v="10"/>
    <x v="2"/>
    <x v="94"/>
    <x v="11"/>
    <x v="0"/>
    <x v="0"/>
  </r>
  <r>
    <x v="601"/>
    <x v="1"/>
    <x v="21"/>
    <x v="1"/>
    <x v="16"/>
    <x v="1"/>
    <x v="129"/>
    <x v="18"/>
    <x v="1"/>
    <x v="1"/>
  </r>
  <r>
    <x v="602"/>
    <x v="0"/>
    <x v="10"/>
    <x v="0"/>
    <x v="8"/>
    <x v="1"/>
    <x v="77"/>
    <x v="9"/>
    <x v="0"/>
    <x v="0"/>
  </r>
  <r>
    <x v="602"/>
    <x v="1"/>
    <x v="4"/>
    <x v="0"/>
    <x v="3"/>
    <x v="3"/>
    <x v="66"/>
    <x v="4"/>
    <x v="1"/>
    <x v="1"/>
  </r>
  <r>
    <x v="603"/>
    <x v="0"/>
    <x v="2"/>
    <x v="1"/>
    <x v="2"/>
    <x v="1"/>
    <x v="46"/>
    <x v="2"/>
    <x v="2"/>
    <x v="2"/>
  </r>
  <r>
    <x v="603"/>
    <x v="1"/>
    <x v="11"/>
    <x v="1"/>
    <x v="9"/>
    <x v="0"/>
    <x v="44"/>
    <x v="10"/>
    <x v="3"/>
    <x v="3"/>
  </r>
  <r>
    <x v="604"/>
    <x v="0"/>
    <x v="23"/>
    <x v="0"/>
    <x v="7"/>
    <x v="1"/>
    <x v="10"/>
    <x v="20"/>
    <x v="0"/>
    <x v="0"/>
  </r>
  <r>
    <x v="604"/>
    <x v="1"/>
    <x v="22"/>
    <x v="1"/>
    <x v="17"/>
    <x v="2"/>
    <x v="41"/>
    <x v="19"/>
    <x v="5"/>
    <x v="5"/>
  </r>
  <r>
    <x v="604"/>
    <x v="2"/>
    <x v="17"/>
    <x v="1"/>
    <x v="11"/>
    <x v="0"/>
    <x v="78"/>
    <x v="15"/>
    <x v="0"/>
    <x v="0"/>
  </r>
  <r>
    <x v="604"/>
    <x v="3"/>
    <x v="16"/>
    <x v="0"/>
    <x v="13"/>
    <x v="0"/>
    <x v="114"/>
    <x v="14"/>
    <x v="2"/>
    <x v="2"/>
  </r>
  <r>
    <x v="605"/>
    <x v="0"/>
    <x v="18"/>
    <x v="1"/>
    <x v="14"/>
    <x v="0"/>
    <x v="117"/>
    <x v="16"/>
    <x v="1"/>
    <x v="1"/>
  </r>
  <r>
    <x v="605"/>
    <x v="1"/>
    <x v="9"/>
    <x v="1"/>
    <x v="7"/>
    <x v="2"/>
    <x v="32"/>
    <x v="8"/>
    <x v="0"/>
    <x v="0"/>
  </r>
  <r>
    <x v="606"/>
    <x v="0"/>
    <x v="16"/>
    <x v="1"/>
    <x v="13"/>
    <x v="0"/>
    <x v="108"/>
    <x v="14"/>
    <x v="2"/>
    <x v="2"/>
  </r>
  <r>
    <x v="606"/>
    <x v="1"/>
    <x v="8"/>
    <x v="1"/>
    <x v="0"/>
    <x v="0"/>
    <x v="24"/>
    <x v="3"/>
    <x v="0"/>
    <x v="0"/>
  </r>
  <r>
    <x v="606"/>
    <x v="2"/>
    <x v="15"/>
    <x v="0"/>
    <x v="11"/>
    <x v="1"/>
    <x v="36"/>
    <x v="12"/>
    <x v="0"/>
    <x v="0"/>
  </r>
  <r>
    <x v="607"/>
    <x v="0"/>
    <x v="4"/>
    <x v="1"/>
    <x v="3"/>
    <x v="0"/>
    <x v="84"/>
    <x v="4"/>
    <x v="1"/>
    <x v="1"/>
  </r>
  <r>
    <x v="607"/>
    <x v="1"/>
    <x v="14"/>
    <x v="1"/>
    <x v="12"/>
    <x v="3"/>
    <x v="20"/>
    <x v="13"/>
    <x v="1"/>
    <x v="1"/>
  </r>
  <r>
    <x v="607"/>
    <x v="2"/>
    <x v="24"/>
    <x v="0"/>
    <x v="8"/>
    <x v="3"/>
    <x v="98"/>
    <x v="9"/>
    <x v="0"/>
    <x v="0"/>
  </r>
  <r>
    <x v="608"/>
    <x v="0"/>
    <x v="2"/>
    <x v="0"/>
    <x v="2"/>
    <x v="1"/>
    <x v="43"/>
    <x v="2"/>
    <x v="2"/>
    <x v="2"/>
  </r>
  <r>
    <x v="608"/>
    <x v="1"/>
    <x v="14"/>
    <x v="0"/>
    <x v="12"/>
    <x v="3"/>
    <x v="40"/>
    <x v="13"/>
    <x v="1"/>
    <x v="1"/>
  </r>
  <r>
    <x v="608"/>
    <x v="2"/>
    <x v="13"/>
    <x v="1"/>
    <x v="11"/>
    <x v="3"/>
    <x v="23"/>
    <x v="12"/>
    <x v="0"/>
    <x v="0"/>
  </r>
  <r>
    <x v="608"/>
    <x v="3"/>
    <x v="21"/>
    <x v="0"/>
    <x v="16"/>
    <x v="3"/>
    <x v="38"/>
    <x v="18"/>
    <x v="1"/>
    <x v="1"/>
  </r>
  <r>
    <x v="609"/>
    <x v="0"/>
    <x v="8"/>
    <x v="0"/>
    <x v="0"/>
    <x v="3"/>
    <x v="12"/>
    <x v="3"/>
    <x v="0"/>
    <x v="0"/>
  </r>
  <r>
    <x v="609"/>
    <x v="1"/>
    <x v="24"/>
    <x v="0"/>
    <x v="8"/>
    <x v="1"/>
    <x v="77"/>
    <x v="9"/>
    <x v="0"/>
    <x v="0"/>
  </r>
  <r>
    <x v="609"/>
    <x v="2"/>
    <x v="9"/>
    <x v="1"/>
    <x v="7"/>
    <x v="1"/>
    <x v="53"/>
    <x v="8"/>
    <x v="0"/>
    <x v="0"/>
  </r>
  <r>
    <x v="609"/>
    <x v="3"/>
    <x v="5"/>
    <x v="0"/>
    <x v="4"/>
    <x v="1"/>
    <x v="133"/>
    <x v="5"/>
    <x v="1"/>
    <x v="1"/>
  </r>
  <r>
    <x v="609"/>
    <x v="4"/>
    <x v="1"/>
    <x v="0"/>
    <x v="1"/>
    <x v="3"/>
    <x v="112"/>
    <x v="1"/>
    <x v="1"/>
    <x v="1"/>
  </r>
  <r>
    <x v="610"/>
    <x v="0"/>
    <x v="3"/>
    <x v="1"/>
    <x v="0"/>
    <x v="1"/>
    <x v="19"/>
    <x v="3"/>
    <x v="0"/>
    <x v="0"/>
  </r>
  <r>
    <x v="611"/>
    <x v="0"/>
    <x v="17"/>
    <x v="0"/>
    <x v="11"/>
    <x v="3"/>
    <x v="21"/>
    <x v="15"/>
    <x v="0"/>
    <x v="0"/>
  </r>
  <r>
    <x v="611"/>
    <x v="1"/>
    <x v="15"/>
    <x v="0"/>
    <x v="11"/>
    <x v="3"/>
    <x v="21"/>
    <x v="12"/>
    <x v="0"/>
    <x v="0"/>
  </r>
  <r>
    <x v="611"/>
    <x v="2"/>
    <x v="7"/>
    <x v="0"/>
    <x v="6"/>
    <x v="1"/>
    <x v="9"/>
    <x v="7"/>
    <x v="0"/>
    <x v="0"/>
  </r>
  <r>
    <x v="611"/>
    <x v="3"/>
    <x v="0"/>
    <x v="0"/>
    <x v="0"/>
    <x v="0"/>
    <x v="0"/>
    <x v="0"/>
    <x v="0"/>
    <x v="0"/>
  </r>
  <r>
    <x v="612"/>
    <x v="0"/>
    <x v="11"/>
    <x v="1"/>
    <x v="9"/>
    <x v="3"/>
    <x v="42"/>
    <x v="10"/>
    <x v="3"/>
    <x v="3"/>
  </r>
  <r>
    <x v="612"/>
    <x v="1"/>
    <x v="9"/>
    <x v="1"/>
    <x v="7"/>
    <x v="2"/>
    <x v="32"/>
    <x v="8"/>
    <x v="0"/>
    <x v="0"/>
  </r>
  <r>
    <x v="612"/>
    <x v="2"/>
    <x v="10"/>
    <x v="0"/>
    <x v="8"/>
    <x v="1"/>
    <x v="77"/>
    <x v="9"/>
    <x v="0"/>
    <x v="0"/>
  </r>
  <r>
    <x v="613"/>
    <x v="0"/>
    <x v="9"/>
    <x v="0"/>
    <x v="7"/>
    <x v="3"/>
    <x v="65"/>
    <x v="8"/>
    <x v="0"/>
    <x v="0"/>
  </r>
  <r>
    <x v="613"/>
    <x v="1"/>
    <x v="20"/>
    <x v="0"/>
    <x v="11"/>
    <x v="2"/>
    <x v="18"/>
    <x v="15"/>
    <x v="0"/>
    <x v="0"/>
  </r>
  <r>
    <x v="614"/>
    <x v="0"/>
    <x v="16"/>
    <x v="0"/>
    <x v="13"/>
    <x v="1"/>
    <x v="142"/>
    <x v="14"/>
    <x v="2"/>
    <x v="2"/>
  </r>
  <r>
    <x v="614"/>
    <x v="1"/>
    <x v="19"/>
    <x v="0"/>
    <x v="15"/>
    <x v="2"/>
    <x v="115"/>
    <x v="17"/>
    <x v="4"/>
    <x v="4"/>
  </r>
  <r>
    <x v="614"/>
    <x v="2"/>
    <x v="18"/>
    <x v="1"/>
    <x v="14"/>
    <x v="3"/>
    <x v="110"/>
    <x v="16"/>
    <x v="1"/>
    <x v="1"/>
  </r>
  <r>
    <x v="614"/>
    <x v="3"/>
    <x v="23"/>
    <x v="1"/>
    <x v="7"/>
    <x v="3"/>
    <x v="106"/>
    <x v="20"/>
    <x v="0"/>
    <x v="0"/>
  </r>
  <r>
    <x v="615"/>
    <x v="0"/>
    <x v="24"/>
    <x v="0"/>
    <x v="8"/>
    <x v="0"/>
    <x v="57"/>
    <x v="9"/>
    <x v="0"/>
    <x v="0"/>
  </r>
  <r>
    <x v="615"/>
    <x v="1"/>
    <x v="3"/>
    <x v="1"/>
    <x v="0"/>
    <x v="0"/>
    <x v="24"/>
    <x v="3"/>
    <x v="0"/>
    <x v="0"/>
  </r>
  <r>
    <x v="616"/>
    <x v="0"/>
    <x v="12"/>
    <x v="1"/>
    <x v="10"/>
    <x v="0"/>
    <x v="48"/>
    <x v="11"/>
    <x v="0"/>
    <x v="0"/>
  </r>
  <r>
    <x v="616"/>
    <x v="1"/>
    <x v="16"/>
    <x v="1"/>
    <x v="13"/>
    <x v="1"/>
    <x v="136"/>
    <x v="14"/>
    <x v="2"/>
    <x v="2"/>
  </r>
  <r>
    <x v="617"/>
    <x v="0"/>
    <x v="7"/>
    <x v="1"/>
    <x v="6"/>
    <x v="3"/>
    <x v="17"/>
    <x v="7"/>
    <x v="0"/>
    <x v="0"/>
  </r>
  <r>
    <x v="617"/>
    <x v="1"/>
    <x v="16"/>
    <x v="0"/>
    <x v="13"/>
    <x v="1"/>
    <x v="142"/>
    <x v="14"/>
    <x v="2"/>
    <x v="2"/>
  </r>
  <r>
    <x v="618"/>
    <x v="0"/>
    <x v="22"/>
    <x v="0"/>
    <x v="17"/>
    <x v="1"/>
    <x v="88"/>
    <x v="19"/>
    <x v="5"/>
    <x v="5"/>
  </r>
  <r>
    <x v="619"/>
    <x v="0"/>
    <x v="21"/>
    <x v="1"/>
    <x v="16"/>
    <x v="0"/>
    <x v="95"/>
    <x v="18"/>
    <x v="1"/>
    <x v="1"/>
  </r>
  <r>
    <x v="620"/>
    <x v="0"/>
    <x v="7"/>
    <x v="1"/>
    <x v="6"/>
    <x v="1"/>
    <x v="100"/>
    <x v="7"/>
    <x v="0"/>
    <x v="0"/>
  </r>
  <r>
    <x v="621"/>
    <x v="0"/>
    <x v="11"/>
    <x v="1"/>
    <x v="9"/>
    <x v="1"/>
    <x v="14"/>
    <x v="10"/>
    <x v="3"/>
    <x v="3"/>
  </r>
  <r>
    <x v="621"/>
    <x v="1"/>
    <x v="9"/>
    <x v="0"/>
    <x v="7"/>
    <x v="3"/>
    <x v="65"/>
    <x v="8"/>
    <x v="0"/>
    <x v="0"/>
  </r>
  <r>
    <x v="621"/>
    <x v="2"/>
    <x v="2"/>
    <x v="0"/>
    <x v="2"/>
    <x v="0"/>
    <x v="135"/>
    <x v="2"/>
    <x v="2"/>
    <x v="2"/>
  </r>
  <r>
    <x v="621"/>
    <x v="3"/>
    <x v="22"/>
    <x v="0"/>
    <x v="17"/>
    <x v="1"/>
    <x v="88"/>
    <x v="19"/>
    <x v="5"/>
    <x v="5"/>
  </r>
  <r>
    <x v="622"/>
    <x v="0"/>
    <x v="1"/>
    <x v="0"/>
    <x v="1"/>
    <x v="1"/>
    <x v="31"/>
    <x v="1"/>
    <x v="1"/>
    <x v="1"/>
  </r>
  <r>
    <x v="623"/>
    <x v="0"/>
    <x v="20"/>
    <x v="1"/>
    <x v="11"/>
    <x v="2"/>
    <x v="64"/>
    <x v="15"/>
    <x v="0"/>
    <x v="0"/>
  </r>
  <r>
    <x v="623"/>
    <x v="1"/>
    <x v="3"/>
    <x v="0"/>
    <x v="0"/>
    <x v="1"/>
    <x v="5"/>
    <x v="3"/>
    <x v="0"/>
    <x v="0"/>
  </r>
  <r>
    <x v="623"/>
    <x v="2"/>
    <x v="13"/>
    <x v="0"/>
    <x v="11"/>
    <x v="1"/>
    <x v="36"/>
    <x v="12"/>
    <x v="0"/>
    <x v="0"/>
  </r>
  <r>
    <x v="623"/>
    <x v="3"/>
    <x v="15"/>
    <x v="1"/>
    <x v="11"/>
    <x v="0"/>
    <x v="78"/>
    <x v="12"/>
    <x v="0"/>
    <x v="0"/>
  </r>
  <r>
    <x v="624"/>
    <x v="0"/>
    <x v="7"/>
    <x v="0"/>
    <x v="6"/>
    <x v="1"/>
    <x v="9"/>
    <x v="7"/>
    <x v="0"/>
    <x v="0"/>
  </r>
  <r>
    <x v="624"/>
    <x v="1"/>
    <x v="16"/>
    <x v="1"/>
    <x v="13"/>
    <x v="0"/>
    <x v="108"/>
    <x v="14"/>
    <x v="2"/>
    <x v="2"/>
  </r>
  <r>
    <x v="624"/>
    <x v="2"/>
    <x v="8"/>
    <x v="0"/>
    <x v="0"/>
    <x v="1"/>
    <x v="5"/>
    <x v="3"/>
    <x v="0"/>
    <x v="0"/>
  </r>
  <r>
    <x v="624"/>
    <x v="3"/>
    <x v="19"/>
    <x v="1"/>
    <x v="15"/>
    <x v="3"/>
    <x v="50"/>
    <x v="17"/>
    <x v="4"/>
    <x v="4"/>
  </r>
  <r>
    <x v="625"/>
    <x v="0"/>
    <x v="12"/>
    <x v="0"/>
    <x v="10"/>
    <x v="0"/>
    <x v="103"/>
    <x v="11"/>
    <x v="0"/>
    <x v="0"/>
  </r>
  <r>
    <x v="626"/>
    <x v="0"/>
    <x v="23"/>
    <x v="0"/>
    <x v="7"/>
    <x v="1"/>
    <x v="10"/>
    <x v="20"/>
    <x v="0"/>
    <x v="0"/>
  </r>
  <r>
    <x v="626"/>
    <x v="1"/>
    <x v="11"/>
    <x v="1"/>
    <x v="9"/>
    <x v="0"/>
    <x v="44"/>
    <x v="10"/>
    <x v="3"/>
    <x v="3"/>
  </r>
  <r>
    <x v="626"/>
    <x v="2"/>
    <x v="8"/>
    <x v="0"/>
    <x v="0"/>
    <x v="1"/>
    <x v="5"/>
    <x v="3"/>
    <x v="0"/>
    <x v="0"/>
  </r>
  <r>
    <x v="627"/>
    <x v="0"/>
    <x v="12"/>
    <x v="1"/>
    <x v="10"/>
    <x v="3"/>
    <x v="120"/>
    <x v="11"/>
    <x v="0"/>
    <x v="0"/>
  </r>
  <r>
    <x v="628"/>
    <x v="0"/>
    <x v="23"/>
    <x v="0"/>
    <x v="7"/>
    <x v="2"/>
    <x v="72"/>
    <x v="20"/>
    <x v="0"/>
    <x v="0"/>
  </r>
  <r>
    <x v="628"/>
    <x v="1"/>
    <x v="21"/>
    <x v="1"/>
    <x v="16"/>
    <x v="2"/>
    <x v="131"/>
    <x v="18"/>
    <x v="1"/>
    <x v="1"/>
  </r>
  <r>
    <x v="628"/>
    <x v="2"/>
    <x v="19"/>
    <x v="1"/>
    <x v="15"/>
    <x v="3"/>
    <x v="50"/>
    <x v="17"/>
    <x v="4"/>
    <x v="4"/>
  </r>
  <r>
    <x v="628"/>
    <x v="3"/>
    <x v="15"/>
    <x v="1"/>
    <x v="11"/>
    <x v="2"/>
    <x v="64"/>
    <x v="12"/>
    <x v="0"/>
    <x v="0"/>
  </r>
  <r>
    <x v="628"/>
    <x v="4"/>
    <x v="18"/>
    <x v="1"/>
    <x v="14"/>
    <x v="3"/>
    <x v="110"/>
    <x v="16"/>
    <x v="1"/>
    <x v="1"/>
  </r>
  <r>
    <x v="629"/>
    <x v="0"/>
    <x v="21"/>
    <x v="0"/>
    <x v="16"/>
    <x v="2"/>
    <x v="60"/>
    <x v="18"/>
    <x v="1"/>
    <x v="1"/>
  </r>
  <r>
    <x v="629"/>
    <x v="1"/>
    <x v="22"/>
    <x v="0"/>
    <x v="17"/>
    <x v="3"/>
    <x v="93"/>
    <x v="19"/>
    <x v="5"/>
    <x v="5"/>
  </r>
  <r>
    <x v="629"/>
    <x v="2"/>
    <x v="9"/>
    <x v="1"/>
    <x v="7"/>
    <x v="3"/>
    <x v="106"/>
    <x v="8"/>
    <x v="0"/>
    <x v="0"/>
  </r>
  <r>
    <x v="629"/>
    <x v="3"/>
    <x v="20"/>
    <x v="1"/>
    <x v="11"/>
    <x v="1"/>
    <x v="35"/>
    <x v="15"/>
    <x v="0"/>
    <x v="0"/>
  </r>
  <r>
    <x v="630"/>
    <x v="0"/>
    <x v="24"/>
    <x v="1"/>
    <x v="8"/>
    <x v="1"/>
    <x v="30"/>
    <x v="9"/>
    <x v="0"/>
    <x v="0"/>
  </r>
  <r>
    <x v="630"/>
    <x v="1"/>
    <x v="12"/>
    <x v="1"/>
    <x v="10"/>
    <x v="1"/>
    <x v="109"/>
    <x v="11"/>
    <x v="0"/>
    <x v="0"/>
  </r>
  <r>
    <x v="631"/>
    <x v="0"/>
    <x v="22"/>
    <x v="0"/>
    <x v="17"/>
    <x v="0"/>
    <x v="76"/>
    <x v="19"/>
    <x v="5"/>
    <x v="5"/>
  </r>
  <r>
    <x v="631"/>
    <x v="1"/>
    <x v="16"/>
    <x v="1"/>
    <x v="13"/>
    <x v="3"/>
    <x v="104"/>
    <x v="14"/>
    <x v="2"/>
    <x v="2"/>
  </r>
  <r>
    <x v="631"/>
    <x v="2"/>
    <x v="12"/>
    <x v="0"/>
    <x v="10"/>
    <x v="1"/>
    <x v="15"/>
    <x v="11"/>
    <x v="0"/>
    <x v="0"/>
  </r>
  <r>
    <x v="631"/>
    <x v="3"/>
    <x v="18"/>
    <x v="0"/>
    <x v="14"/>
    <x v="2"/>
    <x v="62"/>
    <x v="16"/>
    <x v="1"/>
    <x v="1"/>
  </r>
  <r>
    <x v="631"/>
    <x v="4"/>
    <x v="13"/>
    <x v="1"/>
    <x v="11"/>
    <x v="3"/>
    <x v="23"/>
    <x v="12"/>
    <x v="0"/>
    <x v="0"/>
  </r>
  <r>
    <x v="632"/>
    <x v="0"/>
    <x v="10"/>
    <x v="1"/>
    <x v="8"/>
    <x v="2"/>
    <x v="11"/>
    <x v="9"/>
    <x v="0"/>
    <x v="0"/>
  </r>
  <r>
    <x v="632"/>
    <x v="1"/>
    <x v="17"/>
    <x v="1"/>
    <x v="11"/>
    <x v="0"/>
    <x v="78"/>
    <x v="15"/>
    <x v="0"/>
    <x v="0"/>
  </r>
  <r>
    <x v="632"/>
    <x v="2"/>
    <x v="21"/>
    <x v="1"/>
    <x v="16"/>
    <x v="0"/>
    <x v="95"/>
    <x v="18"/>
    <x v="1"/>
    <x v="1"/>
  </r>
  <r>
    <x v="632"/>
    <x v="3"/>
    <x v="2"/>
    <x v="1"/>
    <x v="2"/>
    <x v="0"/>
    <x v="54"/>
    <x v="2"/>
    <x v="2"/>
    <x v="2"/>
  </r>
  <r>
    <x v="633"/>
    <x v="0"/>
    <x v="4"/>
    <x v="1"/>
    <x v="3"/>
    <x v="2"/>
    <x v="49"/>
    <x v="4"/>
    <x v="1"/>
    <x v="1"/>
  </r>
  <r>
    <x v="633"/>
    <x v="1"/>
    <x v="10"/>
    <x v="0"/>
    <x v="8"/>
    <x v="3"/>
    <x v="98"/>
    <x v="9"/>
    <x v="0"/>
    <x v="0"/>
  </r>
  <r>
    <x v="634"/>
    <x v="0"/>
    <x v="4"/>
    <x v="0"/>
    <x v="3"/>
    <x v="2"/>
    <x v="143"/>
    <x v="4"/>
    <x v="1"/>
    <x v="1"/>
  </r>
  <r>
    <x v="635"/>
    <x v="0"/>
    <x v="25"/>
    <x v="1"/>
    <x v="18"/>
    <x v="0"/>
    <x v="144"/>
    <x v="21"/>
    <x v="4"/>
    <x v="4"/>
  </r>
  <r>
    <x v="636"/>
    <x v="0"/>
    <x v="11"/>
    <x v="0"/>
    <x v="9"/>
    <x v="3"/>
    <x v="128"/>
    <x v="10"/>
    <x v="3"/>
    <x v="3"/>
  </r>
  <r>
    <x v="636"/>
    <x v="1"/>
    <x v="26"/>
    <x v="1"/>
    <x v="19"/>
    <x v="3"/>
    <x v="145"/>
    <x v="22"/>
    <x v="0"/>
    <x v="0"/>
  </r>
  <r>
    <x v="637"/>
    <x v="0"/>
    <x v="27"/>
    <x v="0"/>
    <x v="20"/>
    <x v="2"/>
    <x v="146"/>
    <x v="23"/>
    <x v="5"/>
    <x v="5"/>
  </r>
  <r>
    <x v="637"/>
    <x v="1"/>
    <x v="28"/>
    <x v="0"/>
    <x v="21"/>
    <x v="0"/>
    <x v="147"/>
    <x v="24"/>
    <x v="6"/>
    <x v="6"/>
  </r>
  <r>
    <x v="637"/>
    <x v="2"/>
    <x v="29"/>
    <x v="1"/>
    <x v="5"/>
    <x v="2"/>
    <x v="125"/>
    <x v="25"/>
    <x v="6"/>
    <x v="6"/>
  </r>
  <r>
    <x v="638"/>
    <x v="0"/>
    <x v="12"/>
    <x v="0"/>
    <x v="10"/>
    <x v="1"/>
    <x v="15"/>
    <x v="11"/>
    <x v="0"/>
    <x v="0"/>
  </r>
  <r>
    <x v="638"/>
    <x v="1"/>
    <x v="30"/>
    <x v="0"/>
    <x v="5"/>
    <x v="2"/>
    <x v="132"/>
    <x v="26"/>
    <x v="0"/>
    <x v="0"/>
  </r>
  <r>
    <x v="638"/>
    <x v="2"/>
    <x v="31"/>
    <x v="0"/>
    <x v="22"/>
    <x v="2"/>
    <x v="148"/>
    <x v="27"/>
    <x v="0"/>
    <x v="0"/>
  </r>
  <r>
    <x v="638"/>
    <x v="3"/>
    <x v="32"/>
    <x v="1"/>
    <x v="23"/>
    <x v="3"/>
    <x v="149"/>
    <x v="28"/>
    <x v="3"/>
    <x v="3"/>
  </r>
  <r>
    <x v="639"/>
    <x v="0"/>
    <x v="26"/>
    <x v="1"/>
    <x v="19"/>
    <x v="2"/>
    <x v="150"/>
    <x v="22"/>
    <x v="0"/>
    <x v="0"/>
  </r>
  <r>
    <x v="639"/>
    <x v="1"/>
    <x v="33"/>
    <x v="0"/>
    <x v="14"/>
    <x v="1"/>
    <x v="29"/>
    <x v="29"/>
    <x v="1"/>
    <x v="1"/>
  </r>
  <r>
    <x v="639"/>
    <x v="2"/>
    <x v="34"/>
    <x v="0"/>
    <x v="4"/>
    <x v="1"/>
    <x v="133"/>
    <x v="30"/>
    <x v="1"/>
    <x v="1"/>
  </r>
  <r>
    <x v="639"/>
    <x v="3"/>
    <x v="35"/>
    <x v="1"/>
    <x v="15"/>
    <x v="1"/>
    <x v="69"/>
    <x v="31"/>
    <x v="0"/>
    <x v="0"/>
  </r>
  <r>
    <x v="639"/>
    <x v="4"/>
    <x v="36"/>
    <x v="1"/>
    <x v="24"/>
    <x v="0"/>
    <x v="151"/>
    <x v="32"/>
    <x v="5"/>
    <x v="5"/>
  </r>
  <r>
    <x v="640"/>
    <x v="0"/>
    <x v="12"/>
    <x v="0"/>
    <x v="10"/>
    <x v="2"/>
    <x v="119"/>
    <x v="11"/>
    <x v="0"/>
    <x v="0"/>
  </r>
  <r>
    <x v="640"/>
    <x v="1"/>
    <x v="37"/>
    <x v="0"/>
    <x v="25"/>
    <x v="0"/>
    <x v="152"/>
    <x v="33"/>
    <x v="2"/>
    <x v="2"/>
  </r>
  <r>
    <x v="640"/>
    <x v="2"/>
    <x v="38"/>
    <x v="0"/>
    <x v="26"/>
    <x v="0"/>
    <x v="153"/>
    <x v="34"/>
    <x v="0"/>
    <x v="0"/>
  </r>
  <r>
    <x v="641"/>
    <x v="0"/>
    <x v="39"/>
    <x v="1"/>
    <x v="19"/>
    <x v="1"/>
    <x v="154"/>
    <x v="22"/>
    <x v="0"/>
    <x v="0"/>
  </r>
  <r>
    <x v="642"/>
    <x v="0"/>
    <x v="29"/>
    <x v="0"/>
    <x v="5"/>
    <x v="2"/>
    <x v="132"/>
    <x v="25"/>
    <x v="6"/>
    <x v="6"/>
  </r>
  <r>
    <x v="643"/>
    <x v="0"/>
    <x v="11"/>
    <x v="0"/>
    <x v="9"/>
    <x v="1"/>
    <x v="45"/>
    <x v="10"/>
    <x v="3"/>
    <x v="3"/>
  </r>
  <r>
    <x v="644"/>
    <x v="0"/>
    <x v="40"/>
    <x v="0"/>
    <x v="15"/>
    <x v="1"/>
    <x v="75"/>
    <x v="35"/>
    <x v="4"/>
    <x v="4"/>
  </r>
  <r>
    <x v="644"/>
    <x v="1"/>
    <x v="41"/>
    <x v="1"/>
    <x v="27"/>
    <x v="2"/>
    <x v="155"/>
    <x v="36"/>
    <x v="1"/>
    <x v="1"/>
  </r>
  <r>
    <x v="644"/>
    <x v="2"/>
    <x v="18"/>
    <x v="0"/>
    <x v="14"/>
    <x v="2"/>
    <x v="62"/>
    <x v="16"/>
    <x v="1"/>
    <x v="1"/>
  </r>
  <r>
    <x v="644"/>
    <x v="3"/>
    <x v="42"/>
    <x v="1"/>
    <x v="28"/>
    <x v="1"/>
    <x v="156"/>
    <x v="37"/>
    <x v="1"/>
    <x v="1"/>
  </r>
  <r>
    <x v="644"/>
    <x v="4"/>
    <x v="20"/>
    <x v="1"/>
    <x v="11"/>
    <x v="1"/>
    <x v="35"/>
    <x v="15"/>
    <x v="0"/>
    <x v="0"/>
  </r>
  <r>
    <x v="645"/>
    <x v="0"/>
    <x v="12"/>
    <x v="1"/>
    <x v="10"/>
    <x v="0"/>
    <x v="48"/>
    <x v="11"/>
    <x v="0"/>
    <x v="0"/>
  </r>
  <r>
    <x v="645"/>
    <x v="1"/>
    <x v="4"/>
    <x v="0"/>
    <x v="3"/>
    <x v="1"/>
    <x v="123"/>
    <x v="4"/>
    <x v="1"/>
    <x v="1"/>
  </r>
  <r>
    <x v="645"/>
    <x v="2"/>
    <x v="43"/>
    <x v="0"/>
    <x v="15"/>
    <x v="2"/>
    <x v="115"/>
    <x v="31"/>
    <x v="0"/>
    <x v="0"/>
  </r>
  <r>
    <x v="645"/>
    <x v="3"/>
    <x v="10"/>
    <x v="0"/>
    <x v="8"/>
    <x v="0"/>
    <x v="57"/>
    <x v="9"/>
    <x v="0"/>
    <x v="0"/>
  </r>
  <r>
    <x v="646"/>
    <x v="0"/>
    <x v="22"/>
    <x v="1"/>
    <x v="17"/>
    <x v="1"/>
    <x v="85"/>
    <x v="19"/>
    <x v="5"/>
    <x v="5"/>
  </r>
  <r>
    <x v="646"/>
    <x v="1"/>
    <x v="17"/>
    <x v="0"/>
    <x v="11"/>
    <x v="3"/>
    <x v="21"/>
    <x v="15"/>
    <x v="0"/>
    <x v="0"/>
  </r>
  <r>
    <x v="647"/>
    <x v="0"/>
    <x v="24"/>
    <x v="0"/>
    <x v="8"/>
    <x v="1"/>
    <x v="77"/>
    <x v="9"/>
    <x v="0"/>
    <x v="0"/>
  </r>
  <r>
    <x v="648"/>
    <x v="0"/>
    <x v="44"/>
    <x v="1"/>
    <x v="29"/>
    <x v="3"/>
    <x v="157"/>
    <x v="38"/>
    <x v="4"/>
    <x v="4"/>
  </r>
  <r>
    <x v="648"/>
    <x v="1"/>
    <x v="45"/>
    <x v="0"/>
    <x v="30"/>
    <x v="1"/>
    <x v="158"/>
    <x v="39"/>
    <x v="4"/>
    <x v="4"/>
  </r>
  <r>
    <x v="648"/>
    <x v="2"/>
    <x v="16"/>
    <x v="1"/>
    <x v="13"/>
    <x v="3"/>
    <x v="104"/>
    <x v="14"/>
    <x v="2"/>
    <x v="2"/>
  </r>
  <r>
    <x v="648"/>
    <x v="3"/>
    <x v="46"/>
    <x v="0"/>
    <x v="31"/>
    <x v="2"/>
    <x v="159"/>
    <x v="40"/>
    <x v="0"/>
    <x v="0"/>
  </r>
  <r>
    <x v="649"/>
    <x v="0"/>
    <x v="5"/>
    <x v="0"/>
    <x v="4"/>
    <x v="0"/>
    <x v="90"/>
    <x v="5"/>
    <x v="1"/>
    <x v="1"/>
  </r>
  <r>
    <x v="650"/>
    <x v="0"/>
    <x v="47"/>
    <x v="0"/>
    <x v="32"/>
    <x v="3"/>
    <x v="160"/>
    <x v="41"/>
    <x v="0"/>
    <x v="0"/>
  </r>
  <r>
    <x v="650"/>
    <x v="1"/>
    <x v="25"/>
    <x v="0"/>
    <x v="18"/>
    <x v="2"/>
    <x v="161"/>
    <x v="21"/>
    <x v="4"/>
    <x v="4"/>
  </r>
  <r>
    <x v="650"/>
    <x v="2"/>
    <x v="48"/>
    <x v="1"/>
    <x v="26"/>
    <x v="2"/>
    <x v="162"/>
    <x v="34"/>
    <x v="0"/>
    <x v="0"/>
  </r>
  <r>
    <x v="650"/>
    <x v="3"/>
    <x v="49"/>
    <x v="1"/>
    <x v="33"/>
    <x v="2"/>
    <x v="163"/>
    <x v="42"/>
    <x v="4"/>
    <x v="4"/>
  </r>
  <r>
    <x v="651"/>
    <x v="0"/>
    <x v="48"/>
    <x v="0"/>
    <x v="26"/>
    <x v="3"/>
    <x v="164"/>
    <x v="34"/>
    <x v="0"/>
    <x v="0"/>
  </r>
  <r>
    <x v="651"/>
    <x v="1"/>
    <x v="37"/>
    <x v="1"/>
    <x v="25"/>
    <x v="0"/>
    <x v="165"/>
    <x v="33"/>
    <x v="2"/>
    <x v="2"/>
  </r>
  <r>
    <x v="651"/>
    <x v="2"/>
    <x v="50"/>
    <x v="1"/>
    <x v="34"/>
    <x v="0"/>
    <x v="166"/>
    <x v="43"/>
    <x v="0"/>
    <x v="0"/>
  </r>
  <r>
    <x v="651"/>
    <x v="3"/>
    <x v="19"/>
    <x v="0"/>
    <x v="15"/>
    <x v="3"/>
    <x v="37"/>
    <x v="17"/>
    <x v="4"/>
    <x v="4"/>
  </r>
  <r>
    <x v="651"/>
    <x v="4"/>
    <x v="51"/>
    <x v="0"/>
    <x v="35"/>
    <x v="2"/>
    <x v="167"/>
    <x v="44"/>
    <x v="0"/>
    <x v="0"/>
  </r>
  <r>
    <x v="652"/>
    <x v="0"/>
    <x v="18"/>
    <x v="0"/>
    <x v="14"/>
    <x v="1"/>
    <x v="29"/>
    <x v="16"/>
    <x v="1"/>
    <x v="1"/>
  </r>
  <r>
    <x v="652"/>
    <x v="1"/>
    <x v="52"/>
    <x v="0"/>
    <x v="28"/>
    <x v="3"/>
    <x v="168"/>
    <x v="45"/>
    <x v="1"/>
    <x v="1"/>
  </r>
  <r>
    <x v="652"/>
    <x v="2"/>
    <x v="6"/>
    <x v="1"/>
    <x v="5"/>
    <x v="3"/>
    <x v="8"/>
    <x v="6"/>
    <x v="1"/>
    <x v="1"/>
  </r>
  <r>
    <x v="652"/>
    <x v="3"/>
    <x v="53"/>
    <x v="0"/>
    <x v="36"/>
    <x v="0"/>
    <x v="169"/>
    <x v="46"/>
    <x v="0"/>
    <x v="0"/>
  </r>
  <r>
    <x v="652"/>
    <x v="4"/>
    <x v="54"/>
    <x v="1"/>
    <x v="37"/>
    <x v="1"/>
    <x v="170"/>
    <x v="47"/>
    <x v="4"/>
    <x v="4"/>
  </r>
  <r>
    <x v="653"/>
    <x v="0"/>
    <x v="11"/>
    <x v="0"/>
    <x v="9"/>
    <x v="3"/>
    <x v="128"/>
    <x v="10"/>
    <x v="3"/>
    <x v="3"/>
  </r>
  <r>
    <x v="653"/>
    <x v="1"/>
    <x v="43"/>
    <x v="0"/>
    <x v="15"/>
    <x v="3"/>
    <x v="37"/>
    <x v="31"/>
    <x v="0"/>
    <x v="0"/>
  </r>
  <r>
    <x v="653"/>
    <x v="2"/>
    <x v="55"/>
    <x v="1"/>
    <x v="38"/>
    <x v="1"/>
    <x v="171"/>
    <x v="48"/>
    <x v="5"/>
    <x v="5"/>
  </r>
  <r>
    <x v="653"/>
    <x v="3"/>
    <x v="44"/>
    <x v="1"/>
    <x v="29"/>
    <x v="1"/>
    <x v="172"/>
    <x v="38"/>
    <x v="4"/>
    <x v="4"/>
  </r>
  <r>
    <x v="654"/>
    <x v="0"/>
    <x v="50"/>
    <x v="0"/>
    <x v="34"/>
    <x v="3"/>
    <x v="173"/>
    <x v="43"/>
    <x v="0"/>
    <x v="0"/>
  </r>
  <r>
    <x v="655"/>
    <x v="0"/>
    <x v="56"/>
    <x v="0"/>
    <x v="39"/>
    <x v="3"/>
    <x v="174"/>
    <x v="49"/>
    <x v="4"/>
    <x v="4"/>
  </r>
  <r>
    <x v="655"/>
    <x v="1"/>
    <x v="13"/>
    <x v="0"/>
    <x v="11"/>
    <x v="1"/>
    <x v="36"/>
    <x v="12"/>
    <x v="0"/>
    <x v="0"/>
  </r>
  <r>
    <x v="655"/>
    <x v="2"/>
    <x v="57"/>
    <x v="1"/>
    <x v="14"/>
    <x v="2"/>
    <x v="124"/>
    <x v="50"/>
    <x v="1"/>
    <x v="1"/>
  </r>
  <r>
    <x v="656"/>
    <x v="0"/>
    <x v="58"/>
    <x v="0"/>
    <x v="40"/>
    <x v="2"/>
    <x v="175"/>
    <x v="51"/>
    <x v="6"/>
    <x v="6"/>
  </r>
  <r>
    <x v="656"/>
    <x v="1"/>
    <x v="59"/>
    <x v="1"/>
    <x v="41"/>
    <x v="2"/>
    <x v="176"/>
    <x v="52"/>
    <x v="6"/>
    <x v="6"/>
  </r>
  <r>
    <x v="657"/>
    <x v="0"/>
    <x v="60"/>
    <x v="1"/>
    <x v="25"/>
    <x v="0"/>
    <x v="165"/>
    <x v="53"/>
    <x v="6"/>
    <x v="6"/>
  </r>
  <r>
    <x v="657"/>
    <x v="1"/>
    <x v="61"/>
    <x v="0"/>
    <x v="4"/>
    <x v="2"/>
    <x v="6"/>
    <x v="54"/>
    <x v="1"/>
    <x v="1"/>
  </r>
  <r>
    <x v="657"/>
    <x v="2"/>
    <x v="11"/>
    <x v="0"/>
    <x v="9"/>
    <x v="2"/>
    <x v="121"/>
    <x v="10"/>
    <x v="3"/>
    <x v="3"/>
  </r>
  <r>
    <x v="658"/>
    <x v="0"/>
    <x v="41"/>
    <x v="1"/>
    <x v="27"/>
    <x v="2"/>
    <x v="155"/>
    <x v="36"/>
    <x v="1"/>
    <x v="1"/>
  </r>
  <r>
    <x v="658"/>
    <x v="1"/>
    <x v="62"/>
    <x v="1"/>
    <x v="42"/>
    <x v="1"/>
    <x v="177"/>
    <x v="55"/>
    <x v="1"/>
    <x v="1"/>
  </r>
  <r>
    <x v="658"/>
    <x v="2"/>
    <x v="63"/>
    <x v="0"/>
    <x v="43"/>
    <x v="2"/>
    <x v="178"/>
    <x v="56"/>
    <x v="0"/>
    <x v="0"/>
  </r>
  <r>
    <x v="658"/>
    <x v="3"/>
    <x v="32"/>
    <x v="1"/>
    <x v="23"/>
    <x v="1"/>
    <x v="179"/>
    <x v="28"/>
    <x v="3"/>
    <x v="3"/>
  </r>
  <r>
    <x v="659"/>
    <x v="0"/>
    <x v="34"/>
    <x v="0"/>
    <x v="4"/>
    <x v="0"/>
    <x v="90"/>
    <x v="30"/>
    <x v="1"/>
    <x v="1"/>
  </r>
  <r>
    <x v="659"/>
    <x v="1"/>
    <x v="64"/>
    <x v="1"/>
    <x v="44"/>
    <x v="1"/>
    <x v="180"/>
    <x v="57"/>
    <x v="6"/>
    <x v="6"/>
  </r>
  <r>
    <x v="659"/>
    <x v="2"/>
    <x v="42"/>
    <x v="1"/>
    <x v="28"/>
    <x v="2"/>
    <x v="181"/>
    <x v="37"/>
    <x v="1"/>
    <x v="1"/>
  </r>
  <r>
    <x v="659"/>
    <x v="3"/>
    <x v="61"/>
    <x v="1"/>
    <x v="4"/>
    <x v="0"/>
    <x v="73"/>
    <x v="54"/>
    <x v="1"/>
    <x v="1"/>
  </r>
  <r>
    <x v="660"/>
    <x v="0"/>
    <x v="65"/>
    <x v="1"/>
    <x v="25"/>
    <x v="1"/>
    <x v="182"/>
    <x v="58"/>
    <x v="2"/>
    <x v="2"/>
  </r>
  <r>
    <x v="660"/>
    <x v="1"/>
    <x v="13"/>
    <x v="1"/>
    <x v="11"/>
    <x v="2"/>
    <x v="64"/>
    <x v="12"/>
    <x v="0"/>
    <x v="0"/>
  </r>
  <r>
    <x v="661"/>
    <x v="0"/>
    <x v="66"/>
    <x v="1"/>
    <x v="45"/>
    <x v="3"/>
    <x v="183"/>
    <x v="59"/>
    <x v="6"/>
    <x v="6"/>
  </r>
  <r>
    <x v="661"/>
    <x v="1"/>
    <x v="43"/>
    <x v="1"/>
    <x v="15"/>
    <x v="0"/>
    <x v="33"/>
    <x v="31"/>
    <x v="0"/>
    <x v="0"/>
  </r>
  <r>
    <x v="661"/>
    <x v="2"/>
    <x v="48"/>
    <x v="1"/>
    <x v="26"/>
    <x v="1"/>
    <x v="184"/>
    <x v="34"/>
    <x v="0"/>
    <x v="0"/>
  </r>
  <r>
    <x v="661"/>
    <x v="3"/>
    <x v="13"/>
    <x v="0"/>
    <x v="11"/>
    <x v="1"/>
    <x v="36"/>
    <x v="12"/>
    <x v="0"/>
    <x v="0"/>
  </r>
  <r>
    <x v="661"/>
    <x v="4"/>
    <x v="26"/>
    <x v="1"/>
    <x v="19"/>
    <x v="1"/>
    <x v="154"/>
    <x v="22"/>
    <x v="0"/>
    <x v="0"/>
  </r>
  <r>
    <x v="662"/>
    <x v="0"/>
    <x v="67"/>
    <x v="1"/>
    <x v="46"/>
    <x v="2"/>
    <x v="185"/>
    <x v="60"/>
    <x v="1"/>
    <x v="1"/>
  </r>
  <r>
    <x v="662"/>
    <x v="1"/>
    <x v="7"/>
    <x v="1"/>
    <x v="6"/>
    <x v="0"/>
    <x v="71"/>
    <x v="7"/>
    <x v="0"/>
    <x v="0"/>
  </r>
  <r>
    <x v="662"/>
    <x v="2"/>
    <x v="49"/>
    <x v="0"/>
    <x v="33"/>
    <x v="2"/>
    <x v="186"/>
    <x v="42"/>
    <x v="4"/>
    <x v="4"/>
  </r>
  <r>
    <x v="662"/>
    <x v="3"/>
    <x v="68"/>
    <x v="0"/>
    <x v="24"/>
    <x v="1"/>
    <x v="187"/>
    <x v="61"/>
    <x v="0"/>
    <x v="0"/>
  </r>
  <r>
    <x v="662"/>
    <x v="4"/>
    <x v="26"/>
    <x v="0"/>
    <x v="19"/>
    <x v="0"/>
    <x v="188"/>
    <x v="22"/>
    <x v="0"/>
    <x v="0"/>
  </r>
  <r>
    <x v="663"/>
    <x v="0"/>
    <x v="58"/>
    <x v="1"/>
    <x v="40"/>
    <x v="1"/>
    <x v="189"/>
    <x v="51"/>
    <x v="6"/>
    <x v="6"/>
  </r>
  <r>
    <x v="663"/>
    <x v="1"/>
    <x v="21"/>
    <x v="0"/>
    <x v="16"/>
    <x v="1"/>
    <x v="105"/>
    <x v="18"/>
    <x v="1"/>
    <x v="1"/>
  </r>
  <r>
    <x v="663"/>
    <x v="2"/>
    <x v="69"/>
    <x v="0"/>
    <x v="47"/>
    <x v="0"/>
    <x v="190"/>
    <x v="62"/>
    <x v="6"/>
    <x v="6"/>
  </r>
  <r>
    <x v="663"/>
    <x v="3"/>
    <x v="70"/>
    <x v="1"/>
    <x v="48"/>
    <x v="0"/>
    <x v="191"/>
    <x v="63"/>
    <x v="4"/>
    <x v="4"/>
  </r>
  <r>
    <x v="663"/>
    <x v="4"/>
    <x v="42"/>
    <x v="0"/>
    <x v="28"/>
    <x v="1"/>
    <x v="192"/>
    <x v="37"/>
    <x v="1"/>
    <x v="1"/>
  </r>
  <r>
    <x v="664"/>
    <x v="0"/>
    <x v="71"/>
    <x v="0"/>
    <x v="23"/>
    <x v="1"/>
    <x v="193"/>
    <x v="64"/>
    <x v="6"/>
    <x v="6"/>
  </r>
  <r>
    <x v="664"/>
    <x v="1"/>
    <x v="41"/>
    <x v="1"/>
    <x v="27"/>
    <x v="0"/>
    <x v="194"/>
    <x v="36"/>
    <x v="1"/>
    <x v="1"/>
  </r>
  <r>
    <x v="664"/>
    <x v="2"/>
    <x v="22"/>
    <x v="1"/>
    <x v="17"/>
    <x v="2"/>
    <x v="41"/>
    <x v="19"/>
    <x v="5"/>
    <x v="5"/>
  </r>
  <r>
    <x v="665"/>
    <x v="0"/>
    <x v="72"/>
    <x v="1"/>
    <x v="26"/>
    <x v="0"/>
    <x v="195"/>
    <x v="65"/>
    <x v="4"/>
    <x v="4"/>
  </r>
  <r>
    <x v="665"/>
    <x v="1"/>
    <x v="62"/>
    <x v="0"/>
    <x v="42"/>
    <x v="2"/>
    <x v="196"/>
    <x v="55"/>
    <x v="1"/>
    <x v="1"/>
  </r>
  <r>
    <x v="666"/>
    <x v="0"/>
    <x v="47"/>
    <x v="0"/>
    <x v="32"/>
    <x v="0"/>
    <x v="197"/>
    <x v="41"/>
    <x v="0"/>
    <x v="0"/>
  </r>
  <r>
    <x v="666"/>
    <x v="1"/>
    <x v="73"/>
    <x v="0"/>
    <x v="49"/>
    <x v="3"/>
    <x v="198"/>
    <x v="66"/>
    <x v="4"/>
    <x v="4"/>
  </r>
  <r>
    <x v="666"/>
    <x v="2"/>
    <x v="5"/>
    <x v="0"/>
    <x v="4"/>
    <x v="0"/>
    <x v="90"/>
    <x v="5"/>
    <x v="1"/>
    <x v="1"/>
  </r>
  <r>
    <x v="666"/>
    <x v="3"/>
    <x v="40"/>
    <x v="0"/>
    <x v="15"/>
    <x v="3"/>
    <x v="37"/>
    <x v="35"/>
    <x v="4"/>
    <x v="4"/>
  </r>
  <r>
    <x v="666"/>
    <x v="4"/>
    <x v="25"/>
    <x v="0"/>
    <x v="18"/>
    <x v="2"/>
    <x v="161"/>
    <x v="21"/>
    <x v="4"/>
    <x v="4"/>
  </r>
  <r>
    <x v="667"/>
    <x v="0"/>
    <x v="74"/>
    <x v="1"/>
    <x v="42"/>
    <x v="2"/>
    <x v="199"/>
    <x v="67"/>
    <x v="6"/>
    <x v="6"/>
  </r>
  <r>
    <x v="667"/>
    <x v="1"/>
    <x v="23"/>
    <x v="1"/>
    <x v="7"/>
    <x v="3"/>
    <x v="106"/>
    <x v="20"/>
    <x v="0"/>
    <x v="0"/>
  </r>
  <r>
    <x v="668"/>
    <x v="0"/>
    <x v="3"/>
    <x v="1"/>
    <x v="0"/>
    <x v="1"/>
    <x v="19"/>
    <x v="3"/>
    <x v="0"/>
    <x v="0"/>
  </r>
  <r>
    <x v="668"/>
    <x v="1"/>
    <x v="31"/>
    <x v="0"/>
    <x v="22"/>
    <x v="1"/>
    <x v="200"/>
    <x v="27"/>
    <x v="0"/>
    <x v="0"/>
  </r>
  <r>
    <x v="669"/>
    <x v="0"/>
    <x v="75"/>
    <x v="0"/>
    <x v="19"/>
    <x v="3"/>
    <x v="201"/>
    <x v="68"/>
    <x v="5"/>
    <x v="5"/>
  </r>
  <r>
    <x v="669"/>
    <x v="1"/>
    <x v="76"/>
    <x v="0"/>
    <x v="50"/>
    <x v="1"/>
    <x v="202"/>
    <x v="69"/>
    <x v="1"/>
    <x v="1"/>
  </r>
  <r>
    <x v="669"/>
    <x v="2"/>
    <x v="77"/>
    <x v="1"/>
    <x v="51"/>
    <x v="0"/>
    <x v="203"/>
    <x v="70"/>
    <x v="5"/>
    <x v="5"/>
  </r>
  <r>
    <x v="669"/>
    <x v="3"/>
    <x v="78"/>
    <x v="1"/>
    <x v="52"/>
    <x v="2"/>
    <x v="204"/>
    <x v="71"/>
    <x v="1"/>
    <x v="1"/>
  </r>
  <r>
    <x v="670"/>
    <x v="0"/>
    <x v="34"/>
    <x v="0"/>
    <x v="4"/>
    <x v="2"/>
    <x v="6"/>
    <x v="30"/>
    <x v="1"/>
    <x v="1"/>
  </r>
  <r>
    <x v="670"/>
    <x v="1"/>
    <x v="79"/>
    <x v="0"/>
    <x v="24"/>
    <x v="2"/>
    <x v="205"/>
    <x v="72"/>
    <x v="0"/>
    <x v="0"/>
  </r>
  <r>
    <x v="670"/>
    <x v="2"/>
    <x v="66"/>
    <x v="0"/>
    <x v="45"/>
    <x v="0"/>
    <x v="206"/>
    <x v="59"/>
    <x v="6"/>
    <x v="6"/>
  </r>
  <r>
    <x v="670"/>
    <x v="3"/>
    <x v="4"/>
    <x v="0"/>
    <x v="3"/>
    <x v="1"/>
    <x v="123"/>
    <x v="4"/>
    <x v="1"/>
    <x v="1"/>
  </r>
  <r>
    <x v="670"/>
    <x v="4"/>
    <x v="36"/>
    <x v="1"/>
    <x v="24"/>
    <x v="1"/>
    <x v="207"/>
    <x v="32"/>
    <x v="5"/>
    <x v="5"/>
  </r>
  <r>
    <x v="671"/>
    <x v="0"/>
    <x v="80"/>
    <x v="1"/>
    <x v="53"/>
    <x v="1"/>
    <x v="208"/>
    <x v="73"/>
    <x v="6"/>
    <x v="6"/>
  </r>
  <r>
    <x v="671"/>
    <x v="1"/>
    <x v="81"/>
    <x v="1"/>
    <x v="29"/>
    <x v="0"/>
    <x v="209"/>
    <x v="74"/>
    <x v="4"/>
    <x v="4"/>
  </r>
  <r>
    <x v="671"/>
    <x v="2"/>
    <x v="74"/>
    <x v="1"/>
    <x v="42"/>
    <x v="1"/>
    <x v="177"/>
    <x v="67"/>
    <x v="6"/>
    <x v="6"/>
  </r>
  <r>
    <x v="672"/>
    <x v="0"/>
    <x v="82"/>
    <x v="0"/>
    <x v="34"/>
    <x v="0"/>
    <x v="210"/>
    <x v="75"/>
    <x v="0"/>
    <x v="0"/>
  </r>
  <r>
    <x v="672"/>
    <x v="1"/>
    <x v="83"/>
    <x v="0"/>
    <x v="8"/>
    <x v="0"/>
    <x v="57"/>
    <x v="76"/>
    <x v="1"/>
    <x v="1"/>
  </r>
  <r>
    <x v="672"/>
    <x v="2"/>
    <x v="21"/>
    <x v="0"/>
    <x v="16"/>
    <x v="1"/>
    <x v="105"/>
    <x v="18"/>
    <x v="1"/>
    <x v="1"/>
  </r>
  <r>
    <x v="672"/>
    <x v="3"/>
    <x v="17"/>
    <x v="0"/>
    <x v="11"/>
    <x v="3"/>
    <x v="21"/>
    <x v="15"/>
    <x v="0"/>
    <x v="0"/>
  </r>
  <r>
    <x v="673"/>
    <x v="0"/>
    <x v="8"/>
    <x v="1"/>
    <x v="0"/>
    <x v="0"/>
    <x v="24"/>
    <x v="3"/>
    <x v="0"/>
    <x v="0"/>
  </r>
  <r>
    <x v="674"/>
    <x v="0"/>
    <x v="7"/>
    <x v="0"/>
    <x v="6"/>
    <x v="2"/>
    <x v="113"/>
    <x v="7"/>
    <x v="0"/>
    <x v="0"/>
  </r>
  <r>
    <x v="674"/>
    <x v="1"/>
    <x v="84"/>
    <x v="1"/>
    <x v="30"/>
    <x v="2"/>
    <x v="211"/>
    <x v="77"/>
    <x v="4"/>
    <x v="4"/>
  </r>
  <r>
    <x v="674"/>
    <x v="2"/>
    <x v="23"/>
    <x v="0"/>
    <x v="7"/>
    <x v="1"/>
    <x v="10"/>
    <x v="20"/>
    <x v="0"/>
    <x v="0"/>
  </r>
  <r>
    <x v="674"/>
    <x v="3"/>
    <x v="33"/>
    <x v="0"/>
    <x v="14"/>
    <x v="0"/>
    <x v="63"/>
    <x v="29"/>
    <x v="1"/>
    <x v="1"/>
  </r>
  <r>
    <x v="675"/>
    <x v="0"/>
    <x v="63"/>
    <x v="0"/>
    <x v="43"/>
    <x v="0"/>
    <x v="212"/>
    <x v="56"/>
    <x v="0"/>
    <x v="0"/>
  </r>
  <r>
    <x v="675"/>
    <x v="1"/>
    <x v="77"/>
    <x v="1"/>
    <x v="51"/>
    <x v="1"/>
    <x v="213"/>
    <x v="70"/>
    <x v="5"/>
    <x v="5"/>
  </r>
  <r>
    <x v="675"/>
    <x v="2"/>
    <x v="24"/>
    <x v="0"/>
    <x v="8"/>
    <x v="3"/>
    <x v="98"/>
    <x v="9"/>
    <x v="0"/>
    <x v="0"/>
  </r>
  <r>
    <x v="675"/>
    <x v="3"/>
    <x v="61"/>
    <x v="0"/>
    <x v="4"/>
    <x v="0"/>
    <x v="90"/>
    <x v="54"/>
    <x v="1"/>
    <x v="1"/>
  </r>
  <r>
    <x v="676"/>
    <x v="0"/>
    <x v="85"/>
    <x v="0"/>
    <x v="0"/>
    <x v="1"/>
    <x v="5"/>
    <x v="78"/>
    <x v="0"/>
    <x v="0"/>
  </r>
  <r>
    <x v="676"/>
    <x v="1"/>
    <x v="14"/>
    <x v="1"/>
    <x v="12"/>
    <x v="1"/>
    <x v="102"/>
    <x v="13"/>
    <x v="1"/>
    <x v="1"/>
  </r>
  <r>
    <x v="676"/>
    <x v="2"/>
    <x v="86"/>
    <x v="1"/>
    <x v="54"/>
    <x v="1"/>
    <x v="214"/>
    <x v="79"/>
    <x v="5"/>
    <x v="5"/>
  </r>
  <r>
    <x v="676"/>
    <x v="3"/>
    <x v="87"/>
    <x v="1"/>
    <x v="29"/>
    <x v="2"/>
    <x v="215"/>
    <x v="80"/>
    <x v="4"/>
    <x v="4"/>
  </r>
  <r>
    <x v="676"/>
    <x v="4"/>
    <x v="59"/>
    <x v="1"/>
    <x v="41"/>
    <x v="3"/>
    <x v="216"/>
    <x v="52"/>
    <x v="6"/>
    <x v="6"/>
  </r>
  <r>
    <x v="677"/>
    <x v="0"/>
    <x v="58"/>
    <x v="1"/>
    <x v="40"/>
    <x v="2"/>
    <x v="217"/>
    <x v="51"/>
    <x v="6"/>
    <x v="6"/>
  </r>
  <r>
    <x v="677"/>
    <x v="1"/>
    <x v="88"/>
    <x v="1"/>
    <x v="55"/>
    <x v="1"/>
    <x v="218"/>
    <x v="81"/>
    <x v="1"/>
    <x v="1"/>
  </r>
  <r>
    <x v="678"/>
    <x v="0"/>
    <x v="12"/>
    <x v="1"/>
    <x v="10"/>
    <x v="0"/>
    <x v="48"/>
    <x v="11"/>
    <x v="0"/>
    <x v="0"/>
  </r>
  <r>
    <x v="678"/>
    <x v="1"/>
    <x v="56"/>
    <x v="1"/>
    <x v="39"/>
    <x v="2"/>
    <x v="219"/>
    <x v="49"/>
    <x v="4"/>
    <x v="4"/>
  </r>
  <r>
    <x v="679"/>
    <x v="0"/>
    <x v="89"/>
    <x v="1"/>
    <x v="56"/>
    <x v="2"/>
    <x v="220"/>
    <x v="82"/>
    <x v="0"/>
    <x v="0"/>
  </r>
  <r>
    <x v="679"/>
    <x v="1"/>
    <x v="14"/>
    <x v="0"/>
    <x v="12"/>
    <x v="0"/>
    <x v="137"/>
    <x v="13"/>
    <x v="1"/>
    <x v="1"/>
  </r>
  <r>
    <x v="679"/>
    <x v="2"/>
    <x v="69"/>
    <x v="0"/>
    <x v="47"/>
    <x v="1"/>
    <x v="221"/>
    <x v="62"/>
    <x v="6"/>
    <x v="6"/>
  </r>
  <r>
    <x v="680"/>
    <x v="0"/>
    <x v="90"/>
    <x v="0"/>
    <x v="43"/>
    <x v="2"/>
    <x v="178"/>
    <x v="83"/>
    <x v="0"/>
    <x v="0"/>
  </r>
  <r>
    <x v="680"/>
    <x v="1"/>
    <x v="65"/>
    <x v="0"/>
    <x v="25"/>
    <x v="1"/>
    <x v="222"/>
    <x v="58"/>
    <x v="2"/>
    <x v="2"/>
  </r>
  <r>
    <x v="680"/>
    <x v="2"/>
    <x v="32"/>
    <x v="0"/>
    <x v="23"/>
    <x v="0"/>
    <x v="223"/>
    <x v="28"/>
    <x v="3"/>
    <x v="3"/>
  </r>
  <r>
    <x v="680"/>
    <x v="3"/>
    <x v="18"/>
    <x v="1"/>
    <x v="14"/>
    <x v="2"/>
    <x v="124"/>
    <x v="16"/>
    <x v="1"/>
    <x v="1"/>
  </r>
  <r>
    <x v="680"/>
    <x v="4"/>
    <x v="34"/>
    <x v="0"/>
    <x v="4"/>
    <x v="1"/>
    <x v="133"/>
    <x v="30"/>
    <x v="1"/>
    <x v="1"/>
  </r>
  <r>
    <x v="681"/>
    <x v="0"/>
    <x v="62"/>
    <x v="0"/>
    <x v="42"/>
    <x v="0"/>
    <x v="224"/>
    <x v="55"/>
    <x v="1"/>
    <x v="1"/>
  </r>
  <r>
    <x v="681"/>
    <x v="1"/>
    <x v="91"/>
    <x v="1"/>
    <x v="57"/>
    <x v="0"/>
    <x v="225"/>
    <x v="84"/>
    <x v="3"/>
    <x v="3"/>
  </r>
  <r>
    <x v="681"/>
    <x v="2"/>
    <x v="40"/>
    <x v="0"/>
    <x v="15"/>
    <x v="0"/>
    <x v="122"/>
    <x v="35"/>
    <x v="4"/>
    <x v="4"/>
  </r>
  <r>
    <x v="682"/>
    <x v="0"/>
    <x v="6"/>
    <x v="1"/>
    <x v="5"/>
    <x v="3"/>
    <x v="8"/>
    <x v="6"/>
    <x v="1"/>
    <x v="1"/>
  </r>
  <r>
    <x v="683"/>
    <x v="0"/>
    <x v="28"/>
    <x v="0"/>
    <x v="21"/>
    <x v="1"/>
    <x v="226"/>
    <x v="24"/>
    <x v="6"/>
    <x v="6"/>
  </r>
  <r>
    <x v="683"/>
    <x v="1"/>
    <x v="57"/>
    <x v="0"/>
    <x v="14"/>
    <x v="3"/>
    <x v="107"/>
    <x v="50"/>
    <x v="1"/>
    <x v="1"/>
  </r>
  <r>
    <x v="684"/>
    <x v="0"/>
    <x v="64"/>
    <x v="0"/>
    <x v="44"/>
    <x v="2"/>
    <x v="227"/>
    <x v="57"/>
    <x v="6"/>
    <x v="6"/>
  </r>
  <r>
    <x v="684"/>
    <x v="1"/>
    <x v="74"/>
    <x v="1"/>
    <x v="42"/>
    <x v="2"/>
    <x v="199"/>
    <x v="67"/>
    <x v="6"/>
    <x v="6"/>
  </r>
  <r>
    <x v="684"/>
    <x v="2"/>
    <x v="92"/>
    <x v="0"/>
    <x v="24"/>
    <x v="2"/>
    <x v="205"/>
    <x v="72"/>
    <x v="0"/>
    <x v="0"/>
  </r>
  <r>
    <x v="684"/>
    <x v="3"/>
    <x v="72"/>
    <x v="1"/>
    <x v="26"/>
    <x v="0"/>
    <x v="195"/>
    <x v="65"/>
    <x v="4"/>
    <x v="4"/>
  </r>
  <r>
    <x v="684"/>
    <x v="4"/>
    <x v="28"/>
    <x v="1"/>
    <x v="21"/>
    <x v="2"/>
    <x v="228"/>
    <x v="24"/>
    <x v="6"/>
    <x v="6"/>
  </r>
  <r>
    <x v="685"/>
    <x v="0"/>
    <x v="3"/>
    <x v="0"/>
    <x v="0"/>
    <x v="0"/>
    <x v="0"/>
    <x v="3"/>
    <x v="0"/>
    <x v="0"/>
  </r>
  <r>
    <x v="685"/>
    <x v="1"/>
    <x v="34"/>
    <x v="0"/>
    <x v="4"/>
    <x v="3"/>
    <x v="16"/>
    <x v="30"/>
    <x v="1"/>
    <x v="1"/>
  </r>
  <r>
    <x v="685"/>
    <x v="2"/>
    <x v="54"/>
    <x v="1"/>
    <x v="37"/>
    <x v="0"/>
    <x v="229"/>
    <x v="47"/>
    <x v="4"/>
    <x v="4"/>
  </r>
  <r>
    <x v="685"/>
    <x v="3"/>
    <x v="23"/>
    <x v="1"/>
    <x v="7"/>
    <x v="0"/>
    <x v="83"/>
    <x v="20"/>
    <x v="0"/>
    <x v="0"/>
  </r>
  <r>
    <x v="685"/>
    <x v="4"/>
    <x v="77"/>
    <x v="0"/>
    <x v="51"/>
    <x v="0"/>
    <x v="230"/>
    <x v="70"/>
    <x v="5"/>
    <x v="5"/>
  </r>
  <r>
    <x v="686"/>
    <x v="0"/>
    <x v="74"/>
    <x v="1"/>
    <x v="42"/>
    <x v="2"/>
    <x v="199"/>
    <x v="67"/>
    <x v="6"/>
    <x v="6"/>
  </r>
  <r>
    <x v="686"/>
    <x v="1"/>
    <x v="43"/>
    <x v="0"/>
    <x v="15"/>
    <x v="1"/>
    <x v="75"/>
    <x v="31"/>
    <x v="0"/>
    <x v="0"/>
  </r>
  <r>
    <x v="686"/>
    <x v="2"/>
    <x v="21"/>
    <x v="1"/>
    <x v="16"/>
    <x v="0"/>
    <x v="95"/>
    <x v="18"/>
    <x v="1"/>
    <x v="1"/>
  </r>
  <r>
    <x v="686"/>
    <x v="3"/>
    <x v="56"/>
    <x v="0"/>
    <x v="39"/>
    <x v="1"/>
    <x v="231"/>
    <x v="49"/>
    <x v="4"/>
    <x v="4"/>
  </r>
  <r>
    <x v="687"/>
    <x v="0"/>
    <x v="1"/>
    <x v="0"/>
    <x v="1"/>
    <x v="3"/>
    <x v="112"/>
    <x v="1"/>
    <x v="1"/>
    <x v="1"/>
  </r>
  <r>
    <x v="687"/>
    <x v="1"/>
    <x v="54"/>
    <x v="0"/>
    <x v="37"/>
    <x v="2"/>
    <x v="232"/>
    <x v="47"/>
    <x v="4"/>
    <x v="4"/>
  </r>
  <r>
    <x v="688"/>
    <x v="0"/>
    <x v="57"/>
    <x v="1"/>
    <x v="14"/>
    <x v="3"/>
    <x v="110"/>
    <x v="50"/>
    <x v="1"/>
    <x v="1"/>
  </r>
  <r>
    <x v="689"/>
    <x v="0"/>
    <x v="73"/>
    <x v="0"/>
    <x v="49"/>
    <x v="0"/>
    <x v="233"/>
    <x v="66"/>
    <x v="4"/>
    <x v="4"/>
  </r>
  <r>
    <x v="689"/>
    <x v="1"/>
    <x v="16"/>
    <x v="1"/>
    <x v="13"/>
    <x v="1"/>
    <x v="136"/>
    <x v="14"/>
    <x v="2"/>
    <x v="2"/>
  </r>
  <r>
    <x v="689"/>
    <x v="2"/>
    <x v="25"/>
    <x v="0"/>
    <x v="18"/>
    <x v="2"/>
    <x v="161"/>
    <x v="21"/>
    <x v="4"/>
    <x v="4"/>
  </r>
  <r>
    <x v="689"/>
    <x v="3"/>
    <x v="36"/>
    <x v="1"/>
    <x v="24"/>
    <x v="0"/>
    <x v="151"/>
    <x v="32"/>
    <x v="5"/>
    <x v="5"/>
  </r>
  <r>
    <x v="690"/>
    <x v="0"/>
    <x v="19"/>
    <x v="1"/>
    <x v="15"/>
    <x v="2"/>
    <x v="89"/>
    <x v="17"/>
    <x v="4"/>
    <x v="4"/>
  </r>
  <r>
    <x v="690"/>
    <x v="1"/>
    <x v="21"/>
    <x v="1"/>
    <x v="16"/>
    <x v="3"/>
    <x v="87"/>
    <x v="18"/>
    <x v="1"/>
    <x v="1"/>
  </r>
  <r>
    <x v="690"/>
    <x v="2"/>
    <x v="66"/>
    <x v="1"/>
    <x v="45"/>
    <x v="0"/>
    <x v="234"/>
    <x v="59"/>
    <x v="6"/>
    <x v="6"/>
  </r>
  <r>
    <x v="690"/>
    <x v="3"/>
    <x v="0"/>
    <x v="0"/>
    <x v="0"/>
    <x v="0"/>
    <x v="0"/>
    <x v="0"/>
    <x v="0"/>
    <x v="0"/>
  </r>
  <r>
    <x v="691"/>
    <x v="0"/>
    <x v="64"/>
    <x v="0"/>
    <x v="44"/>
    <x v="0"/>
    <x v="235"/>
    <x v="57"/>
    <x v="6"/>
    <x v="6"/>
  </r>
  <r>
    <x v="691"/>
    <x v="1"/>
    <x v="85"/>
    <x v="0"/>
    <x v="0"/>
    <x v="1"/>
    <x v="5"/>
    <x v="78"/>
    <x v="0"/>
    <x v="0"/>
  </r>
  <r>
    <x v="691"/>
    <x v="2"/>
    <x v="12"/>
    <x v="1"/>
    <x v="10"/>
    <x v="1"/>
    <x v="109"/>
    <x v="11"/>
    <x v="0"/>
    <x v="0"/>
  </r>
  <r>
    <x v="691"/>
    <x v="3"/>
    <x v="28"/>
    <x v="1"/>
    <x v="21"/>
    <x v="3"/>
    <x v="236"/>
    <x v="24"/>
    <x v="6"/>
    <x v="6"/>
  </r>
  <r>
    <x v="692"/>
    <x v="0"/>
    <x v="77"/>
    <x v="1"/>
    <x v="51"/>
    <x v="0"/>
    <x v="203"/>
    <x v="70"/>
    <x v="5"/>
    <x v="5"/>
  </r>
  <r>
    <x v="692"/>
    <x v="1"/>
    <x v="17"/>
    <x v="0"/>
    <x v="11"/>
    <x v="0"/>
    <x v="51"/>
    <x v="15"/>
    <x v="0"/>
    <x v="0"/>
  </r>
  <r>
    <x v="692"/>
    <x v="2"/>
    <x v="21"/>
    <x v="1"/>
    <x v="16"/>
    <x v="2"/>
    <x v="131"/>
    <x v="18"/>
    <x v="1"/>
    <x v="1"/>
  </r>
  <r>
    <x v="692"/>
    <x v="3"/>
    <x v="93"/>
    <x v="0"/>
    <x v="58"/>
    <x v="1"/>
    <x v="237"/>
    <x v="85"/>
    <x v="1"/>
    <x v="1"/>
  </r>
  <r>
    <x v="693"/>
    <x v="0"/>
    <x v="74"/>
    <x v="0"/>
    <x v="42"/>
    <x v="0"/>
    <x v="224"/>
    <x v="67"/>
    <x v="6"/>
    <x v="6"/>
  </r>
  <r>
    <x v="693"/>
    <x v="1"/>
    <x v="62"/>
    <x v="0"/>
    <x v="42"/>
    <x v="2"/>
    <x v="196"/>
    <x v="55"/>
    <x v="1"/>
    <x v="1"/>
  </r>
  <r>
    <x v="693"/>
    <x v="2"/>
    <x v="66"/>
    <x v="1"/>
    <x v="45"/>
    <x v="3"/>
    <x v="183"/>
    <x v="59"/>
    <x v="6"/>
    <x v="6"/>
  </r>
  <r>
    <x v="693"/>
    <x v="3"/>
    <x v="27"/>
    <x v="1"/>
    <x v="20"/>
    <x v="0"/>
    <x v="238"/>
    <x v="23"/>
    <x v="5"/>
    <x v="5"/>
  </r>
  <r>
    <x v="693"/>
    <x v="4"/>
    <x v="78"/>
    <x v="1"/>
    <x v="52"/>
    <x v="3"/>
    <x v="239"/>
    <x v="71"/>
    <x v="1"/>
    <x v="1"/>
  </r>
  <r>
    <x v="694"/>
    <x v="0"/>
    <x v="90"/>
    <x v="1"/>
    <x v="43"/>
    <x v="3"/>
    <x v="240"/>
    <x v="83"/>
    <x v="0"/>
    <x v="0"/>
  </r>
  <r>
    <x v="694"/>
    <x v="1"/>
    <x v="94"/>
    <x v="1"/>
    <x v="59"/>
    <x v="0"/>
    <x v="241"/>
    <x v="86"/>
    <x v="6"/>
    <x v="6"/>
  </r>
  <r>
    <x v="695"/>
    <x v="0"/>
    <x v="54"/>
    <x v="1"/>
    <x v="37"/>
    <x v="1"/>
    <x v="170"/>
    <x v="47"/>
    <x v="4"/>
    <x v="4"/>
  </r>
  <r>
    <x v="695"/>
    <x v="1"/>
    <x v="14"/>
    <x v="0"/>
    <x v="12"/>
    <x v="3"/>
    <x v="40"/>
    <x v="13"/>
    <x v="1"/>
    <x v="1"/>
  </r>
  <r>
    <x v="695"/>
    <x v="2"/>
    <x v="78"/>
    <x v="0"/>
    <x v="52"/>
    <x v="1"/>
    <x v="242"/>
    <x v="71"/>
    <x v="1"/>
    <x v="1"/>
  </r>
  <r>
    <x v="696"/>
    <x v="0"/>
    <x v="21"/>
    <x v="1"/>
    <x v="16"/>
    <x v="2"/>
    <x v="131"/>
    <x v="18"/>
    <x v="1"/>
    <x v="1"/>
  </r>
  <r>
    <x v="697"/>
    <x v="0"/>
    <x v="81"/>
    <x v="0"/>
    <x v="29"/>
    <x v="1"/>
    <x v="243"/>
    <x v="74"/>
    <x v="4"/>
    <x v="4"/>
  </r>
  <r>
    <x v="697"/>
    <x v="1"/>
    <x v="10"/>
    <x v="0"/>
    <x v="8"/>
    <x v="1"/>
    <x v="77"/>
    <x v="9"/>
    <x v="0"/>
    <x v="0"/>
  </r>
  <r>
    <x v="697"/>
    <x v="2"/>
    <x v="95"/>
    <x v="1"/>
    <x v="23"/>
    <x v="2"/>
    <x v="244"/>
    <x v="87"/>
    <x v="1"/>
    <x v="1"/>
  </r>
  <r>
    <x v="698"/>
    <x v="0"/>
    <x v="26"/>
    <x v="1"/>
    <x v="19"/>
    <x v="3"/>
    <x v="145"/>
    <x v="22"/>
    <x v="0"/>
    <x v="0"/>
  </r>
  <r>
    <x v="698"/>
    <x v="1"/>
    <x v="74"/>
    <x v="0"/>
    <x v="42"/>
    <x v="1"/>
    <x v="245"/>
    <x v="67"/>
    <x v="6"/>
    <x v="6"/>
  </r>
  <r>
    <x v="698"/>
    <x v="2"/>
    <x v="93"/>
    <x v="0"/>
    <x v="58"/>
    <x v="0"/>
    <x v="246"/>
    <x v="85"/>
    <x v="1"/>
    <x v="1"/>
  </r>
  <r>
    <x v="698"/>
    <x v="3"/>
    <x v="24"/>
    <x v="1"/>
    <x v="8"/>
    <x v="3"/>
    <x v="97"/>
    <x v="9"/>
    <x v="0"/>
    <x v="0"/>
  </r>
  <r>
    <x v="698"/>
    <x v="4"/>
    <x v="90"/>
    <x v="1"/>
    <x v="43"/>
    <x v="0"/>
    <x v="247"/>
    <x v="83"/>
    <x v="0"/>
    <x v="0"/>
  </r>
  <r>
    <x v="699"/>
    <x v="0"/>
    <x v="14"/>
    <x v="1"/>
    <x v="12"/>
    <x v="2"/>
    <x v="74"/>
    <x v="13"/>
    <x v="1"/>
    <x v="1"/>
  </r>
  <r>
    <x v="699"/>
    <x v="1"/>
    <x v="65"/>
    <x v="0"/>
    <x v="25"/>
    <x v="0"/>
    <x v="152"/>
    <x v="58"/>
    <x v="2"/>
    <x v="2"/>
  </r>
  <r>
    <x v="700"/>
    <x v="0"/>
    <x v="73"/>
    <x v="0"/>
    <x v="49"/>
    <x v="2"/>
    <x v="248"/>
    <x v="66"/>
    <x v="4"/>
    <x v="4"/>
  </r>
  <r>
    <x v="701"/>
    <x v="0"/>
    <x v="22"/>
    <x v="1"/>
    <x v="17"/>
    <x v="2"/>
    <x v="41"/>
    <x v="19"/>
    <x v="5"/>
    <x v="5"/>
  </r>
  <r>
    <x v="701"/>
    <x v="1"/>
    <x v="77"/>
    <x v="0"/>
    <x v="51"/>
    <x v="3"/>
    <x v="249"/>
    <x v="70"/>
    <x v="5"/>
    <x v="5"/>
  </r>
  <r>
    <x v="701"/>
    <x v="2"/>
    <x v="5"/>
    <x v="1"/>
    <x v="4"/>
    <x v="1"/>
    <x v="13"/>
    <x v="5"/>
    <x v="1"/>
    <x v="1"/>
  </r>
  <r>
    <x v="702"/>
    <x v="0"/>
    <x v="78"/>
    <x v="1"/>
    <x v="52"/>
    <x v="0"/>
    <x v="250"/>
    <x v="71"/>
    <x v="1"/>
    <x v="1"/>
  </r>
  <r>
    <x v="702"/>
    <x v="1"/>
    <x v="82"/>
    <x v="1"/>
    <x v="34"/>
    <x v="2"/>
    <x v="251"/>
    <x v="75"/>
    <x v="0"/>
    <x v="0"/>
  </r>
  <r>
    <x v="702"/>
    <x v="2"/>
    <x v="31"/>
    <x v="0"/>
    <x v="22"/>
    <x v="0"/>
    <x v="252"/>
    <x v="27"/>
    <x v="0"/>
    <x v="0"/>
  </r>
  <r>
    <x v="702"/>
    <x v="3"/>
    <x v="4"/>
    <x v="1"/>
    <x v="3"/>
    <x v="0"/>
    <x v="84"/>
    <x v="4"/>
    <x v="1"/>
    <x v="1"/>
  </r>
  <r>
    <x v="703"/>
    <x v="0"/>
    <x v="2"/>
    <x v="1"/>
    <x v="2"/>
    <x v="2"/>
    <x v="2"/>
    <x v="2"/>
    <x v="2"/>
    <x v="2"/>
  </r>
  <r>
    <x v="703"/>
    <x v="1"/>
    <x v="37"/>
    <x v="0"/>
    <x v="25"/>
    <x v="0"/>
    <x v="152"/>
    <x v="33"/>
    <x v="2"/>
    <x v="2"/>
  </r>
  <r>
    <x v="703"/>
    <x v="2"/>
    <x v="96"/>
    <x v="1"/>
    <x v="26"/>
    <x v="1"/>
    <x v="184"/>
    <x v="88"/>
    <x v="4"/>
    <x v="4"/>
  </r>
  <r>
    <x v="704"/>
    <x v="0"/>
    <x v="32"/>
    <x v="0"/>
    <x v="23"/>
    <x v="3"/>
    <x v="253"/>
    <x v="28"/>
    <x v="3"/>
    <x v="3"/>
  </r>
  <r>
    <x v="705"/>
    <x v="0"/>
    <x v="97"/>
    <x v="0"/>
    <x v="4"/>
    <x v="3"/>
    <x v="16"/>
    <x v="89"/>
    <x v="1"/>
    <x v="1"/>
  </r>
  <r>
    <x v="705"/>
    <x v="1"/>
    <x v="19"/>
    <x v="1"/>
    <x v="15"/>
    <x v="2"/>
    <x v="89"/>
    <x v="17"/>
    <x v="4"/>
    <x v="4"/>
  </r>
  <r>
    <x v="705"/>
    <x v="2"/>
    <x v="91"/>
    <x v="0"/>
    <x v="57"/>
    <x v="0"/>
    <x v="254"/>
    <x v="84"/>
    <x v="3"/>
    <x v="3"/>
  </r>
  <r>
    <x v="706"/>
    <x v="0"/>
    <x v="26"/>
    <x v="1"/>
    <x v="19"/>
    <x v="2"/>
    <x v="150"/>
    <x v="22"/>
    <x v="0"/>
    <x v="0"/>
  </r>
  <r>
    <x v="706"/>
    <x v="1"/>
    <x v="96"/>
    <x v="0"/>
    <x v="26"/>
    <x v="1"/>
    <x v="255"/>
    <x v="88"/>
    <x v="4"/>
    <x v="4"/>
  </r>
  <r>
    <x v="706"/>
    <x v="2"/>
    <x v="16"/>
    <x v="1"/>
    <x v="13"/>
    <x v="3"/>
    <x v="104"/>
    <x v="14"/>
    <x v="2"/>
    <x v="2"/>
  </r>
  <r>
    <x v="706"/>
    <x v="3"/>
    <x v="8"/>
    <x v="1"/>
    <x v="0"/>
    <x v="3"/>
    <x v="28"/>
    <x v="3"/>
    <x v="0"/>
    <x v="0"/>
  </r>
  <r>
    <x v="707"/>
    <x v="0"/>
    <x v="18"/>
    <x v="0"/>
    <x v="14"/>
    <x v="1"/>
    <x v="29"/>
    <x v="16"/>
    <x v="1"/>
    <x v="1"/>
  </r>
  <r>
    <x v="707"/>
    <x v="1"/>
    <x v="42"/>
    <x v="0"/>
    <x v="28"/>
    <x v="3"/>
    <x v="168"/>
    <x v="37"/>
    <x v="1"/>
    <x v="1"/>
  </r>
  <r>
    <x v="707"/>
    <x v="2"/>
    <x v="98"/>
    <x v="1"/>
    <x v="14"/>
    <x v="0"/>
    <x v="117"/>
    <x v="90"/>
    <x v="1"/>
    <x v="1"/>
  </r>
  <r>
    <x v="708"/>
    <x v="0"/>
    <x v="66"/>
    <x v="1"/>
    <x v="45"/>
    <x v="2"/>
    <x v="256"/>
    <x v="59"/>
    <x v="6"/>
    <x v="6"/>
  </r>
  <r>
    <x v="708"/>
    <x v="1"/>
    <x v="70"/>
    <x v="1"/>
    <x v="48"/>
    <x v="1"/>
    <x v="257"/>
    <x v="63"/>
    <x v="4"/>
    <x v="4"/>
  </r>
  <r>
    <x v="708"/>
    <x v="2"/>
    <x v="74"/>
    <x v="0"/>
    <x v="42"/>
    <x v="1"/>
    <x v="245"/>
    <x v="67"/>
    <x v="6"/>
    <x v="6"/>
  </r>
  <r>
    <x v="709"/>
    <x v="0"/>
    <x v="41"/>
    <x v="0"/>
    <x v="27"/>
    <x v="2"/>
    <x v="258"/>
    <x v="36"/>
    <x v="1"/>
    <x v="1"/>
  </r>
  <r>
    <x v="709"/>
    <x v="1"/>
    <x v="91"/>
    <x v="1"/>
    <x v="57"/>
    <x v="0"/>
    <x v="225"/>
    <x v="84"/>
    <x v="3"/>
    <x v="3"/>
  </r>
  <r>
    <x v="709"/>
    <x v="2"/>
    <x v="62"/>
    <x v="1"/>
    <x v="42"/>
    <x v="0"/>
    <x v="259"/>
    <x v="55"/>
    <x v="1"/>
    <x v="1"/>
  </r>
  <r>
    <x v="709"/>
    <x v="3"/>
    <x v="94"/>
    <x v="0"/>
    <x v="59"/>
    <x v="0"/>
    <x v="260"/>
    <x v="86"/>
    <x v="6"/>
    <x v="6"/>
  </r>
  <r>
    <x v="709"/>
    <x v="4"/>
    <x v="76"/>
    <x v="0"/>
    <x v="50"/>
    <x v="2"/>
    <x v="261"/>
    <x v="69"/>
    <x v="1"/>
    <x v="1"/>
  </r>
  <r>
    <x v="710"/>
    <x v="0"/>
    <x v="21"/>
    <x v="1"/>
    <x v="16"/>
    <x v="2"/>
    <x v="131"/>
    <x v="18"/>
    <x v="1"/>
    <x v="1"/>
  </r>
  <r>
    <x v="710"/>
    <x v="1"/>
    <x v="43"/>
    <x v="1"/>
    <x v="15"/>
    <x v="0"/>
    <x v="33"/>
    <x v="31"/>
    <x v="0"/>
    <x v="0"/>
  </r>
  <r>
    <x v="710"/>
    <x v="2"/>
    <x v="31"/>
    <x v="1"/>
    <x v="22"/>
    <x v="2"/>
    <x v="262"/>
    <x v="27"/>
    <x v="0"/>
    <x v="0"/>
  </r>
  <r>
    <x v="711"/>
    <x v="0"/>
    <x v="99"/>
    <x v="1"/>
    <x v="60"/>
    <x v="0"/>
    <x v="263"/>
    <x v="91"/>
    <x v="1"/>
    <x v="1"/>
  </r>
  <r>
    <x v="711"/>
    <x v="1"/>
    <x v="51"/>
    <x v="1"/>
    <x v="35"/>
    <x v="3"/>
    <x v="264"/>
    <x v="44"/>
    <x v="0"/>
    <x v="0"/>
  </r>
  <r>
    <x v="711"/>
    <x v="2"/>
    <x v="100"/>
    <x v="0"/>
    <x v="61"/>
    <x v="0"/>
    <x v="265"/>
    <x v="92"/>
    <x v="1"/>
    <x v="1"/>
  </r>
  <r>
    <x v="711"/>
    <x v="3"/>
    <x v="35"/>
    <x v="0"/>
    <x v="15"/>
    <x v="0"/>
    <x v="122"/>
    <x v="31"/>
    <x v="0"/>
    <x v="0"/>
  </r>
  <r>
    <x v="711"/>
    <x v="4"/>
    <x v="4"/>
    <x v="1"/>
    <x v="3"/>
    <x v="2"/>
    <x v="49"/>
    <x v="4"/>
    <x v="1"/>
    <x v="1"/>
  </r>
  <r>
    <x v="712"/>
    <x v="0"/>
    <x v="101"/>
    <x v="1"/>
    <x v="30"/>
    <x v="0"/>
    <x v="266"/>
    <x v="93"/>
    <x v="4"/>
    <x v="4"/>
  </r>
  <r>
    <x v="712"/>
    <x v="1"/>
    <x v="44"/>
    <x v="1"/>
    <x v="29"/>
    <x v="3"/>
    <x v="157"/>
    <x v="38"/>
    <x v="4"/>
    <x v="4"/>
  </r>
  <r>
    <x v="712"/>
    <x v="2"/>
    <x v="29"/>
    <x v="0"/>
    <x v="5"/>
    <x v="1"/>
    <x v="116"/>
    <x v="25"/>
    <x v="6"/>
    <x v="6"/>
  </r>
  <r>
    <x v="712"/>
    <x v="3"/>
    <x v="75"/>
    <x v="1"/>
    <x v="19"/>
    <x v="1"/>
    <x v="154"/>
    <x v="68"/>
    <x v="5"/>
    <x v="5"/>
  </r>
  <r>
    <x v="713"/>
    <x v="0"/>
    <x v="102"/>
    <x v="1"/>
    <x v="30"/>
    <x v="0"/>
    <x v="266"/>
    <x v="94"/>
    <x v="4"/>
    <x v="4"/>
  </r>
  <r>
    <x v="714"/>
    <x v="0"/>
    <x v="32"/>
    <x v="1"/>
    <x v="23"/>
    <x v="3"/>
    <x v="149"/>
    <x v="28"/>
    <x v="3"/>
    <x v="3"/>
  </r>
  <r>
    <x v="714"/>
    <x v="1"/>
    <x v="69"/>
    <x v="0"/>
    <x v="47"/>
    <x v="0"/>
    <x v="190"/>
    <x v="62"/>
    <x v="6"/>
    <x v="6"/>
  </r>
  <r>
    <x v="715"/>
    <x v="0"/>
    <x v="103"/>
    <x v="1"/>
    <x v="38"/>
    <x v="3"/>
    <x v="267"/>
    <x v="95"/>
    <x v="5"/>
    <x v="5"/>
  </r>
  <r>
    <x v="715"/>
    <x v="1"/>
    <x v="101"/>
    <x v="1"/>
    <x v="30"/>
    <x v="1"/>
    <x v="268"/>
    <x v="93"/>
    <x v="4"/>
    <x v="4"/>
  </r>
  <r>
    <x v="715"/>
    <x v="2"/>
    <x v="47"/>
    <x v="0"/>
    <x v="32"/>
    <x v="3"/>
    <x v="160"/>
    <x v="41"/>
    <x v="0"/>
    <x v="0"/>
  </r>
  <r>
    <x v="715"/>
    <x v="3"/>
    <x v="4"/>
    <x v="1"/>
    <x v="3"/>
    <x v="2"/>
    <x v="49"/>
    <x v="4"/>
    <x v="1"/>
    <x v="1"/>
  </r>
  <r>
    <x v="716"/>
    <x v="0"/>
    <x v="28"/>
    <x v="1"/>
    <x v="21"/>
    <x v="2"/>
    <x v="228"/>
    <x v="24"/>
    <x v="6"/>
    <x v="6"/>
  </r>
  <r>
    <x v="716"/>
    <x v="1"/>
    <x v="101"/>
    <x v="0"/>
    <x v="30"/>
    <x v="0"/>
    <x v="269"/>
    <x v="93"/>
    <x v="4"/>
    <x v="4"/>
  </r>
  <r>
    <x v="717"/>
    <x v="0"/>
    <x v="102"/>
    <x v="1"/>
    <x v="30"/>
    <x v="1"/>
    <x v="268"/>
    <x v="94"/>
    <x v="4"/>
    <x v="4"/>
  </r>
  <r>
    <x v="717"/>
    <x v="1"/>
    <x v="95"/>
    <x v="1"/>
    <x v="23"/>
    <x v="1"/>
    <x v="179"/>
    <x v="87"/>
    <x v="1"/>
    <x v="1"/>
  </r>
  <r>
    <x v="717"/>
    <x v="2"/>
    <x v="38"/>
    <x v="1"/>
    <x v="26"/>
    <x v="3"/>
    <x v="270"/>
    <x v="34"/>
    <x v="0"/>
    <x v="0"/>
  </r>
  <r>
    <x v="718"/>
    <x v="0"/>
    <x v="96"/>
    <x v="0"/>
    <x v="26"/>
    <x v="0"/>
    <x v="153"/>
    <x v="88"/>
    <x v="4"/>
    <x v="4"/>
  </r>
  <r>
    <x v="719"/>
    <x v="0"/>
    <x v="103"/>
    <x v="0"/>
    <x v="38"/>
    <x v="1"/>
    <x v="271"/>
    <x v="95"/>
    <x v="5"/>
    <x v="5"/>
  </r>
  <r>
    <x v="719"/>
    <x v="1"/>
    <x v="18"/>
    <x v="0"/>
    <x v="14"/>
    <x v="3"/>
    <x v="107"/>
    <x v="16"/>
    <x v="1"/>
    <x v="1"/>
  </r>
  <r>
    <x v="720"/>
    <x v="0"/>
    <x v="78"/>
    <x v="1"/>
    <x v="52"/>
    <x v="1"/>
    <x v="272"/>
    <x v="71"/>
    <x v="1"/>
    <x v="1"/>
  </r>
  <r>
    <x v="720"/>
    <x v="1"/>
    <x v="48"/>
    <x v="0"/>
    <x v="26"/>
    <x v="3"/>
    <x v="164"/>
    <x v="34"/>
    <x v="0"/>
    <x v="0"/>
  </r>
  <r>
    <x v="720"/>
    <x v="2"/>
    <x v="30"/>
    <x v="1"/>
    <x v="5"/>
    <x v="2"/>
    <x v="125"/>
    <x v="26"/>
    <x v="0"/>
    <x v="0"/>
  </r>
  <r>
    <x v="720"/>
    <x v="3"/>
    <x v="57"/>
    <x v="0"/>
    <x v="14"/>
    <x v="0"/>
    <x v="63"/>
    <x v="50"/>
    <x v="1"/>
    <x v="1"/>
  </r>
  <r>
    <x v="721"/>
    <x v="0"/>
    <x v="13"/>
    <x v="1"/>
    <x v="11"/>
    <x v="1"/>
    <x v="35"/>
    <x v="12"/>
    <x v="0"/>
    <x v="0"/>
  </r>
  <r>
    <x v="721"/>
    <x v="1"/>
    <x v="5"/>
    <x v="0"/>
    <x v="4"/>
    <x v="2"/>
    <x v="6"/>
    <x v="5"/>
    <x v="1"/>
    <x v="1"/>
  </r>
  <r>
    <x v="721"/>
    <x v="2"/>
    <x v="77"/>
    <x v="1"/>
    <x v="51"/>
    <x v="3"/>
    <x v="273"/>
    <x v="70"/>
    <x v="5"/>
    <x v="5"/>
  </r>
  <r>
    <x v="722"/>
    <x v="0"/>
    <x v="24"/>
    <x v="1"/>
    <x v="8"/>
    <x v="1"/>
    <x v="30"/>
    <x v="9"/>
    <x v="0"/>
    <x v="0"/>
  </r>
  <r>
    <x v="722"/>
    <x v="1"/>
    <x v="3"/>
    <x v="0"/>
    <x v="0"/>
    <x v="2"/>
    <x v="7"/>
    <x v="3"/>
    <x v="0"/>
    <x v="0"/>
  </r>
  <r>
    <x v="722"/>
    <x v="2"/>
    <x v="75"/>
    <x v="0"/>
    <x v="19"/>
    <x v="1"/>
    <x v="274"/>
    <x v="68"/>
    <x v="5"/>
    <x v="5"/>
  </r>
  <r>
    <x v="723"/>
    <x v="0"/>
    <x v="19"/>
    <x v="0"/>
    <x v="15"/>
    <x v="2"/>
    <x v="115"/>
    <x v="17"/>
    <x v="4"/>
    <x v="4"/>
  </r>
  <r>
    <x v="723"/>
    <x v="1"/>
    <x v="85"/>
    <x v="0"/>
    <x v="0"/>
    <x v="0"/>
    <x v="0"/>
    <x v="78"/>
    <x v="0"/>
    <x v="0"/>
  </r>
  <r>
    <x v="723"/>
    <x v="2"/>
    <x v="48"/>
    <x v="0"/>
    <x v="26"/>
    <x v="2"/>
    <x v="275"/>
    <x v="34"/>
    <x v="0"/>
    <x v="0"/>
  </r>
  <r>
    <x v="723"/>
    <x v="3"/>
    <x v="66"/>
    <x v="0"/>
    <x v="45"/>
    <x v="0"/>
    <x v="206"/>
    <x v="59"/>
    <x v="6"/>
    <x v="6"/>
  </r>
  <r>
    <x v="724"/>
    <x v="0"/>
    <x v="45"/>
    <x v="0"/>
    <x v="30"/>
    <x v="3"/>
    <x v="276"/>
    <x v="39"/>
    <x v="4"/>
    <x v="4"/>
  </r>
  <r>
    <x v="724"/>
    <x v="1"/>
    <x v="87"/>
    <x v="0"/>
    <x v="29"/>
    <x v="2"/>
    <x v="277"/>
    <x v="80"/>
    <x v="4"/>
    <x v="4"/>
  </r>
  <r>
    <x v="724"/>
    <x v="2"/>
    <x v="104"/>
    <x v="1"/>
    <x v="62"/>
    <x v="1"/>
    <x v="278"/>
    <x v="96"/>
    <x v="0"/>
    <x v="0"/>
  </r>
  <r>
    <x v="724"/>
    <x v="3"/>
    <x v="37"/>
    <x v="1"/>
    <x v="25"/>
    <x v="3"/>
    <x v="279"/>
    <x v="33"/>
    <x v="2"/>
    <x v="2"/>
  </r>
  <r>
    <x v="725"/>
    <x v="0"/>
    <x v="38"/>
    <x v="0"/>
    <x v="26"/>
    <x v="0"/>
    <x v="153"/>
    <x v="34"/>
    <x v="0"/>
    <x v="0"/>
  </r>
  <r>
    <x v="726"/>
    <x v="0"/>
    <x v="46"/>
    <x v="0"/>
    <x v="31"/>
    <x v="1"/>
    <x v="280"/>
    <x v="40"/>
    <x v="0"/>
    <x v="0"/>
  </r>
  <r>
    <x v="726"/>
    <x v="1"/>
    <x v="90"/>
    <x v="1"/>
    <x v="43"/>
    <x v="2"/>
    <x v="281"/>
    <x v="83"/>
    <x v="0"/>
    <x v="0"/>
  </r>
  <r>
    <x v="727"/>
    <x v="0"/>
    <x v="63"/>
    <x v="0"/>
    <x v="43"/>
    <x v="2"/>
    <x v="178"/>
    <x v="56"/>
    <x v="0"/>
    <x v="0"/>
  </r>
  <r>
    <x v="727"/>
    <x v="1"/>
    <x v="28"/>
    <x v="0"/>
    <x v="21"/>
    <x v="3"/>
    <x v="282"/>
    <x v="24"/>
    <x v="6"/>
    <x v="6"/>
  </r>
  <r>
    <x v="727"/>
    <x v="2"/>
    <x v="87"/>
    <x v="0"/>
    <x v="29"/>
    <x v="3"/>
    <x v="283"/>
    <x v="80"/>
    <x v="4"/>
    <x v="4"/>
  </r>
  <r>
    <x v="727"/>
    <x v="3"/>
    <x v="71"/>
    <x v="0"/>
    <x v="23"/>
    <x v="1"/>
    <x v="193"/>
    <x v="64"/>
    <x v="6"/>
    <x v="6"/>
  </r>
  <r>
    <x v="728"/>
    <x v="0"/>
    <x v="70"/>
    <x v="1"/>
    <x v="48"/>
    <x v="3"/>
    <x v="284"/>
    <x v="63"/>
    <x v="4"/>
    <x v="4"/>
  </r>
  <r>
    <x v="729"/>
    <x v="0"/>
    <x v="64"/>
    <x v="1"/>
    <x v="44"/>
    <x v="2"/>
    <x v="285"/>
    <x v="57"/>
    <x v="6"/>
    <x v="6"/>
  </r>
  <r>
    <x v="729"/>
    <x v="1"/>
    <x v="47"/>
    <x v="0"/>
    <x v="32"/>
    <x v="3"/>
    <x v="160"/>
    <x v="41"/>
    <x v="0"/>
    <x v="0"/>
  </r>
  <r>
    <x v="729"/>
    <x v="2"/>
    <x v="81"/>
    <x v="1"/>
    <x v="29"/>
    <x v="1"/>
    <x v="172"/>
    <x v="74"/>
    <x v="4"/>
    <x v="4"/>
  </r>
  <r>
    <x v="729"/>
    <x v="3"/>
    <x v="17"/>
    <x v="0"/>
    <x v="11"/>
    <x v="3"/>
    <x v="21"/>
    <x v="15"/>
    <x v="0"/>
    <x v="0"/>
  </r>
  <r>
    <x v="730"/>
    <x v="0"/>
    <x v="87"/>
    <x v="0"/>
    <x v="29"/>
    <x v="2"/>
    <x v="277"/>
    <x v="80"/>
    <x v="4"/>
    <x v="4"/>
  </r>
  <r>
    <x v="730"/>
    <x v="1"/>
    <x v="60"/>
    <x v="0"/>
    <x v="25"/>
    <x v="0"/>
    <x v="152"/>
    <x v="53"/>
    <x v="6"/>
    <x v="6"/>
  </r>
  <r>
    <x v="730"/>
    <x v="2"/>
    <x v="50"/>
    <x v="1"/>
    <x v="34"/>
    <x v="0"/>
    <x v="166"/>
    <x v="43"/>
    <x v="0"/>
    <x v="0"/>
  </r>
  <r>
    <x v="730"/>
    <x v="3"/>
    <x v="61"/>
    <x v="0"/>
    <x v="4"/>
    <x v="0"/>
    <x v="90"/>
    <x v="54"/>
    <x v="1"/>
    <x v="1"/>
  </r>
  <r>
    <x v="731"/>
    <x v="0"/>
    <x v="42"/>
    <x v="0"/>
    <x v="28"/>
    <x v="1"/>
    <x v="192"/>
    <x v="37"/>
    <x v="1"/>
    <x v="1"/>
  </r>
  <r>
    <x v="731"/>
    <x v="1"/>
    <x v="4"/>
    <x v="1"/>
    <x v="3"/>
    <x v="1"/>
    <x v="127"/>
    <x v="4"/>
    <x v="1"/>
    <x v="1"/>
  </r>
  <r>
    <x v="732"/>
    <x v="0"/>
    <x v="73"/>
    <x v="0"/>
    <x v="49"/>
    <x v="2"/>
    <x v="248"/>
    <x v="66"/>
    <x v="4"/>
    <x v="4"/>
  </r>
  <r>
    <x v="732"/>
    <x v="1"/>
    <x v="66"/>
    <x v="0"/>
    <x v="45"/>
    <x v="0"/>
    <x v="206"/>
    <x v="59"/>
    <x v="6"/>
    <x v="6"/>
  </r>
  <r>
    <x v="732"/>
    <x v="2"/>
    <x v="48"/>
    <x v="1"/>
    <x v="26"/>
    <x v="3"/>
    <x v="270"/>
    <x v="34"/>
    <x v="0"/>
    <x v="0"/>
  </r>
  <r>
    <x v="733"/>
    <x v="0"/>
    <x v="8"/>
    <x v="0"/>
    <x v="0"/>
    <x v="0"/>
    <x v="0"/>
    <x v="3"/>
    <x v="0"/>
    <x v="0"/>
  </r>
  <r>
    <x v="733"/>
    <x v="1"/>
    <x v="5"/>
    <x v="0"/>
    <x v="4"/>
    <x v="2"/>
    <x v="6"/>
    <x v="5"/>
    <x v="1"/>
    <x v="1"/>
  </r>
  <r>
    <x v="733"/>
    <x v="2"/>
    <x v="73"/>
    <x v="1"/>
    <x v="49"/>
    <x v="0"/>
    <x v="286"/>
    <x v="66"/>
    <x v="4"/>
    <x v="4"/>
  </r>
  <r>
    <x v="733"/>
    <x v="3"/>
    <x v="105"/>
    <x v="1"/>
    <x v="63"/>
    <x v="3"/>
    <x v="287"/>
    <x v="97"/>
    <x v="0"/>
    <x v="0"/>
  </r>
  <r>
    <x v="734"/>
    <x v="0"/>
    <x v="68"/>
    <x v="1"/>
    <x v="24"/>
    <x v="3"/>
    <x v="288"/>
    <x v="61"/>
    <x v="0"/>
    <x v="0"/>
  </r>
  <r>
    <x v="734"/>
    <x v="1"/>
    <x v="2"/>
    <x v="1"/>
    <x v="2"/>
    <x v="1"/>
    <x v="46"/>
    <x v="2"/>
    <x v="2"/>
    <x v="2"/>
  </r>
  <r>
    <x v="735"/>
    <x v="0"/>
    <x v="28"/>
    <x v="1"/>
    <x v="21"/>
    <x v="2"/>
    <x v="228"/>
    <x v="24"/>
    <x v="6"/>
    <x v="6"/>
  </r>
  <r>
    <x v="735"/>
    <x v="1"/>
    <x v="7"/>
    <x v="0"/>
    <x v="6"/>
    <x v="3"/>
    <x v="47"/>
    <x v="7"/>
    <x v="0"/>
    <x v="0"/>
  </r>
  <r>
    <x v="735"/>
    <x v="2"/>
    <x v="37"/>
    <x v="1"/>
    <x v="25"/>
    <x v="0"/>
    <x v="165"/>
    <x v="33"/>
    <x v="2"/>
    <x v="2"/>
  </r>
  <r>
    <x v="736"/>
    <x v="0"/>
    <x v="58"/>
    <x v="0"/>
    <x v="40"/>
    <x v="2"/>
    <x v="175"/>
    <x v="51"/>
    <x v="6"/>
    <x v="6"/>
  </r>
  <r>
    <x v="736"/>
    <x v="1"/>
    <x v="23"/>
    <x v="1"/>
    <x v="7"/>
    <x v="1"/>
    <x v="53"/>
    <x v="20"/>
    <x v="0"/>
    <x v="0"/>
  </r>
  <r>
    <x v="736"/>
    <x v="2"/>
    <x v="104"/>
    <x v="1"/>
    <x v="62"/>
    <x v="1"/>
    <x v="278"/>
    <x v="96"/>
    <x v="0"/>
    <x v="0"/>
  </r>
  <r>
    <x v="736"/>
    <x v="3"/>
    <x v="98"/>
    <x v="0"/>
    <x v="14"/>
    <x v="0"/>
    <x v="63"/>
    <x v="90"/>
    <x v="1"/>
    <x v="1"/>
  </r>
  <r>
    <x v="737"/>
    <x v="0"/>
    <x v="90"/>
    <x v="1"/>
    <x v="43"/>
    <x v="1"/>
    <x v="289"/>
    <x v="83"/>
    <x v="0"/>
    <x v="0"/>
  </r>
  <r>
    <x v="737"/>
    <x v="1"/>
    <x v="83"/>
    <x v="1"/>
    <x v="8"/>
    <x v="0"/>
    <x v="118"/>
    <x v="76"/>
    <x v="1"/>
    <x v="1"/>
  </r>
  <r>
    <x v="737"/>
    <x v="2"/>
    <x v="22"/>
    <x v="0"/>
    <x v="17"/>
    <x v="3"/>
    <x v="93"/>
    <x v="19"/>
    <x v="5"/>
    <x v="5"/>
  </r>
  <r>
    <x v="737"/>
    <x v="3"/>
    <x v="65"/>
    <x v="0"/>
    <x v="25"/>
    <x v="1"/>
    <x v="222"/>
    <x v="58"/>
    <x v="2"/>
    <x v="2"/>
  </r>
  <r>
    <x v="738"/>
    <x v="0"/>
    <x v="5"/>
    <x v="0"/>
    <x v="4"/>
    <x v="0"/>
    <x v="90"/>
    <x v="5"/>
    <x v="1"/>
    <x v="1"/>
  </r>
  <r>
    <x v="739"/>
    <x v="0"/>
    <x v="89"/>
    <x v="0"/>
    <x v="56"/>
    <x v="2"/>
    <x v="290"/>
    <x v="82"/>
    <x v="0"/>
    <x v="0"/>
  </r>
  <r>
    <x v="739"/>
    <x v="1"/>
    <x v="49"/>
    <x v="1"/>
    <x v="33"/>
    <x v="0"/>
    <x v="291"/>
    <x v="42"/>
    <x v="4"/>
    <x v="4"/>
  </r>
  <r>
    <x v="739"/>
    <x v="2"/>
    <x v="16"/>
    <x v="0"/>
    <x v="13"/>
    <x v="0"/>
    <x v="114"/>
    <x v="14"/>
    <x v="2"/>
    <x v="2"/>
  </r>
  <r>
    <x v="739"/>
    <x v="3"/>
    <x v="23"/>
    <x v="0"/>
    <x v="7"/>
    <x v="0"/>
    <x v="59"/>
    <x v="20"/>
    <x v="0"/>
    <x v="0"/>
  </r>
  <r>
    <x v="739"/>
    <x v="4"/>
    <x v="10"/>
    <x v="1"/>
    <x v="8"/>
    <x v="1"/>
    <x v="30"/>
    <x v="9"/>
    <x v="0"/>
    <x v="0"/>
  </r>
  <r>
    <x v="740"/>
    <x v="0"/>
    <x v="71"/>
    <x v="0"/>
    <x v="23"/>
    <x v="2"/>
    <x v="292"/>
    <x v="64"/>
    <x v="6"/>
    <x v="6"/>
  </r>
  <r>
    <x v="740"/>
    <x v="1"/>
    <x v="35"/>
    <x v="0"/>
    <x v="15"/>
    <x v="1"/>
    <x v="75"/>
    <x v="31"/>
    <x v="0"/>
    <x v="0"/>
  </r>
  <r>
    <x v="740"/>
    <x v="2"/>
    <x v="20"/>
    <x v="1"/>
    <x v="11"/>
    <x v="1"/>
    <x v="35"/>
    <x v="15"/>
    <x v="0"/>
    <x v="0"/>
  </r>
  <r>
    <x v="740"/>
    <x v="3"/>
    <x v="28"/>
    <x v="1"/>
    <x v="21"/>
    <x v="2"/>
    <x v="228"/>
    <x v="24"/>
    <x v="6"/>
    <x v="6"/>
  </r>
  <r>
    <x v="741"/>
    <x v="0"/>
    <x v="92"/>
    <x v="1"/>
    <x v="24"/>
    <x v="2"/>
    <x v="293"/>
    <x v="72"/>
    <x v="0"/>
    <x v="0"/>
  </r>
  <r>
    <x v="741"/>
    <x v="1"/>
    <x v="78"/>
    <x v="0"/>
    <x v="52"/>
    <x v="1"/>
    <x v="242"/>
    <x v="71"/>
    <x v="1"/>
    <x v="1"/>
  </r>
  <r>
    <x v="742"/>
    <x v="0"/>
    <x v="53"/>
    <x v="0"/>
    <x v="36"/>
    <x v="2"/>
    <x v="294"/>
    <x v="46"/>
    <x v="0"/>
    <x v="0"/>
  </r>
  <r>
    <x v="743"/>
    <x v="0"/>
    <x v="57"/>
    <x v="1"/>
    <x v="14"/>
    <x v="0"/>
    <x v="117"/>
    <x v="50"/>
    <x v="1"/>
    <x v="1"/>
  </r>
  <r>
    <x v="744"/>
    <x v="0"/>
    <x v="43"/>
    <x v="1"/>
    <x v="15"/>
    <x v="2"/>
    <x v="89"/>
    <x v="31"/>
    <x v="0"/>
    <x v="0"/>
  </r>
  <r>
    <x v="744"/>
    <x v="1"/>
    <x v="13"/>
    <x v="1"/>
    <x v="11"/>
    <x v="0"/>
    <x v="78"/>
    <x v="12"/>
    <x v="0"/>
    <x v="0"/>
  </r>
  <r>
    <x v="744"/>
    <x v="2"/>
    <x v="46"/>
    <x v="0"/>
    <x v="31"/>
    <x v="3"/>
    <x v="295"/>
    <x v="40"/>
    <x v="0"/>
    <x v="0"/>
  </r>
  <r>
    <x v="745"/>
    <x v="0"/>
    <x v="40"/>
    <x v="0"/>
    <x v="15"/>
    <x v="3"/>
    <x v="37"/>
    <x v="35"/>
    <x v="4"/>
    <x v="4"/>
  </r>
  <r>
    <x v="746"/>
    <x v="0"/>
    <x v="55"/>
    <x v="0"/>
    <x v="38"/>
    <x v="1"/>
    <x v="271"/>
    <x v="48"/>
    <x v="5"/>
    <x v="5"/>
  </r>
  <r>
    <x v="746"/>
    <x v="1"/>
    <x v="106"/>
    <x v="0"/>
    <x v="39"/>
    <x v="0"/>
    <x v="296"/>
    <x v="98"/>
    <x v="4"/>
    <x v="4"/>
  </r>
  <r>
    <x v="746"/>
    <x v="2"/>
    <x v="57"/>
    <x v="1"/>
    <x v="14"/>
    <x v="3"/>
    <x v="110"/>
    <x v="50"/>
    <x v="1"/>
    <x v="1"/>
  </r>
  <r>
    <x v="746"/>
    <x v="3"/>
    <x v="89"/>
    <x v="0"/>
    <x v="56"/>
    <x v="1"/>
    <x v="297"/>
    <x v="82"/>
    <x v="0"/>
    <x v="0"/>
  </r>
  <r>
    <x v="747"/>
    <x v="0"/>
    <x v="3"/>
    <x v="1"/>
    <x v="0"/>
    <x v="3"/>
    <x v="28"/>
    <x v="3"/>
    <x v="0"/>
    <x v="0"/>
  </r>
  <r>
    <x v="747"/>
    <x v="1"/>
    <x v="56"/>
    <x v="1"/>
    <x v="39"/>
    <x v="2"/>
    <x v="219"/>
    <x v="49"/>
    <x v="4"/>
    <x v="4"/>
  </r>
  <r>
    <x v="747"/>
    <x v="2"/>
    <x v="67"/>
    <x v="0"/>
    <x v="46"/>
    <x v="1"/>
    <x v="298"/>
    <x v="60"/>
    <x v="1"/>
    <x v="1"/>
  </r>
  <r>
    <x v="747"/>
    <x v="3"/>
    <x v="100"/>
    <x v="1"/>
    <x v="61"/>
    <x v="0"/>
    <x v="299"/>
    <x v="92"/>
    <x v="1"/>
    <x v="1"/>
  </r>
  <r>
    <x v="748"/>
    <x v="0"/>
    <x v="11"/>
    <x v="0"/>
    <x v="9"/>
    <x v="0"/>
    <x v="141"/>
    <x v="10"/>
    <x v="3"/>
    <x v="3"/>
  </r>
  <r>
    <x v="748"/>
    <x v="1"/>
    <x v="76"/>
    <x v="0"/>
    <x v="50"/>
    <x v="2"/>
    <x v="261"/>
    <x v="69"/>
    <x v="1"/>
    <x v="1"/>
  </r>
  <r>
    <x v="748"/>
    <x v="2"/>
    <x v="47"/>
    <x v="0"/>
    <x v="32"/>
    <x v="0"/>
    <x v="197"/>
    <x v="41"/>
    <x v="0"/>
    <x v="0"/>
  </r>
  <r>
    <x v="748"/>
    <x v="3"/>
    <x v="24"/>
    <x v="0"/>
    <x v="8"/>
    <x v="2"/>
    <x v="101"/>
    <x v="9"/>
    <x v="0"/>
    <x v="0"/>
  </r>
  <r>
    <x v="748"/>
    <x v="4"/>
    <x v="95"/>
    <x v="0"/>
    <x v="23"/>
    <x v="1"/>
    <x v="193"/>
    <x v="87"/>
    <x v="1"/>
    <x v="1"/>
  </r>
  <r>
    <x v="749"/>
    <x v="0"/>
    <x v="31"/>
    <x v="0"/>
    <x v="22"/>
    <x v="2"/>
    <x v="148"/>
    <x v="27"/>
    <x v="0"/>
    <x v="0"/>
  </r>
  <r>
    <x v="749"/>
    <x v="1"/>
    <x v="46"/>
    <x v="1"/>
    <x v="31"/>
    <x v="3"/>
    <x v="300"/>
    <x v="40"/>
    <x v="0"/>
    <x v="0"/>
  </r>
  <r>
    <x v="750"/>
    <x v="0"/>
    <x v="78"/>
    <x v="1"/>
    <x v="52"/>
    <x v="2"/>
    <x v="204"/>
    <x v="71"/>
    <x v="1"/>
    <x v="1"/>
  </r>
  <r>
    <x v="751"/>
    <x v="0"/>
    <x v="10"/>
    <x v="1"/>
    <x v="8"/>
    <x v="2"/>
    <x v="11"/>
    <x v="9"/>
    <x v="0"/>
    <x v="0"/>
  </r>
  <r>
    <x v="751"/>
    <x v="1"/>
    <x v="93"/>
    <x v="1"/>
    <x v="58"/>
    <x v="2"/>
    <x v="301"/>
    <x v="85"/>
    <x v="1"/>
    <x v="1"/>
  </r>
  <r>
    <x v="752"/>
    <x v="0"/>
    <x v="86"/>
    <x v="1"/>
    <x v="54"/>
    <x v="1"/>
    <x v="214"/>
    <x v="79"/>
    <x v="5"/>
    <x v="5"/>
  </r>
  <r>
    <x v="752"/>
    <x v="1"/>
    <x v="14"/>
    <x v="1"/>
    <x v="12"/>
    <x v="0"/>
    <x v="61"/>
    <x v="13"/>
    <x v="1"/>
    <x v="1"/>
  </r>
  <r>
    <x v="752"/>
    <x v="2"/>
    <x v="107"/>
    <x v="1"/>
    <x v="61"/>
    <x v="3"/>
    <x v="302"/>
    <x v="99"/>
    <x v="1"/>
    <x v="1"/>
  </r>
  <r>
    <x v="752"/>
    <x v="3"/>
    <x v="43"/>
    <x v="0"/>
    <x v="15"/>
    <x v="1"/>
    <x v="75"/>
    <x v="31"/>
    <x v="0"/>
    <x v="0"/>
  </r>
  <r>
    <x v="752"/>
    <x v="4"/>
    <x v="82"/>
    <x v="0"/>
    <x v="34"/>
    <x v="0"/>
    <x v="210"/>
    <x v="75"/>
    <x v="0"/>
    <x v="0"/>
  </r>
  <r>
    <x v="753"/>
    <x v="0"/>
    <x v="51"/>
    <x v="1"/>
    <x v="35"/>
    <x v="1"/>
    <x v="303"/>
    <x v="44"/>
    <x v="0"/>
    <x v="0"/>
  </r>
  <r>
    <x v="753"/>
    <x v="1"/>
    <x v="10"/>
    <x v="1"/>
    <x v="8"/>
    <x v="1"/>
    <x v="30"/>
    <x v="9"/>
    <x v="0"/>
    <x v="0"/>
  </r>
  <r>
    <x v="753"/>
    <x v="2"/>
    <x v="5"/>
    <x v="0"/>
    <x v="4"/>
    <x v="2"/>
    <x v="6"/>
    <x v="5"/>
    <x v="1"/>
    <x v="1"/>
  </r>
  <r>
    <x v="753"/>
    <x v="3"/>
    <x v="50"/>
    <x v="1"/>
    <x v="34"/>
    <x v="2"/>
    <x v="251"/>
    <x v="43"/>
    <x v="0"/>
    <x v="0"/>
  </r>
  <r>
    <x v="753"/>
    <x v="4"/>
    <x v="14"/>
    <x v="0"/>
    <x v="12"/>
    <x v="0"/>
    <x v="137"/>
    <x v="13"/>
    <x v="1"/>
    <x v="1"/>
  </r>
  <r>
    <x v="754"/>
    <x v="0"/>
    <x v="53"/>
    <x v="1"/>
    <x v="36"/>
    <x v="1"/>
    <x v="304"/>
    <x v="46"/>
    <x v="0"/>
    <x v="0"/>
  </r>
  <r>
    <x v="754"/>
    <x v="1"/>
    <x v="52"/>
    <x v="1"/>
    <x v="28"/>
    <x v="2"/>
    <x v="181"/>
    <x v="45"/>
    <x v="1"/>
    <x v="1"/>
  </r>
  <r>
    <x v="754"/>
    <x v="2"/>
    <x v="94"/>
    <x v="1"/>
    <x v="59"/>
    <x v="3"/>
    <x v="305"/>
    <x v="86"/>
    <x v="6"/>
    <x v="6"/>
  </r>
  <r>
    <x v="755"/>
    <x v="0"/>
    <x v="38"/>
    <x v="0"/>
    <x v="26"/>
    <x v="3"/>
    <x v="164"/>
    <x v="34"/>
    <x v="0"/>
    <x v="0"/>
  </r>
  <r>
    <x v="755"/>
    <x v="1"/>
    <x v="7"/>
    <x v="1"/>
    <x v="6"/>
    <x v="2"/>
    <x v="27"/>
    <x v="7"/>
    <x v="0"/>
    <x v="0"/>
  </r>
  <r>
    <x v="756"/>
    <x v="0"/>
    <x v="43"/>
    <x v="0"/>
    <x v="15"/>
    <x v="3"/>
    <x v="37"/>
    <x v="31"/>
    <x v="0"/>
    <x v="0"/>
  </r>
  <r>
    <x v="757"/>
    <x v="0"/>
    <x v="13"/>
    <x v="1"/>
    <x v="11"/>
    <x v="1"/>
    <x v="35"/>
    <x v="12"/>
    <x v="0"/>
    <x v="0"/>
  </r>
  <r>
    <x v="757"/>
    <x v="1"/>
    <x v="40"/>
    <x v="0"/>
    <x v="15"/>
    <x v="3"/>
    <x v="37"/>
    <x v="35"/>
    <x v="4"/>
    <x v="4"/>
  </r>
  <r>
    <x v="757"/>
    <x v="2"/>
    <x v="97"/>
    <x v="0"/>
    <x v="4"/>
    <x v="1"/>
    <x v="133"/>
    <x v="89"/>
    <x v="1"/>
    <x v="1"/>
  </r>
  <r>
    <x v="757"/>
    <x v="3"/>
    <x v="105"/>
    <x v="1"/>
    <x v="63"/>
    <x v="1"/>
    <x v="306"/>
    <x v="97"/>
    <x v="0"/>
    <x v="0"/>
  </r>
  <r>
    <x v="757"/>
    <x v="4"/>
    <x v="36"/>
    <x v="0"/>
    <x v="24"/>
    <x v="0"/>
    <x v="307"/>
    <x v="32"/>
    <x v="5"/>
    <x v="5"/>
  </r>
  <r>
    <x v="758"/>
    <x v="0"/>
    <x v="101"/>
    <x v="1"/>
    <x v="30"/>
    <x v="2"/>
    <x v="211"/>
    <x v="93"/>
    <x v="4"/>
    <x v="4"/>
  </r>
  <r>
    <x v="758"/>
    <x v="1"/>
    <x v="46"/>
    <x v="0"/>
    <x v="31"/>
    <x v="1"/>
    <x v="280"/>
    <x v="40"/>
    <x v="0"/>
    <x v="0"/>
  </r>
  <r>
    <x v="759"/>
    <x v="0"/>
    <x v="20"/>
    <x v="1"/>
    <x v="11"/>
    <x v="1"/>
    <x v="35"/>
    <x v="15"/>
    <x v="0"/>
    <x v="0"/>
  </r>
  <r>
    <x v="759"/>
    <x v="1"/>
    <x v="61"/>
    <x v="1"/>
    <x v="4"/>
    <x v="1"/>
    <x v="13"/>
    <x v="54"/>
    <x v="1"/>
    <x v="1"/>
  </r>
  <r>
    <x v="760"/>
    <x v="0"/>
    <x v="52"/>
    <x v="0"/>
    <x v="28"/>
    <x v="1"/>
    <x v="192"/>
    <x v="45"/>
    <x v="1"/>
    <x v="1"/>
  </r>
  <r>
    <x v="760"/>
    <x v="1"/>
    <x v="58"/>
    <x v="1"/>
    <x v="40"/>
    <x v="0"/>
    <x v="308"/>
    <x v="51"/>
    <x v="6"/>
    <x v="6"/>
  </r>
  <r>
    <x v="761"/>
    <x v="0"/>
    <x v="48"/>
    <x v="1"/>
    <x v="26"/>
    <x v="2"/>
    <x v="162"/>
    <x v="34"/>
    <x v="0"/>
    <x v="0"/>
  </r>
  <r>
    <x v="762"/>
    <x v="0"/>
    <x v="45"/>
    <x v="0"/>
    <x v="30"/>
    <x v="1"/>
    <x v="158"/>
    <x v="39"/>
    <x v="4"/>
    <x v="4"/>
  </r>
  <r>
    <x v="762"/>
    <x v="1"/>
    <x v="27"/>
    <x v="0"/>
    <x v="20"/>
    <x v="3"/>
    <x v="309"/>
    <x v="23"/>
    <x v="5"/>
    <x v="5"/>
  </r>
  <r>
    <x v="763"/>
    <x v="0"/>
    <x v="66"/>
    <x v="0"/>
    <x v="45"/>
    <x v="1"/>
    <x v="310"/>
    <x v="59"/>
    <x v="6"/>
    <x v="6"/>
  </r>
  <r>
    <x v="763"/>
    <x v="1"/>
    <x v="43"/>
    <x v="1"/>
    <x v="15"/>
    <x v="2"/>
    <x v="89"/>
    <x v="31"/>
    <x v="0"/>
    <x v="0"/>
  </r>
  <r>
    <x v="763"/>
    <x v="2"/>
    <x v="89"/>
    <x v="1"/>
    <x v="56"/>
    <x v="1"/>
    <x v="311"/>
    <x v="82"/>
    <x v="0"/>
    <x v="0"/>
  </r>
  <r>
    <x v="764"/>
    <x v="0"/>
    <x v="76"/>
    <x v="1"/>
    <x v="50"/>
    <x v="0"/>
    <x v="312"/>
    <x v="69"/>
    <x v="1"/>
    <x v="1"/>
  </r>
  <r>
    <x v="764"/>
    <x v="1"/>
    <x v="10"/>
    <x v="0"/>
    <x v="8"/>
    <x v="1"/>
    <x v="77"/>
    <x v="9"/>
    <x v="0"/>
    <x v="0"/>
  </r>
  <r>
    <x v="764"/>
    <x v="2"/>
    <x v="22"/>
    <x v="0"/>
    <x v="17"/>
    <x v="0"/>
    <x v="76"/>
    <x v="19"/>
    <x v="5"/>
    <x v="5"/>
  </r>
  <r>
    <x v="764"/>
    <x v="3"/>
    <x v="29"/>
    <x v="0"/>
    <x v="5"/>
    <x v="0"/>
    <x v="56"/>
    <x v="25"/>
    <x v="6"/>
    <x v="6"/>
  </r>
  <r>
    <x v="764"/>
    <x v="4"/>
    <x v="105"/>
    <x v="0"/>
    <x v="63"/>
    <x v="2"/>
    <x v="313"/>
    <x v="97"/>
    <x v="0"/>
    <x v="0"/>
  </r>
  <r>
    <x v="765"/>
    <x v="0"/>
    <x v="103"/>
    <x v="0"/>
    <x v="38"/>
    <x v="0"/>
    <x v="314"/>
    <x v="95"/>
    <x v="5"/>
    <x v="5"/>
  </r>
  <r>
    <x v="766"/>
    <x v="0"/>
    <x v="65"/>
    <x v="0"/>
    <x v="25"/>
    <x v="3"/>
    <x v="315"/>
    <x v="58"/>
    <x v="2"/>
    <x v="2"/>
  </r>
  <r>
    <x v="766"/>
    <x v="1"/>
    <x v="61"/>
    <x v="0"/>
    <x v="4"/>
    <x v="1"/>
    <x v="133"/>
    <x v="54"/>
    <x v="1"/>
    <x v="1"/>
  </r>
  <r>
    <x v="766"/>
    <x v="2"/>
    <x v="67"/>
    <x v="1"/>
    <x v="46"/>
    <x v="2"/>
    <x v="185"/>
    <x v="60"/>
    <x v="1"/>
    <x v="1"/>
  </r>
  <r>
    <x v="766"/>
    <x v="3"/>
    <x v="104"/>
    <x v="1"/>
    <x v="62"/>
    <x v="2"/>
    <x v="316"/>
    <x v="96"/>
    <x v="0"/>
    <x v="0"/>
  </r>
  <r>
    <x v="767"/>
    <x v="0"/>
    <x v="93"/>
    <x v="0"/>
    <x v="58"/>
    <x v="0"/>
    <x v="246"/>
    <x v="85"/>
    <x v="1"/>
    <x v="1"/>
  </r>
  <r>
    <x v="767"/>
    <x v="1"/>
    <x v="35"/>
    <x v="0"/>
    <x v="15"/>
    <x v="0"/>
    <x v="122"/>
    <x v="31"/>
    <x v="0"/>
    <x v="0"/>
  </r>
  <r>
    <x v="768"/>
    <x v="0"/>
    <x v="1"/>
    <x v="0"/>
    <x v="1"/>
    <x v="3"/>
    <x v="112"/>
    <x v="1"/>
    <x v="1"/>
    <x v="1"/>
  </r>
  <r>
    <x v="768"/>
    <x v="1"/>
    <x v="18"/>
    <x v="1"/>
    <x v="14"/>
    <x v="2"/>
    <x v="124"/>
    <x v="16"/>
    <x v="1"/>
    <x v="1"/>
  </r>
  <r>
    <x v="768"/>
    <x v="2"/>
    <x v="107"/>
    <x v="1"/>
    <x v="61"/>
    <x v="1"/>
    <x v="317"/>
    <x v="99"/>
    <x v="1"/>
    <x v="1"/>
  </r>
  <r>
    <x v="769"/>
    <x v="0"/>
    <x v="55"/>
    <x v="0"/>
    <x v="38"/>
    <x v="2"/>
    <x v="318"/>
    <x v="48"/>
    <x v="5"/>
    <x v="5"/>
  </r>
  <r>
    <x v="769"/>
    <x v="1"/>
    <x v="41"/>
    <x v="0"/>
    <x v="27"/>
    <x v="0"/>
    <x v="319"/>
    <x v="36"/>
    <x v="1"/>
    <x v="1"/>
  </r>
  <r>
    <x v="769"/>
    <x v="2"/>
    <x v="27"/>
    <x v="0"/>
    <x v="20"/>
    <x v="0"/>
    <x v="320"/>
    <x v="23"/>
    <x v="5"/>
    <x v="5"/>
  </r>
  <r>
    <x v="769"/>
    <x v="3"/>
    <x v="16"/>
    <x v="1"/>
    <x v="13"/>
    <x v="2"/>
    <x v="67"/>
    <x v="14"/>
    <x v="2"/>
    <x v="2"/>
  </r>
  <r>
    <x v="770"/>
    <x v="0"/>
    <x v="17"/>
    <x v="1"/>
    <x v="11"/>
    <x v="0"/>
    <x v="78"/>
    <x v="15"/>
    <x v="0"/>
    <x v="0"/>
  </r>
  <r>
    <x v="770"/>
    <x v="1"/>
    <x v="54"/>
    <x v="0"/>
    <x v="37"/>
    <x v="0"/>
    <x v="321"/>
    <x v="47"/>
    <x v="4"/>
    <x v="4"/>
  </r>
  <r>
    <x v="771"/>
    <x v="0"/>
    <x v="27"/>
    <x v="0"/>
    <x v="20"/>
    <x v="1"/>
    <x v="322"/>
    <x v="23"/>
    <x v="5"/>
    <x v="5"/>
  </r>
  <r>
    <x v="772"/>
    <x v="0"/>
    <x v="102"/>
    <x v="0"/>
    <x v="30"/>
    <x v="3"/>
    <x v="276"/>
    <x v="94"/>
    <x v="4"/>
    <x v="4"/>
  </r>
  <r>
    <x v="772"/>
    <x v="1"/>
    <x v="15"/>
    <x v="0"/>
    <x v="11"/>
    <x v="2"/>
    <x v="18"/>
    <x v="12"/>
    <x v="0"/>
    <x v="0"/>
  </r>
  <r>
    <x v="772"/>
    <x v="2"/>
    <x v="7"/>
    <x v="1"/>
    <x v="6"/>
    <x v="0"/>
    <x v="71"/>
    <x v="7"/>
    <x v="0"/>
    <x v="0"/>
  </r>
  <r>
    <x v="772"/>
    <x v="3"/>
    <x v="57"/>
    <x v="1"/>
    <x v="14"/>
    <x v="1"/>
    <x v="138"/>
    <x v="50"/>
    <x v="1"/>
    <x v="1"/>
  </r>
  <r>
    <x v="773"/>
    <x v="0"/>
    <x v="105"/>
    <x v="0"/>
    <x v="63"/>
    <x v="2"/>
    <x v="313"/>
    <x v="97"/>
    <x v="0"/>
    <x v="0"/>
  </r>
  <r>
    <x v="773"/>
    <x v="1"/>
    <x v="107"/>
    <x v="1"/>
    <x v="61"/>
    <x v="2"/>
    <x v="323"/>
    <x v="99"/>
    <x v="1"/>
    <x v="1"/>
  </r>
  <r>
    <x v="773"/>
    <x v="2"/>
    <x v="0"/>
    <x v="0"/>
    <x v="0"/>
    <x v="0"/>
    <x v="0"/>
    <x v="0"/>
    <x v="0"/>
    <x v="0"/>
  </r>
  <r>
    <x v="773"/>
    <x v="3"/>
    <x v="30"/>
    <x v="0"/>
    <x v="5"/>
    <x v="2"/>
    <x v="132"/>
    <x v="26"/>
    <x v="0"/>
    <x v="0"/>
  </r>
  <r>
    <x v="773"/>
    <x v="4"/>
    <x v="71"/>
    <x v="1"/>
    <x v="23"/>
    <x v="3"/>
    <x v="149"/>
    <x v="64"/>
    <x v="6"/>
    <x v="6"/>
  </r>
  <r>
    <x v="774"/>
    <x v="0"/>
    <x v="62"/>
    <x v="0"/>
    <x v="42"/>
    <x v="1"/>
    <x v="245"/>
    <x v="55"/>
    <x v="1"/>
    <x v="1"/>
  </r>
  <r>
    <x v="775"/>
    <x v="0"/>
    <x v="76"/>
    <x v="0"/>
    <x v="50"/>
    <x v="0"/>
    <x v="324"/>
    <x v="69"/>
    <x v="1"/>
    <x v="1"/>
  </r>
  <r>
    <x v="775"/>
    <x v="1"/>
    <x v="41"/>
    <x v="1"/>
    <x v="27"/>
    <x v="0"/>
    <x v="194"/>
    <x v="36"/>
    <x v="1"/>
    <x v="1"/>
  </r>
  <r>
    <x v="775"/>
    <x v="2"/>
    <x v="68"/>
    <x v="0"/>
    <x v="24"/>
    <x v="3"/>
    <x v="325"/>
    <x v="61"/>
    <x v="0"/>
    <x v="0"/>
  </r>
  <r>
    <x v="775"/>
    <x v="3"/>
    <x v="100"/>
    <x v="0"/>
    <x v="61"/>
    <x v="3"/>
    <x v="326"/>
    <x v="92"/>
    <x v="1"/>
    <x v="1"/>
  </r>
  <r>
    <x v="776"/>
    <x v="0"/>
    <x v="21"/>
    <x v="0"/>
    <x v="16"/>
    <x v="0"/>
    <x v="58"/>
    <x v="18"/>
    <x v="1"/>
    <x v="1"/>
  </r>
  <r>
    <x v="776"/>
    <x v="1"/>
    <x v="14"/>
    <x v="1"/>
    <x v="12"/>
    <x v="0"/>
    <x v="61"/>
    <x v="13"/>
    <x v="1"/>
    <x v="1"/>
  </r>
  <r>
    <x v="776"/>
    <x v="2"/>
    <x v="6"/>
    <x v="0"/>
    <x v="5"/>
    <x v="0"/>
    <x v="56"/>
    <x v="6"/>
    <x v="1"/>
    <x v="1"/>
  </r>
  <r>
    <x v="777"/>
    <x v="0"/>
    <x v="38"/>
    <x v="0"/>
    <x v="26"/>
    <x v="3"/>
    <x v="164"/>
    <x v="34"/>
    <x v="0"/>
    <x v="0"/>
  </r>
  <r>
    <x v="777"/>
    <x v="1"/>
    <x v="25"/>
    <x v="0"/>
    <x v="18"/>
    <x v="2"/>
    <x v="161"/>
    <x v="21"/>
    <x v="4"/>
    <x v="4"/>
  </r>
  <r>
    <x v="778"/>
    <x v="0"/>
    <x v="70"/>
    <x v="0"/>
    <x v="48"/>
    <x v="2"/>
    <x v="327"/>
    <x v="63"/>
    <x v="4"/>
    <x v="4"/>
  </r>
  <r>
    <x v="778"/>
    <x v="1"/>
    <x v="45"/>
    <x v="1"/>
    <x v="30"/>
    <x v="0"/>
    <x v="266"/>
    <x v="39"/>
    <x v="4"/>
    <x v="4"/>
  </r>
  <r>
    <x v="778"/>
    <x v="2"/>
    <x v="42"/>
    <x v="0"/>
    <x v="28"/>
    <x v="0"/>
    <x v="328"/>
    <x v="37"/>
    <x v="1"/>
    <x v="1"/>
  </r>
  <r>
    <x v="778"/>
    <x v="3"/>
    <x v="1"/>
    <x v="0"/>
    <x v="1"/>
    <x v="0"/>
    <x v="34"/>
    <x v="1"/>
    <x v="1"/>
    <x v="1"/>
  </r>
  <r>
    <x v="778"/>
    <x v="4"/>
    <x v="25"/>
    <x v="0"/>
    <x v="18"/>
    <x v="0"/>
    <x v="329"/>
    <x v="21"/>
    <x v="4"/>
    <x v="4"/>
  </r>
  <r>
    <x v="779"/>
    <x v="0"/>
    <x v="33"/>
    <x v="0"/>
    <x v="14"/>
    <x v="3"/>
    <x v="107"/>
    <x v="29"/>
    <x v="1"/>
    <x v="1"/>
  </r>
  <r>
    <x v="780"/>
    <x v="0"/>
    <x v="36"/>
    <x v="1"/>
    <x v="24"/>
    <x v="2"/>
    <x v="293"/>
    <x v="32"/>
    <x v="5"/>
    <x v="5"/>
  </r>
  <r>
    <x v="780"/>
    <x v="1"/>
    <x v="14"/>
    <x v="1"/>
    <x v="12"/>
    <x v="0"/>
    <x v="61"/>
    <x v="13"/>
    <x v="1"/>
    <x v="1"/>
  </r>
  <r>
    <x v="780"/>
    <x v="2"/>
    <x v="94"/>
    <x v="1"/>
    <x v="59"/>
    <x v="3"/>
    <x v="305"/>
    <x v="86"/>
    <x v="6"/>
    <x v="6"/>
  </r>
  <r>
    <x v="781"/>
    <x v="0"/>
    <x v="0"/>
    <x v="1"/>
    <x v="0"/>
    <x v="1"/>
    <x v="19"/>
    <x v="0"/>
    <x v="0"/>
    <x v="0"/>
  </r>
  <r>
    <x v="781"/>
    <x v="1"/>
    <x v="94"/>
    <x v="0"/>
    <x v="59"/>
    <x v="1"/>
    <x v="330"/>
    <x v="86"/>
    <x v="6"/>
    <x v="6"/>
  </r>
  <r>
    <x v="781"/>
    <x v="2"/>
    <x v="40"/>
    <x v="0"/>
    <x v="15"/>
    <x v="1"/>
    <x v="75"/>
    <x v="35"/>
    <x v="4"/>
    <x v="4"/>
  </r>
  <r>
    <x v="781"/>
    <x v="3"/>
    <x v="3"/>
    <x v="1"/>
    <x v="0"/>
    <x v="0"/>
    <x v="24"/>
    <x v="3"/>
    <x v="0"/>
    <x v="0"/>
  </r>
  <r>
    <x v="782"/>
    <x v="0"/>
    <x v="102"/>
    <x v="0"/>
    <x v="30"/>
    <x v="0"/>
    <x v="269"/>
    <x v="94"/>
    <x v="4"/>
    <x v="4"/>
  </r>
  <r>
    <x v="782"/>
    <x v="1"/>
    <x v="13"/>
    <x v="1"/>
    <x v="11"/>
    <x v="2"/>
    <x v="64"/>
    <x v="12"/>
    <x v="0"/>
    <x v="0"/>
  </r>
  <r>
    <x v="782"/>
    <x v="2"/>
    <x v="49"/>
    <x v="0"/>
    <x v="33"/>
    <x v="2"/>
    <x v="186"/>
    <x v="42"/>
    <x v="4"/>
    <x v="4"/>
  </r>
  <r>
    <x v="782"/>
    <x v="3"/>
    <x v="61"/>
    <x v="0"/>
    <x v="4"/>
    <x v="3"/>
    <x v="16"/>
    <x v="54"/>
    <x v="1"/>
    <x v="1"/>
  </r>
  <r>
    <x v="783"/>
    <x v="0"/>
    <x v="13"/>
    <x v="0"/>
    <x v="11"/>
    <x v="1"/>
    <x v="36"/>
    <x v="12"/>
    <x v="0"/>
    <x v="0"/>
  </r>
  <r>
    <x v="783"/>
    <x v="1"/>
    <x v="31"/>
    <x v="1"/>
    <x v="22"/>
    <x v="3"/>
    <x v="331"/>
    <x v="27"/>
    <x v="0"/>
    <x v="0"/>
  </r>
  <r>
    <x v="783"/>
    <x v="2"/>
    <x v="3"/>
    <x v="0"/>
    <x v="0"/>
    <x v="0"/>
    <x v="0"/>
    <x v="3"/>
    <x v="0"/>
    <x v="0"/>
  </r>
  <r>
    <x v="784"/>
    <x v="0"/>
    <x v="64"/>
    <x v="1"/>
    <x v="44"/>
    <x v="0"/>
    <x v="332"/>
    <x v="57"/>
    <x v="6"/>
    <x v="6"/>
  </r>
  <r>
    <x v="784"/>
    <x v="1"/>
    <x v="95"/>
    <x v="0"/>
    <x v="23"/>
    <x v="1"/>
    <x v="193"/>
    <x v="87"/>
    <x v="1"/>
    <x v="1"/>
  </r>
  <r>
    <x v="784"/>
    <x v="2"/>
    <x v="22"/>
    <x v="0"/>
    <x v="17"/>
    <x v="1"/>
    <x v="88"/>
    <x v="19"/>
    <x v="5"/>
    <x v="5"/>
  </r>
  <r>
    <x v="785"/>
    <x v="0"/>
    <x v="53"/>
    <x v="0"/>
    <x v="36"/>
    <x v="2"/>
    <x v="294"/>
    <x v="46"/>
    <x v="0"/>
    <x v="0"/>
  </r>
  <r>
    <x v="786"/>
    <x v="0"/>
    <x v="80"/>
    <x v="1"/>
    <x v="53"/>
    <x v="1"/>
    <x v="208"/>
    <x v="73"/>
    <x v="6"/>
    <x v="6"/>
  </r>
  <r>
    <x v="786"/>
    <x v="1"/>
    <x v="82"/>
    <x v="1"/>
    <x v="34"/>
    <x v="3"/>
    <x v="333"/>
    <x v="75"/>
    <x v="0"/>
    <x v="0"/>
  </r>
  <r>
    <x v="787"/>
    <x v="0"/>
    <x v="74"/>
    <x v="0"/>
    <x v="42"/>
    <x v="0"/>
    <x v="224"/>
    <x v="67"/>
    <x v="6"/>
    <x v="6"/>
  </r>
  <r>
    <x v="787"/>
    <x v="1"/>
    <x v="23"/>
    <x v="0"/>
    <x v="7"/>
    <x v="3"/>
    <x v="65"/>
    <x v="20"/>
    <x v="0"/>
    <x v="0"/>
  </r>
  <r>
    <x v="787"/>
    <x v="2"/>
    <x v="17"/>
    <x v="0"/>
    <x v="11"/>
    <x v="2"/>
    <x v="18"/>
    <x v="15"/>
    <x v="0"/>
    <x v="0"/>
  </r>
  <r>
    <x v="788"/>
    <x v="0"/>
    <x v="96"/>
    <x v="1"/>
    <x v="26"/>
    <x v="0"/>
    <x v="195"/>
    <x v="88"/>
    <x v="4"/>
    <x v="4"/>
  </r>
  <r>
    <x v="788"/>
    <x v="1"/>
    <x v="101"/>
    <x v="1"/>
    <x v="30"/>
    <x v="1"/>
    <x v="268"/>
    <x v="93"/>
    <x v="4"/>
    <x v="4"/>
  </r>
  <r>
    <x v="789"/>
    <x v="0"/>
    <x v="37"/>
    <x v="1"/>
    <x v="25"/>
    <x v="1"/>
    <x v="182"/>
    <x v="33"/>
    <x v="2"/>
    <x v="2"/>
  </r>
  <r>
    <x v="789"/>
    <x v="1"/>
    <x v="87"/>
    <x v="0"/>
    <x v="29"/>
    <x v="3"/>
    <x v="283"/>
    <x v="80"/>
    <x v="4"/>
    <x v="4"/>
  </r>
  <r>
    <x v="790"/>
    <x v="0"/>
    <x v="59"/>
    <x v="0"/>
    <x v="41"/>
    <x v="0"/>
    <x v="334"/>
    <x v="52"/>
    <x v="6"/>
    <x v="6"/>
  </r>
  <r>
    <x v="790"/>
    <x v="1"/>
    <x v="22"/>
    <x v="1"/>
    <x v="17"/>
    <x v="1"/>
    <x v="85"/>
    <x v="19"/>
    <x v="5"/>
    <x v="5"/>
  </r>
  <r>
    <x v="791"/>
    <x v="0"/>
    <x v="3"/>
    <x v="1"/>
    <x v="0"/>
    <x v="0"/>
    <x v="24"/>
    <x v="3"/>
    <x v="0"/>
    <x v="0"/>
  </r>
  <r>
    <x v="791"/>
    <x v="1"/>
    <x v="62"/>
    <x v="0"/>
    <x v="42"/>
    <x v="0"/>
    <x v="224"/>
    <x v="55"/>
    <x v="1"/>
    <x v="1"/>
  </r>
  <r>
    <x v="791"/>
    <x v="2"/>
    <x v="28"/>
    <x v="0"/>
    <x v="21"/>
    <x v="0"/>
    <x v="147"/>
    <x v="24"/>
    <x v="6"/>
    <x v="6"/>
  </r>
  <r>
    <x v="791"/>
    <x v="3"/>
    <x v="34"/>
    <x v="0"/>
    <x v="4"/>
    <x v="2"/>
    <x v="6"/>
    <x v="30"/>
    <x v="1"/>
    <x v="1"/>
  </r>
  <r>
    <x v="791"/>
    <x v="4"/>
    <x v="6"/>
    <x v="0"/>
    <x v="5"/>
    <x v="0"/>
    <x v="56"/>
    <x v="6"/>
    <x v="1"/>
    <x v="1"/>
  </r>
  <r>
    <x v="792"/>
    <x v="0"/>
    <x v="91"/>
    <x v="0"/>
    <x v="57"/>
    <x v="2"/>
    <x v="335"/>
    <x v="84"/>
    <x v="3"/>
    <x v="3"/>
  </r>
  <r>
    <x v="792"/>
    <x v="1"/>
    <x v="43"/>
    <x v="1"/>
    <x v="15"/>
    <x v="2"/>
    <x v="89"/>
    <x v="31"/>
    <x v="0"/>
    <x v="0"/>
  </r>
  <r>
    <x v="792"/>
    <x v="2"/>
    <x v="85"/>
    <x v="1"/>
    <x v="0"/>
    <x v="2"/>
    <x v="3"/>
    <x v="78"/>
    <x v="0"/>
    <x v="0"/>
  </r>
  <r>
    <x v="793"/>
    <x v="0"/>
    <x v="67"/>
    <x v="1"/>
    <x v="46"/>
    <x v="2"/>
    <x v="185"/>
    <x v="60"/>
    <x v="1"/>
    <x v="1"/>
  </r>
  <r>
    <x v="793"/>
    <x v="1"/>
    <x v="39"/>
    <x v="0"/>
    <x v="19"/>
    <x v="0"/>
    <x v="188"/>
    <x v="22"/>
    <x v="0"/>
    <x v="0"/>
  </r>
  <r>
    <x v="793"/>
    <x v="2"/>
    <x v="7"/>
    <x v="0"/>
    <x v="6"/>
    <x v="1"/>
    <x v="9"/>
    <x v="7"/>
    <x v="0"/>
    <x v="0"/>
  </r>
  <r>
    <x v="793"/>
    <x v="3"/>
    <x v="76"/>
    <x v="0"/>
    <x v="50"/>
    <x v="3"/>
    <x v="336"/>
    <x v="69"/>
    <x v="1"/>
    <x v="1"/>
  </r>
  <r>
    <x v="794"/>
    <x v="0"/>
    <x v="43"/>
    <x v="1"/>
    <x v="15"/>
    <x v="2"/>
    <x v="89"/>
    <x v="31"/>
    <x v="0"/>
    <x v="0"/>
  </r>
  <r>
    <x v="794"/>
    <x v="1"/>
    <x v="40"/>
    <x v="1"/>
    <x v="15"/>
    <x v="2"/>
    <x v="89"/>
    <x v="35"/>
    <x v="4"/>
    <x v="4"/>
  </r>
  <r>
    <x v="795"/>
    <x v="0"/>
    <x v="18"/>
    <x v="1"/>
    <x v="14"/>
    <x v="0"/>
    <x v="117"/>
    <x v="16"/>
    <x v="1"/>
    <x v="1"/>
  </r>
  <r>
    <x v="796"/>
    <x v="0"/>
    <x v="16"/>
    <x v="0"/>
    <x v="13"/>
    <x v="1"/>
    <x v="142"/>
    <x v="14"/>
    <x v="2"/>
    <x v="2"/>
  </r>
  <r>
    <x v="796"/>
    <x v="1"/>
    <x v="79"/>
    <x v="0"/>
    <x v="24"/>
    <x v="2"/>
    <x v="205"/>
    <x v="72"/>
    <x v="0"/>
    <x v="0"/>
  </r>
  <r>
    <x v="796"/>
    <x v="2"/>
    <x v="51"/>
    <x v="0"/>
    <x v="35"/>
    <x v="3"/>
    <x v="337"/>
    <x v="44"/>
    <x v="0"/>
    <x v="0"/>
  </r>
  <r>
    <x v="796"/>
    <x v="3"/>
    <x v="59"/>
    <x v="1"/>
    <x v="41"/>
    <x v="2"/>
    <x v="176"/>
    <x v="52"/>
    <x v="6"/>
    <x v="6"/>
  </r>
  <r>
    <x v="796"/>
    <x v="4"/>
    <x v="37"/>
    <x v="1"/>
    <x v="25"/>
    <x v="3"/>
    <x v="279"/>
    <x v="33"/>
    <x v="2"/>
    <x v="2"/>
  </r>
  <r>
    <x v="797"/>
    <x v="0"/>
    <x v="19"/>
    <x v="0"/>
    <x v="15"/>
    <x v="3"/>
    <x v="37"/>
    <x v="17"/>
    <x v="4"/>
    <x v="4"/>
  </r>
  <r>
    <x v="797"/>
    <x v="1"/>
    <x v="45"/>
    <x v="0"/>
    <x v="30"/>
    <x v="2"/>
    <x v="338"/>
    <x v="39"/>
    <x v="4"/>
    <x v="4"/>
  </r>
  <r>
    <x v="797"/>
    <x v="2"/>
    <x v="87"/>
    <x v="1"/>
    <x v="29"/>
    <x v="1"/>
    <x v="172"/>
    <x v="80"/>
    <x v="4"/>
    <x v="4"/>
  </r>
  <r>
    <x v="797"/>
    <x v="3"/>
    <x v="41"/>
    <x v="0"/>
    <x v="27"/>
    <x v="0"/>
    <x v="319"/>
    <x v="36"/>
    <x v="1"/>
    <x v="1"/>
  </r>
  <r>
    <x v="797"/>
    <x v="4"/>
    <x v="8"/>
    <x v="1"/>
    <x v="0"/>
    <x v="2"/>
    <x v="3"/>
    <x v="3"/>
    <x v="0"/>
    <x v="0"/>
  </r>
  <r>
    <x v="798"/>
    <x v="0"/>
    <x v="21"/>
    <x v="1"/>
    <x v="16"/>
    <x v="3"/>
    <x v="87"/>
    <x v="18"/>
    <x v="1"/>
    <x v="1"/>
  </r>
  <r>
    <x v="798"/>
    <x v="1"/>
    <x v="98"/>
    <x v="1"/>
    <x v="14"/>
    <x v="2"/>
    <x v="124"/>
    <x v="90"/>
    <x v="1"/>
    <x v="1"/>
  </r>
  <r>
    <x v="798"/>
    <x v="2"/>
    <x v="61"/>
    <x v="1"/>
    <x v="4"/>
    <x v="1"/>
    <x v="13"/>
    <x v="54"/>
    <x v="1"/>
    <x v="1"/>
  </r>
  <r>
    <x v="798"/>
    <x v="3"/>
    <x v="65"/>
    <x v="0"/>
    <x v="25"/>
    <x v="3"/>
    <x v="315"/>
    <x v="58"/>
    <x v="2"/>
    <x v="2"/>
  </r>
  <r>
    <x v="798"/>
    <x v="4"/>
    <x v="71"/>
    <x v="1"/>
    <x v="23"/>
    <x v="1"/>
    <x v="179"/>
    <x v="64"/>
    <x v="6"/>
    <x v="6"/>
  </r>
  <r>
    <x v="799"/>
    <x v="0"/>
    <x v="105"/>
    <x v="1"/>
    <x v="63"/>
    <x v="3"/>
    <x v="287"/>
    <x v="97"/>
    <x v="0"/>
    <x v="0"/>
  </r>
  <r>
    <x v="799"/>
    <x v="1"/>
    <x v="59"/>
    <x v="0"/>
    <x v="41"/>
    <x v="1"/>
    <x v="339"/>
    <x v="52"/>
    <x v="6"/>
    <x v="6"/>
  </r>
  <r>
    <x v="799"/>
    <x v="2"/>
    <x v="18"/>
    <x v="1"/>
    <x v="14"/>
    <x v="2"/>
    <x v="124"/>
    <x v="16"/>
    <x v="1"/>
    <x v="1"/>
  </r>
  <r>
    <x v="799"/>
    <x v="3"/>
    <x v="58"/>
    <x v="0"/>
    <x v="40"/>
    <x v="3"/>
    <x v="340"/>
    <x v="51"/>
    <x v="6"/>
    <x v="6"/>
  </r>
  <r>
    <x v="799"/>
    <x v="4"/>
    <x v="43"/>
    <x v="1"/>
    <x v="15"/>
    <x v="2"/>
    <x v="89"/>
    <x v="31"/>
    <x v="0"/>
    <x v="0"/>
  </r>
  <r>
    <x v="800"/>
    <x v="0"/>
    <x v="70"/>
    <x v="0"/>
    <x v="48"/>
    <x v="1"/>
    <x v="341"/>
    <x v="63"/>
    <x v="4"/>
    <x v="4"/>
  </r>
  <r>
    <x v="801"/>
    <x v="0"/>
    <x v="34"/>
    <x v="0"/>
    <x v="4"/>
    <x v="2"/>
    <x v="6"/>
    <x v="30"/>
    <x v="1"/>
    <x v="1"/>
  </r>
  <r>
    <x v="801"/>
    <x v="1"/>
    <x v="107"/>
    <x v="1"/>
    <x v="61"/>
    <x v="0"/>
    <x v="299"/>
    <x v="99"/>
    <x v="1"/>
    <x v="1"/>
  </r>
  <r>
    <x v="801"/>
    <x v="2"/>
    <x v="95"/>
    <x v="0"/>
    <x v="23"/>
    <x v="3"/>
    <x v="253"/>
    <x v="87"/>
    <x v="1"/>
    <x v="1"/>
  </r>
  <r>
    <x v="801"/>
    <x v="3"/>
    <x v="76"/>
    <x v="0"/>
    <x v="50"/>
    <x v="2"/>
    <x v="261"/>
    <x v="69"/>
    <x v="1"/>
    <x v="1"/>
  </r>
  <r>
    <x v="802"/>
    <x v="0"/>
    <x v="103"/>
    <x v="0"/>
    <x v="38"/>
    <x v="1"/>
    <x v="271"/>
    <x v="95"/>
    <x v="5"/>
    <x v="5"/>
  </r>
  <r>
    <x v="802"/>
    <x v="1"/>
    <x v="58"/>
    <x v="1"/>
    <x v="40"/>
    <x v="2"/>
    <x v="217"/>
    <x v="51"/>
    <x v="6"/>
    <x v="6"/>
  </r>
  <r>
    <x v="802"/>
    <x v="2"/>
    <x v="48"/>
    <x v="0"/>
    <x v="26"/>
    <x v="1"/>
    <x v="255"/>
    <x v="34"/>
    <x v="0"/>
    <x v="0"/>
  </r>
  <r>
    <x v="802"/>
    <x v="3"/>
    <x v="56"/>
    <x v="1"/>
    <x v="39"/>
    <x v="2"/>
    <x v="219"/>
    <x v="49"/>
    <x v="4"/>
    <x v="4"/>
  </r>
  <r>
    <x v="803"/>
    <x v="0"/>
    <x v="84"/>
    <x v="1"/>
    <x v="30"/>
    <x v="0"/>
    <x v="266"/>
    <x v="77"/>
    <x v="4"/>
    <x v="4"/>
  </r>
  <r>
    <x v="803"/>
    <x v="1"/>
    <x v="29"/>
    <x v="0"/>
    <x v="5"/>
    <x v="1"/>
    <x v="116"/>
    <x v="25"/>
    <x v="6"/>
    <x v="6"/>
  </r>
  <r>
    <x v="803"/>
    <x v="2"/>
    <x v="69"/>
    <x v="1"/>
    <x v="47"/>
    <x v="2"/>
    <x v="342"/>
    <x v="62"/>
    <x v="6"/>
    <x v="6"/>
  </r>
  <r>
    <x v="804"/>
    <x v="0"/>
    <x v="24"/>
    <x v="0"/>
    <x v="8"/>
    <x v="2"/>
    <x v="101"/>
    <x v="9"/>
    <x v="0"/>
    <x v="0"/>
  </r>
  <r>
    <x v="804"/>
    <x v="1"/>
    <x v="57"/>
    <x v="1"/>
    <x v="14"/>
    <x v="0"/>
    <x v="117"/>
    <x v="50"/>
    <x v="1"/>
    <x v="1"/>
  </r>
  <r>
    <x v="804"/>
    <x v="2"/>
    <x v="37"/>
    <x v="1"/>
    <x v="25"/>
    <x v="0"/>
    <x v="165"/>
    <x v="33"/>
    <x v="2"/>
    <x v="2"/>
  </r>
  <r>
    <x v="804"/>
    <x v="3"/>
    <x v="33"/>
    <x v="0"/>
    <x v="14"/>
    <x v="1"/>
    <x v="29"/>
    <x v="29"/>
    <x v="1"/>
    <x v="1"/>
  </r>
  <r>
    <x v="804"/>
    <x v="4"/>
    <x v="18"/>
    <x v="1"/>
    <x v="14"/>
    <x v="2"/>
    <x v="124"/>
    <x v="16"/>
    <x v="1"/>
    <x v="1"/>
  </r>
  <r>
    <x v="805"/>
    <x v="0"/>
    <x v="101"/>
    <x v="1"/>
    <x v="30"/>
    <x v="3"/>
    <x v="343"/>
    <x v="93"/>
    <x v="4"/>
    <x v="4"/>
  </r>
  <r>
    <x v="805"/>
    <x v="1"/>
    <x v="44"/>
    <x v="0"/>
    <x v="29"/>
    <x v="0"/>
    <x v="344"/>
    <x v="38"/>
    <x v="4"/>
    <x v="4"/>
  </r>
  <r>
    <x v="805"/>
    <x v="2"/>
    <x v="104"/>
    <x v="1"/>
    <x v="62"/>
    <x v="3"/>
    <x v="345"/>
    <x v="96"/>
    <x v="0"/>
    <x v="0"/>
  </r>
  <r>
    <x v="805"/>
    <x v="3"/>
    <x v="90"/>
    <x v="1"/>
    <x v="43"/>
    <x v="0"/>
    <x v="247"/>
    <x v="83"/>
    <x v="0"/>
    <x v="0"/>
  </r>
  <r>
    <x v="805"/>
    <x v="4"/>
    <x v="87"/>
    <x v="1"/>
    <x v="29"/>
    <x v="1"/>
    <x v="172"/>
    <x v="80"/>
    <x v="4"/>
    <x v="4"/>
  </r>
  <r>
    <x v="806"/>
    <x v="0"/>
    <x v="20"/>
    <x v="1"/>
    <x v="11"/>
    <x v="0"/>
    <x v="78"/>
    <x v="15"/>
    <x v="0"/>
    <x v="0"/>
  </r>
  <r>
    <x v="806"/>
    <x v="1"/>
    <x v="18"/>
    <x v="0"/>
    <x v="14"/>
    <x v="1"/>
    <x v="29"/>
    <x v="16"/>
    <x v="1"/>
    <x v="1"/>
  </r>
  <r>
    <x v="806"/>
    <x v="2"/>
    <x v="5"/>
    <x v="1"/>
    <x v="4"/>
    <x v="1"/>
    <x v="13"/>
    <x v="5"/>
    <x v="1"/>
    <x v="1"/>
  </r>
  <r>
    <x v="806"/>
    <x v="3"/>
    <x v="11"/>
    <x v="1"/>
    <x v="9"/>
    <x v="0"/>
    <x v="44"/>
    <x v="10"/>
    <x v="3"/>
    <x v="3"/>
  </r>
  <r>
    <x v="806"/>
    <x v="4"/>
    <x v="3"/>
    <x v="0"/>
    <x v="0"/>
    <x v="0"/>
    <x v="0"/>
    <x v="3"/>
    <x v="0"/>
    <x v="0"/>
  </r>
  <r>
    <x v="807"/>
    <x v="0"/>
    <x v="81"/>
    <x v="1"/>
    <x v="29"/>
    <x v="2"/>
    <x v="215"/>
    <x v="74"/>
    <x v="4"/>
    <x v="4"/>
  </r>
  <r>
    <x v="807"/>
    <x v="1"/>
    <x v="9"/>
    <x v="0"/>
    <x v="7"/>
    <x v="2"/>
    <x v="72"/>
    <x v="8"/>
    <x v="0"/>
    <x v="0"/>
  </r>
  <r>
    <x v="807"/>
    <x v="2"/>
    <x v="25"/>
    <x v="0"/>
    <x v="18"/>
    <x v="2"/>
    <x v="161"/>
    <x v="21"/>
    <x v="4"/>
    <x v="4"/>
  </r>
  <r>
    <x v="807"/>
    <x v="3"/>
    <x v="23"/>
    <x v="1"/>
    <x v="7"/>
    <x v="2"/>
    <x v="32"/>
    <x v="20"/>
    <x v="0"/>
    <x v="0"/>
  </r>
  <r>
    <x v="808"/>
    <x v="0"/>
    <x v="46"/>
    <x v="0"/>
    <x v="31"/>
    <x v="3"/>
    <x v="295"/>
    <x v="40"/>
    <x v="0"/>
    <x v="0"/>
  </r>
  <r>
    <x v="808"/>
    <x v="1"/>
    <x v="8"/>
    <x v="0"/>
    <x v="0"/>
    <x v="0"/>
    <x v="0"/>
    <x v="3"/>
    <x v="0"/>
    <x v="0"/>
  </r>
  <r>
    <x v="808"/>
    <x v="2"/>
    <x v="102"/>
    <x v="1"/>
    <x v="30"/>
    <x v="3"/>
    <x v="343"/>
    <x v="94"/>
    <x v="4"/>
    <x v="4"/>
  </r>
  <r>
    <x v="809"/>
    <x v="0"/>
    <x v="27"/>
    <x v="1"/>
    <x v="20"/>
    <x v="2"/>
    <x v="346"/>
    <x v="23"/>
    <x v="5"/>
    <x v="5"/>
  </r>
  <r>
    <x v="809"/>
    <x v="1"/>
    <x v="96"/>
    <x v="0"/>
    <x v="26"/>
    <x v="0"/>
    <x v="153"/>
    <x v="88"/>
    <x v="4"/>
    <x v="4"/>
  </r>
  <r>
    <x v="809"/>
    <x v="2"/>
    <x v="28"/>
    <x v="0"/>
    <x v="21"/>
    <x v="2"/>
    <x v="347"/>
    <x v="24"/>
    <x v="6"/>
    <x v="6"/>
  </r>
  <r>
    <x v="809"/>
    <x v="3"/>
    <x v="13"/>
    <x v="0"/>
    <x v="11"/>
    <x v="0"/>
    <x v="51"/>
    <x v="12"/>
    <x v="0"/>
    <x v="0"/>
  </r>
  <r>
    <x v="810"/>
    <x v="0"/>
    <x v="78"/>
    <x v="1"/>
    <x v="52"/>
    <x v="1"/>
    <x v="272"/>
    <x v="71"/>
    <x v="1"/>
    <x v="1"/>
  </r>
  <r>
    <x v="810"/>
    <x v="1"/>
    <x v="59"/>
    <x v="0"/>
    <x v="41"/>
    <x v="0"/>
    <x v="334"/>
    <x v="52"/>
    <x v="6"/>
    <x v="6"/>
  </r>
  <r>
    <x v="810"/>
    <x v="2"/>
    <x v="63"/>
    <x v="0"/>
    <x v="43"/>
    <x v="1"/>
    <x v="348"/>
    <x v="56"/>
    <x v="0"/>
    <x v="0"/>
  </r>
  <r>
    <x v="810"/>
    <x v="3"/>
    <x v="82"/>
    <x v="0"/>
    <x v="34"/>
    <x v="3"/>
    <x v="173"/>
    <x v="75"/>
    <x v="0"/>
    <x v="0"/>
  </r>
  <r>
    <x v="811"/>
    <x v="0"/>
    <x v="35"/>
    <x v="1"/>
    <x v="15"/>
    <x v="3"/>
    <x v="50"/>
    <x v="31"/>
    <x v="0"/>
    <x v="0"/>
  </r>
  <r>
    <x v="811"/>
    <x v="1"/>
    <x v="95"/>
    <x v="0"/>
    <x v="23"/>
    <x v="0"/>
    <x v="223"/>
    <x v="87"/>
    <x v="1"/>
    <x v="1"/>
  </r>
  <r>
    <x v="812"/>
    <x v="0"/>
    <x v="81"/>
    <x v="1"/>
    <x v="29"/>
    <x v="3"/>
    <x v="157"/>
    <x v="74"/>
    <x v="4"/>
    <x v="4"/>
  </r>
  <r>
    <x v="812"/>
    <x v="1"/>
    <x v="25"/>
    <x v="1"/>
    <x v="18"/>
    <x v="0"/>
    <x v="144"/>
    <x v="21"/>
    <x v="4"/>
    <x v="4"/>
  </r>
  <r>
    <x v="812"/>
    <x v="2"/>
    <x v="57"/>
    <x v="1"/>
    <x v="14"/>
    <x v="0"/>
    <x v="117"/>
    <x v="50"/>
    <x v="1"/>
    <x v="1"/>
  </r>
  <r>
    <x v="812"/>
    <x v="3"/>
    <x v="8"/>
    <x v="1"/>
    <x v="0"/>
    <x v="1"/>
    <x v="19"/>
    <x v="3"/>
    <x v="0"/>
    <x v="0"/>
  </r>
  <r>
    <x v="812"/>
    <x v="4"/>
    <x v="68"/>
    <x v="1"/>
    <x v="24"/>
    <x v="2"/>
    <x v="293"/>
    <x v="61"/>
    <x v="0"/>
    <x v="0"/>
  </r>
  <r>
    <x v="813"/>
    <x v="0"/>
    <x v="79"/>
    <x v="1"/>
    <x v="24"/>
    <x v="3"/>
    <x v="288"/>
    <x v="72"/>
    <x v="0"/>
    <x v="0"/>
  </r>
  <r>
    <x v="813"/>
    <x v="1"/>
    <x v="96"/>
    <x v="0"/>
    <x v="26"/>
    <x v="3"/>
    <x v="164"/>
    <x v="88"/>
    <x v="4"/>
    <x v="4"/>
  </r>
  <r>
    <x v="813"/>
    <x v="2"/>
    <x v="105"/>
    <x v="0"/>
    <x v="63"/>
    <x v="0"/>
    <x v="349"/>
    <x v="97"/>
    <x v="0"/>
    <x v="0"/>
  </r>
  <r>
    <x v="813"/>
    <x v="3"/>
    <x v="56"/>
    <x v="1"/>
    <x v="39"/>
    <x v="2"/>
    <x v="219"/>
    <x v="49"/>
    <x v="4"/>
    <x v="4"/>
  </r>
  <r>
    <x v="814"/>
    <x v="0"/>
    <x v="86"/>
    <x v="1"/>
    <x v="54"/>
    <x v="0"/>
    <x v="350"/>
    <x v="79"/>
    <x v="5"/>
    <x v="5"/>
  </r>
  <r>
    <x v="814"/>
    <x v="1"/>
    <x v="48"/>
    <x v="1"/>
    <x v="26"/>
    <x v="0"/>
    <x v="195"/>
    <x v="34"/>
    <x v="0"/>
    <x v="0"/>
  </r>
  <r>
    <x v="814"/>
    <x v="2"/>
    <x v="108"/>
    <x v="1"/>
    <x v="37"/>
    <x v="3"/>
    <x v="351"/>
    <x v="100"/>
    <x v="4"/>
    <x v="4"/>
  </r>
  <r>
    <x v="814"/>
    <x v="3"/>
    <x v="19"/>
    <x v="0"/>
    <x v="15"/>
    <x v="1"/>
    <x v="75"/>
    <x v="17"/>
    <x v="4"/>
    <x v="4"/>
  </r>
  <r>
    <x v="815"/>
    <x v="0"/>
    <x v="85"/>
    <x v="1"/>
    <x v="0"/>
    <x v="3"/>
    <x v="28"/>
    <x v="78"/>
    <x v="0"/>
    <x v="0"/>
  </r>
  <r>
    <x v="815"/>
    <x v="1"/>
    <x v="38"/>
    <x v="1"/>
    <x v="26"/>
    <x v="0"/>
    <x v="195"/>
    <x v="34"/>
    <x v="0"/>
    <x v="0"/>
  </r>
  <r>
    <x v="816"/>
    <x v="0"/>
    <x v="25"/>
    <x v="0"/>
    <x v="18"/>
    <x v="2"/>
    <x v="161"/>
    <x v="21"/>
    <x v="4"/>
    <x v="4"/>
  </r>
  <r>
    <x v="816"/>
    <x v="1"/>
    <x v="86"/>
    <x v="1"/>
    <x v="54"/>
    <x v="1"/>
    <x v="214"/>
    <x v="79"/>
    <x v="5"/>
    <x v="5"/>
  </r>
  <r>
    <x v="816"/>
    <x v="2"/>
    <x v="74"/>
    <x v="1"/>
    <x v="42"/>
    <x v="2"/>
    <x v="199"/>
    <x v="67"/>
    <x v="6"/>
    <x v="6"/>
  </r>
  <r>
    <x v="817"/>
    <x v="0"/>
    <x v="27"/>
    <x v="0"/>
    <x v="20"/>
    <x v="2"/>
    <x v="146"/>
    <x v="23"/>
    <x v="5"/>
    <x v="5"/>
  </r>
  <r>
    <x v="817"/>
    <x v="1"/>
    <x v="99"/>
    <x v="1"/>
    <x v="60"/>
    <x v="1"/>
    <x v="352"/>
    <x v="91"/>
    <x v="1"/>
    <x v="1"/>
  </r>
  <r>
    <x v="817"/>
    <x v="2"/>
    <x v="23"/>
    <x v="1"/>
    <x v="7"/>
    <x v="2"/>
    <x v="32"/>
    <x v="20"/>
    <x v="0"/>
    <x v="0"/>
  </r>
  <r>
    <x v="817"/>
    <x v="3"/>
    <x v="74"/>
    <x v="1"/>
    <x v="42"/>
    <x v="2"/>
    <x v="199"/>
    <x v="67"/>
    <x v="6"/>
    <x v="6"/>
  </r>
  <r>
    <x v="818"/>
    <x v="0"/>
    <x v="49"/>
    <x v="0"/>
    <x v="33"/>
    <x v="0"/>
    <x v="353"/>
    <x v="42"/>
    <x v="4"/>
    <x v="4"/>
  </r>
  <r>
    <x v="819"/>
    <x v="0"/>
    <x v="92"/>
    <x v="0"/>
    <x v="24"/>
    <x v="2"/>
    <x v="205"/>
    <x v="72"/>
    <x v="0"/>
    <x v="0"/>
  </r>
  <r>
    <x v="820"/>
    <x v="0"/>
    <x v="48"/>
    <x v="0"/>
    <x v="26"/>
    <x v="1"/>
    <x v="255"/>
    <x v="34"/>
    <x v="0"/>
    <x v="0"/>
  </r>
  <r>
    <x v="820"/>
    <x v="1"/>
    <x v="63"/>
    <x v="1"/>
    <x v="43"/>
    <x v="0"/>
    <x v="247"/>
    <x v="56"/>
    <x v="0"/>
    <x v="0"/>
  </r>
  <r>
    <x v="820"/>
    <x v="2"/>
    <x v="18"/>
    <x v="0"/>
    <x v="14"/>
    <x v="0"/>
    <x v="63"/>
    <x v="16"/>
    <x v="1"/>
    <x v="1"/>
  </r>
  <r>
    <x v="820"/>
    <x v="3"/>
    <x v="92"/>
    <x v="0"/>
    <x v="24"/>
    <x v="2"/>
    <x v="205"/>
    <x v="72"/>
    <x v="0"/>
    <x v="0"/>
  </r>
  <r>
    <x v="821"/>
    <x v="0"/>
    <x v="29"/>
    <x v="0"/>
    <x v="5"/>
    <x v="2"/>
    <x v="132"/>
    <x v="25"/>
    <x v="6"/>
    <x v="6"/>
  </r>
  <r>
    <x v="821"/>
    <x v="1"/>
    <x v="31"/>
    <x v="0"/>
    <x v="22"/>
    <x v="0"/>
    <x v="252"/>
    <x v="27"/>
    <x v="0"/>
    <x v="0"/>
  </r>
  <r>
    <x v="822"/>
    <x v="0"/>
    <x v="28"/>
    <x v="1"/>
    <x v="21"/>
    <x v="1"/>
    <x v="354"/>
    <x v="24"/>
    <x v="6"/>
    <x v="6"/>
  </r>
  <r>
    <x v="822"/>
    <x v="1"/>
    <x v="106"/>
    <x v="1"/>
    <x v="39"/>
    <x v="0"/>
    <x v="355"/>
    <x v="98"/>
    <x v="4"/>
    <x v="4"/>
  </r>
  <r>
    <x v="822"/>
    <x v="2"/>
    <x v="89"/>
    <x v="0"/>
    <x v="56"/>
    <x v="0"/>
    <x v="356"/>
    <x v="82"/>
    <x v="0"/>
    <x v="0"/>
  </r>
  <r>
    <x v="823"/>
    <x v="0"/>
    <x v="102"/>
    <x v="1"/>
    <x v="30"/>
    <x v="3"/>
    <x v="343"/>
    <x v="94"/>
    <x v="4"/>
    <x v="4"/>
  </r>
  <r>
    <x v="824"/>
    <x v="0"/>
    <x v="23"/>
    <x v="0"/>
    <x v="7"/>
    <x v="3"/>
    <x v="65"/>
    <x v="20"/>
    <x v="0"/>
    <x v="0"/>
  </r>
  <r>
    <x v="824"/>
    <x v="1"/>
    <x v="34"/>
    <x v="1"/>
    <x v="4"/>
    <x v="0"/>
    <x v="73"/>
    <x v="30"/>
    <x v="1"/>
    <x v="1"/>
  </r>
  <r>
    <x v="825"/>
    <x v="0"/>
    <x v="78"/>
    <x v="1"/>
    <x v="52"/>
    <x v="0"/>
    <x v="250"/>
    <x v="71"/>
    <x v="1"/>
    <x v="1"/>
  </r>
  <r>
    <x v="825"/>
    <x v="1"/>
    <x v="107"/>
    <x v="0"/>
    <x v="61"/>
    <x v="3"/>
    <x v="326"/>
    <x v="99"/>
    <x v="1"/>
    <x v="1"/>
  </r>
  <r>
    <x v="826"/>
    <x v="0"/>
    <x v="52"/>
    <x v="0"/>
    <x v="28"/>
    <x v="2"/>
    <x v="357"/>
    <x v="45"/>
    <x v="1"/>
    <x v="1"/>
  </r>
  <r>
    <x v="826"/>
    <x v="1"/>
    <x v="67"/>
    <x v="0"/>
    <x v="46"/>
    <x v="0"/>
    <x v="358"/>
    <x v="60"/>
    <x v="1"/>
    <x v="1"/>
  </r>
  <r>
    <x v="826"/>
    <x v="2"/>
    <x v="76"/>
    <x v="0"/>
    <x v="50"/>
    <x v="0"/>
    <x v="324"/>
    <x v="69"/>
    <x v="1"/>
    <x v="1"/>
  </r>
  <r>
    <x v="826"/>
    <x v="3"/>
    <x v="75"/>
    <x v="0"/>
    <x v="19"/>
    <x v="0"/>
    <x v="188"/>
    <x v="68"/>
    <x v="5"/>
    <x v="5"/>
  </r>
  <r>
    <x v="827"/>
    <x v="0"/>
    <x v="22"/>
    <x v="1"/>
    <x v="17"/>
    <x v="0"/>
    <x v="91"/>
    <x v="19"/>
    <x v="5"/>
    <x v="5"/>
  </r>
  <r>
    <x v="827"/>
    <x v="1"/>
    <x v="24"/>
    <x v="0"/>
    <x v="8"/>
    <x v="0"/>
    <x v="57"/>
    <x v="9"/>
    <x v="0"/>
    <x v="0"/>
  </r>
  <r>
    <x v="827"/>
    <x v="2"/>
    <x v="66"/>
    <x v="1"/>
    <x v="45"/>
    <x v="1"/>
    <x v="359"/>
    <x v="59"/>
    <x v="6"/>
    <x v="6"/>
  </r>
  <r>
    <x v="828"/>
    <x v="0"/>
    <x v="27"/>
    <x v="0"/>
    <x v="20"/>
    <x v="0"/>
    <x v="320"/>
    <x v="23"/>
    <x v="5"/>
    <x v="5"/>
  </r>
  <r>
    <x v="828"/>
    <x v="1"/>
    <x v="86"/>
    <x v="1"/>
    <x v="54"/>
    <x v="3"/>
    <x v="360"/>
    <x v="79"/>
    <x v="5"/>
    <x v="5"/>
  </r>
  <r>
    <x v="829"/>
    <x v="0"/>
    <x v="25"/>
    <x v="1"/>
    <x v="18"/>
    <x v="0"/>
    <x v="144"/>
    <x v="21"/>
    <x v="4"/>
    <x v="4"/>
  </r>
  <r>
    <x v="829"/>
    <x v="1"/>
    <x v="96"/>
    <x v="1"/>
    <x v="26"/>
    <x v="1"/>
    <x v="184"/>
    <x v="88"/>
    <x v="4"/>
    <x v="4"/>
  </r>
  <r>
    <x v="829"/>
    <x v="2"/>
    <x v="81"/>
    <x v="1"/>
    <x v="29"/>
    <x v="0"/>
    <x v="209"/>
    <x v="74"/>
    <x v="4"/>
    <x v="4"/>
  </r>
  <r>
    <x v="830"/>
    <x v="0"/>
    <x v="50"/>
    <x v="0"/>
    <x v="34"/>
    <x v="0"/>
    <x v="210"/>
    <x v="43"/>
    <x v="0"/>
    <x v="0"/>
  </r>
  <r>
    <x v="830"/>
    <x v="1"/>
    <x v="16"/>
    <x v="0"/>
    <x v="13"/>
    <x v="0"/>
    <x v="114"/>
    <x v="14"/>
    <x v="2"/>
    <x v="2"/>
  </r>
  <r>
    <x v="830"/>
    <x v="2"/>
    <x v="39"/>
    <x v="0"/>
    <x v="19"/>
    <x v="3"/>
    <x v="201"/>
    <x v="22"/>
    <x v="0"/>
    <x v="0"/>
  </r>
  <r>
    <x v="831"/>
    <x v="0"/>
    <x v="59"/>
    <x v="0"/>
    <x v="41"/>
    <x v="2"/>
    <x v="361"/>
    <x v="52"/>
    <x v="6"/>
    <x v="6"/>
  </r>
  <r>
    <x v="831"/>
    <x v="1"/>
    <x v="78"/>
    <x v="0"/>
    <x v="52"/>
    <x v="0"/>
    <x v="362"/>
    <x v="71"/>
    <x v="1"/>
    <x v="1"/>
  </r>
  <r>
    <x v="831"/>
    <x v="2"/>
    <x v="97"/>
    <x v="0"/>
    <x v="4"/>
    <x v="1"/>
    <x v="133"/>
    <x v="89"/>
    <x v="1"/>
    <x v="1"/>
  </r>
  <r>
    <x v="831"/>
    <x v="3"/>
    <x v="3"/>
    <x v="1"/>
    <x v="0"/>
    <x v="3"/>
    <x v="28"/>
    <x v="3"/>
    <x v="0"/>
    <x v="0"/>
  </r>
  <r>
    <x v="832"/>
    <x v="0"/>
    <x v="0"/>
    <x v="1"/>
    <x v="0"/>
    <x v="2"/>
    <x v="3"/>
    <x v="0"/>
    <x v="0"/>
    <x v="0"/>
  </r>
  <r>
    <x v="833"/>
    <x v="0"/>
    <x v="59"/>
    <x v="0"/>
    <x v="41"/>
    <x v="1"/>
    <x v="339"/>
    <x v="52"/>
    <x v="6"/>
    <x v="6"/>
  </r>
  <r>
    <x v="833"/>
    <x v="1"/>
    <x v="20"/>
    <x v="0"/>
    <x v="11"/>
    <x v="2"/>
    <x v="18"/>
    <x v="15"/>
    <x v="0"/>
    <x v="0"/>
  </r>
  <r>
    <x v="833"/>
    <x v="2"/>
    <x v="46"/>
    <x v="0"/>
    <x v="31"/>
    <x v="0"/>
    <x v="363"/>
    <x v="40"/>
    <x v="0"/>
    <x v="0"/>
  </r>
  <r>
    <x v="834"/>
    <x v="0"/>
    <x v="105"/>
    <x v="1"/>
    <x v="63"/>
    <x v="1"/>
    <x v="306"/>
    <x v="97"/>
    <x v="0"/>
    <x v="0"/>
  </r>
  <r>
    <x v="834"/>
    <x v="1"/>
    <x v="90"/>
    <x v="0"/>
    <x v="43"/>
    <x v="0"/>
    <x v="212"/>
    <x v="83"/>
    <x v="0"/>
    <x v="0"/>
  </r>
  <r>
    <x v="834"/>
    <x v="2"/>
    <x v="6"/>
    <x v="0"/>
    <x v="5"/>
    <x v="2"/>
    <x v="132"/>
    <x v="6"/>
    <x v="1"/>
    <x v="1"/>
  </r>
  <r>
    <x v="835"/>
    <x v="0"/>
    <x v="75"/>
    <x v="1"/>
    <x v="19"/>
    <x v="0"/>
    <x v="364"/>
    <x v="68"/>
    <x v="5"/>
    <x v="5"/>
  </r>
  <r>
    <x v="836"/>
    <x v="0"/>
    <x v="80"/>
    <x v="0"/>
    <x v="53"/>
    <x v="2"/>
    <x v="365"/>
    <x v="73"/>
    <x v="6"/>
    <x v="6"/>
  </r>
  <r>
    <x v="836"/>
    <x v="1"/>
    <x v="44"/>
    <x v="0"/>
    <x v="29"/>
    <x v="3"/>
    <x v="283"/>
    <x v="38"/>
    <x v="4"/>
    <x v="4"/>
  </r>
  <r>
    <x v="836"/>
    <x v="2"/>
    <x v="108"/>
    <x v="1"/>
    <x v="37"/>
    <x v="0"/>
    <x v="229"/>
    <x v="100"/>
    <x v="4"/>
    <x v="4"/>
  </r>
  <r>
    <x v="837"/>
    <x v="0"/>
    <x v="76"/>
    <x v="0"/>
    <x v="50"/>
    <x v="3"/>
    <x v="336"/>
    <x v="69"/>
    <x v="1"/>
    <x v="1"/>
  </r>
  <r>
    <x v="837"/>
    <x v="1"/>
    <x v="2"/>
    <x v="0"/>
    <x v="2"/>
    <x v="3"/>
    <x v="139"/>
    <x v="2"/>
    <x v="2"/>
    <x v="2"/>
  </r>
  <r>
    <x v="837"/>
    <x v="2"/>
    <x v="96"/>
    <x v="1"/>
    <x v="26"/>
    <x v="2"/>
    <x v="162"/>
    <x v="88"/>
    <x v="4"/>
    <x v="4"/>
  </r>
  <r>
    <x v="837"/>
    <x v="3"/>
    <x v="105"/>
    <x v="1"/>
    <x v="63"/>
    <x v="1"/>
    <x v="306"/>
    <x v="97"/>
    <x v="0"/>
    <x v="0"/>
  </r>
  <r>
    <x v="838"/>
    <x v="0"/>
    <x v="66"/>
    <x v="0"/>
    <x v="45"/>
    <x v="1"/>
    <x v="310"/>
    <x v="59"/>
    <x v="6"/>
    <x v="6"/>
  </r>
  <r>
    <x v="838"/>
    <x v="1"/>
    <x v="25"/>
    <x v="0"/>
    <x v="18"/>
    <x v="3"/>
    <x v="366"/>
    <x v="21"/>
    <x v="4"/>
    <x v="4"/>
  </r>
  <r>
    <x v="838"/>
    <x v="2"/>
    <x v="71"/>
    <x v="1"/>
    <x v="23"/>
    <x v="2"/>
    <x v="244"/>
    <x v="64"/>
    <x v="6"/>
    <x v="6"/>
  </r>
  <r>
    <x v="839"/>
    <x v="0"/>
    <x v="97"/>
    <x v="0"/>
    <x v="4"/>
    <x v="1"/>
    <x v="133"/>
    <x v="89"/>
    <x v="1"/>
    <x v="1"/>
  </r>
  <r>
    <x v="839"/>
    <x v="1"/>
    <x v="52"/>
    <x v="0"/>
    <x v="28"/>
    <x v="1"/>
    <x v="192"/>
    <x v="45"/>
    <x v="1"/>
    <x v="1"/>
  </r>
  <r>
    <x v="839"/>
    <x v="2"/>
    <x v="26"/>
    <x v="1"/>
    <x v="19"/>
    <x v="0"/>
    <x v="364"/>
    <x v="22"/>
    <x v="0"/>
    <x v="0"/>
  </r>
  <r>
    <x v="840"/>
    <x v="0"/>
    <x v="13"/>
    <x v="1"/>
    <x v="11"/>
    <x v="3"/>
    <x v="23"/>
    <x v="12"/>
    <x v="0"/>
    <x v="0"/>
  </r>
  <r>
    <x v="840"/>
    <x v="1"/>
    <x v="11"/>
    <x v="0"/>
    <x v="9"/>
    <x v="0"/>
    <x v="141"/>
    <x v="10"/>
    <x v="3"/>
    <x v="3"/>
  </r>
  <r>
    <x v="840"/>
    <x v="2"/>
    <x v="16"/>
    <x v="0"/>
    <x v="13"/>
    <x v="0"/>
    <x v="114"/>
    <x v="14"/>
    <x v="2"/>
    <x v="2"/>
  </r>
  <r>
    <x v="840"/>
    <x v="3"/>
    <x v="45"/>
    <x v="1"/>
    <x v="30"/>
    <x v="1"/>
    <x v="268"/>
    <x v="39"/>
    <x v="4"/>
    <x v="4"/>
  </r>
  <r>
    <x v="840"/>
    <x v="4"/>
    <x v="96"/>
    <x v="0"/>
    <x v="26"/>
    <x v="3"/>
    <x v="164"/>
    <x v="88"/>
    <x v="4"/>
    <x v="4"/>
  </r>
  <r>
    <x v="841"/>
    <x v="0"/>
    <x v="89"/>
    <x v="1"/>
    <x v="56"/>
    <x v="1"/>
    <x v="311"/>
    <x v="82"/>
    <x v="0"/>
    <x v="0"/>
  </r>
  <r>
    <x v="841"/>
    <x v="1"/>
    <x v="41"/>
    <x v="0"/>
    <x v="27"/>
    <x v="3"/>
    <x v="367"/>
    <x v="36"/>
    <x v="1"/>
    <x v="1"/>
  </r>
  <r>
    <x v="842"/>
    <x v="0"/>
    <x v="31"/>
    <x v="0"/>
    <x v="22"/>
    <x v="3"/>
    <x v="368"/>
    <x v="27"/>
    <x v="0"/>
    <x v="0"/>
  </r>
  <r>
    <x v="842"/>
    <x v="1"/>
    <x v="85"/>
    <x v="1"/>
    <x v="0"/>
    <x v="3"/>
    <x v="28"/>
    <x v="78"/>
    <x v="0"/>
    <x v="0"/>
  </r>
  <r>
    <x v="842"/>
    <x v="2"/>
    <x v="89"/>
    <x v="0"/>
    <x v="56"/>
    <x v="3"/>
    <x v="369"/>
    <x v="82"/>
    <x v="0"/>
    <x v="0"/>
  </r>
  <r>
    <x v="842"/>
    <x v="3"/>
    <x v="19"/>
    <x v="1"/>
    <x v="15"/>
    <x v="1"/>
    <x v="69"/>
    <x v="17"/>
    <x v="4"/>
    <x v="4"/>
  </r>
  <r>
    <x v="843"/>
    <x v="0"/>
    <x v="47"/>
    <x v="1"/>
    <x v="32"/>
    <x v="1"/>
    <x v="370"/>
    <x v="41"/>
    <x v="0"/>
    <x v="0"/>
  </r>
  <r>
    <x v="843"/>
    <x v="1"/>
    <x v="10"/>
    <x v="0"/>
    <x v="8"/>
    <x v="3"/>
    <x v="98"/>
    <x v="9"/>
    <x v="0"/>
    <x v="0"/>
  </r>
  <r>
    <x v="843"/>
    <x v="2"/>
    <x v="56"/>
    <x v="1"/>
    <x v="39"/>
    <x v="0"/>
    <x v="355"/>
    <x v="49"/>
    <x v="4"/>
    <x v="4"/>
  </r>
  <r>
    <x v="843"/>
    <x v="3"/>
    <x v="74"/>
    <x v="0"/>
    <x v="42"/>
    <x v="0"/>
    <x v="224"/>
    <x v="67"/>
    <x v="6"/>
    <x v="6"/>
  </r>
  <r>
    <x v="843"/>
    <x v="4"/>
    <x v="65"/>
    <x v="1"/>
    <x v="25"/>
    <x v="2"/>
    <x v="371"/>
    <x v="58"/>
    <x v="2"/>
    <x v="2"/>
  </r>
  <r>
    <x v="844"/>
    <x v="0"/>
    <x v="3"/>
    <x v="1"/>
    <x v="0"/>
    <x v="0"/>
    <x v="24"/>
    <x v="3"/>
    <x v="0"/>
    <x v="0"/>
  </r>
  <r>
    <x v="844"/>
    <x v="1"/>
    <x v="85"/>
    <x v="0"/>
    <x v="0"/>
    <x v="0"/>
    <x v="0"/>
    <x v="78"/>
    <x v="0"/>
    <x v="0"/>
  </r>
  <r>
    <x v="844"/>
    <x v="2"/>
    <x v="8"/>
    <x v="1"/>
    <x v="0"/>
    <x v="2"/>
    <x v="3"/>
    <x v="3"/>
    <x v="0"/>
    <x v="0"/>
  </r>
  <r>
    <x v="844"/>
    <x v="3"/>
    <x v="30"/>
    <x v="1"/>
    <x v="5"/>
    <x v="0"/>
    <x v="39"/>
    <x v="26"/>
    <x v="0"/>
    <x v="0"/>
  </r>
  <r>
    <x v="844"/>
    <x v="4"/>
    <x v="54"/>
    <x v="0"/>
    <x v="37"/>
    <x v="2"/>
    <x v="232"/>
    <x v="47"/>
    <x v="4"/>
    <x v="4"/>
  </r>
  <r>
    <x v="845"/>
    <x v="0"/>
    <x v="109"/>
    <x v="1"/>
    <x v="64"/>
    <x v="2"/>
    <x v="372"/>
    <x v="101"/>
    <x v="1"/>
    <x v="1"/>
  </r>
  <r>
    <x v="845"/>
    <x v="1"/>
    <x v="42"/>
    <x v="0"/>
    <x v="28"/>
    <x v="1"/>
    <x v="192"/>
    <x v="37"/>
    <x v="1"/>
    <x v="1"/>
  </r>
  <r>
    <x v="845"/>
    <x v="2"/>
    <x v="68"/>
    <x v="0"/>
    <x v="24"/>
    <x v="3"/>
    <x v="325"/>
    <x v="61"/>
    <x v="0"/>
    <x v="0"/>
  </r>
  <r>
    <x v="845"/>
    <x v="3"/>
    <x v="31"/>
    <x v="1"/>
    <x v="22"/>
    <x v="2"/>
    <x v="262"/>
    <x v="27"/>
    <x v="0"/>
    <x v="0"/>
  </r>
  <r>
    <x v="845"/>
    <x v="4"/>
    <x v="27"/>
    <x v="1"/>
    <x v="20"/>
    <x v="1"/>
    <x v="373"/>
    <x v="23"/>
    <x v="5"/>
    <x v="5"/>
  </r>
  <r>
    <x v="846"/>
    <x v="0"/>
    <x v="32"/>
    <x v="1"/>
    <x v="23"/>
    <x v="2"/>
    <x v="244"/>
    <x v="28"/>
    <x v="3"/>
    <x v="3"/>
  </r>
  <r>
    <x v="847"/>
    <x v="0"/>
    <x v="101"/>
    <x v="0"/>
    <x v="30"/>
    <x v="1"/>
    <x v="158"/>
    <x v="93"/>
    <x v="4"/>
    <x v="4"/>
  </r>
  <r>
    <x v="847"/>
    <x v="1"/>
    <x v="96"/>
    <x v="1"/>
    <x v="26"/>
    <x v="0"/>
    <x v="195"/>
    <x v="88"/>
    <x v="4"/>
    <x v="4"/>
  </r>
  <r>
    <x v="847"/>
    <x v="2"/>
    <x v="54"/>
    <x v="1"/>
    <x v="37"/>
    <x v="0"/>
    <x v="229"/>
    <x v="47"/>
    <x v="4"/>
    <x v="4"/>
  </r>
  <r>
    <x v="847"/>
    <x v="3"/>
    <x v="67"/>
    <x v="1"/>
    <x v="46"/>
    <x v="1"/>
    <x v="374"/>
    <x v="60"/>
    <x v="1"/>
    <x v="1"/>
  </r>
  <r>
    <x v="848"/>
    <x v="0"/>
    <x v="36"/>
    <x v="0"/>
    <x v="24"/>
    <x v="0"/>
    <x v="307"/>
    <x v="32"/>
    <x v="5"/>
    <x v="5"/>
  </r>
  <r>
    <x v="849"/>
    <x v="0"/>
    <x v="70"/>
    <x v="1"/>
    <x v="48"/>
    <x v="1"/>
    <x v="257"/>
    <x v="63"/>
    <x v="4"/>
    <x v="4"/>
  </r>
  <r>
    <x v="849"/>
    <x v="1"/>
    <x v="21"/>
    <x v="1"/>
    <x v="16"/>
    <x v="1"/>
    <x v="129"/>
    <x v="18"/>
    <x v="1"/>
    <x v="1"/>
  </r>
  <r>
    <x v="849"/>
    <x v="2"/>
    <x v="88"/>
    <x v="0"/>
    <x v="55"/>
    <x v="1"/>
    <x v="375"/>
    <x v="81"/>
    <x v="1"/>
    <x v="1"/>
  </r>
  <r>
    <x v="850"/>
    <x v="0"/>
    <x v="34"/>
    <x v="0"/>
    <x v="4"/>
    <x v="0"/>
    <x v="90"/>
    <x v="30"/>
    <x v="1"/>
    <x v="1"/>
  </r>
  <r>
    <x v="850"/>
    <x v="1"/>
    <x v="101"/>
    <x v="0"/>
    <x v="30"/>
    <x v="2"/>
    <x v="338"/>
    <x v="93"/>
    <x v="4"/>
    <x v="4"/>
  </r>
  <r>
    <x v="851"/>
    <x v="0"/>
    <x v="109"/>
    <x v="1"/>
    <x v="64"/>
    <x v="1"/>
    <x v="376"/>
    <x v="101"/>
    <x v="1"/>
    <x v="1"/>
  </r>
  <r>
    <x v="852"/>
    <x v="0"/>
    <x v="40"/>
    <x v="0"/>
    <x v="15"/>
    <x v="2"/>
    <x v="115"/>
    <x v="35"/>
    <x v="4"/>
    <x v="4"/>
  </r>
  <r>
    <x v="852"/>
    <x v="1"/>
    <x v="71"/>
    <x v="1"/>
    <x v="23"/>
    <x v="0"/>
    <x v="377"/>
    <x v="64"/>
    <x v="6"/>
    <x v="6"/>
  </r>
  <r>
    <x v="852"/>
    <x v="2"/>
    <x v="41"/>
    <x v="1"/>
    <x v="27"/>
    <x v="0"/>
    <x v="194"/>
    <x v="36"/>
    <x v="1"/>
    <x v="1"/>
  </r>
  <r>
    <x v="852"/>
    <x v="3"/>
    <x v="78"/>
    <x v="0"/>
    <x v="52"/>
    <x v="0"/>
    <x v="362"/>
    <x v="71"/>
    <x v="1"/>
    <x v="1"/>
  </r>
  <r>
    <x v="852"/>
    <x v="4"/>
    <x v="18"/>
    <x v="0"/>
    <x v="14"/>
    <x v="2"/>
    <x v="62"/>
    <x v="16"/>
    <x v="1"/>
    <x v="1"/>
  </r>
  <r>
    <x v="853"/>
    <x v="0"/>
    <x v="108"/>
    <x v="0"/>
    <x v="37"/>
    <x v="3"/>
    <x v="378"/>
    <x v="100"/>
    <x v="4"/>
    <x v="4"/>
  </r>
  <r>
    <x v="854"/>
    <x v="0"/>
    <x v="9"/>
    <x v="0"/>
    <x v="7"/>
    <x v="3"/>
    <x v="65"/>
    <x v="8"/>
    <x v="0"/>
    <x v="0"/>
  </r>
  <r>
    <x v="854"/>
    <x v="1"/>
    <x v="101"/>
    <x v="1"/>
    <x v="30"/>
    <x v="0"/>
    <x v="266"/>
    <x v="93"/>
    <x v="4"/>
    <x v="4"/>
  </r>
  <r>
    <x v="854"/>
    <x v="2"/>
    <x v="84"/>
    <x v="0"/>
    <x v="30"/>
    <x v="0"/>
    <x v="269"/>
    <x v="77"/>
    <x v="4"/>
    <x v="4"/>
  </r>
  <r>
    <x v="855"/>
    <x v="0"/>
    <x v="83"/>
    <x v="1"/>
    <x v="8"/>
    <x v="2"/>
    <x v="11"/>
    <x v="76"/>
    <x v="1"/>
    <x v="1"/>
  </r>
  <r>
    <x v="856"/>
    <x v="0"/>
    <x v="61"/>
    <x v="0"/>
    <x v="4"/>
    <x v="0"/>
    <x v="90"/>
    <x v="54"/>
    <x v="1"/>
    <x v="1"/>
  </r>
  <r>
    <x v="857"/>
    <x v="0"/>
    <x v="78"/>
    <x v="1"/>
    <x v="52"/>
    <x v="0"/>
    <x v="250"/>
    <x v="71"/>
    <x v="1"/>
    <x v="1"/>
  </r>
  <r>
    <x v="857"/>
    <x v="1"/>
    <x v="21"/>
    <x v="0"/>
    <x v="16"/>
    <x v="0"/>
    <x v="58"/>
    <x v="18"/>
    <x v="1"/>
    <x v="1"/>
  </r>
  <r>
    <x v="857"/>
    <x v="2"/>
    <x v="15"/>
    <x v="0"/>
    <x v="11"/>
    <x v="1"/>
    <x v="36"/>
    <x v="12"/>
    <x v="0"/>
    <x v="0"/>
  </r>
  <r>
    <x v="857"/>
    <x v="3"/>
    <x v="30"/>
    <x v="1"/>
    <x v="5"/>
    <x v="1"/>
    <x v="130"/>
    <x v="26"/>
    <x v="0"/>
    <x v="0"/>
  </r>
  <r>
    <x v="858"/>
    <x v="0"/>
    <x v="83"/>
    <x v="1"/>
    <x v="8"/>
    <x v="1"/>
    <x v="30"/>
    <x v="76"/>
    <x v="1"/>
    <x v="1"/>
  </r>
  <r>
    <x v="858"/>
    <x v="1"/>
    <x v="17"/>
    <x v="0"/>
    <x v="11"/>
    <x v="3"/>
    <x v="21"/>
    <x v="15"/>
    <x v="0"/>
    <x v="0"/>
  </r>
  <r>
    <x v="858"/>
    <x v="2"/>
    <x v="15"/>
    <x v="1"/>
    <x v="11"/>
    <x v="3"/>
    <x v="23"/>
    <x v="12"/>
    <x v="0"/>
    <x v="0"/>
  </r>
  <r>
    <x v="858"/>
    <x v="3"/>
    <x v="68"/>
    <x v="1"/>
    <x v="24"/>
    <x v="3"/>
    <x v="288"/>
    <x v="61"/>
    <x v="0"/>
    <x v="0"/>
  </r>
  <r>
    <x v="858"/>
    <x v="4"/>
    <x v="107"/>
    <x v="1"/>
    <x v="61"/>
    <x v="3"/>
    <x v="302"/>
    <x v="99"/>
    <x v="1"/>
    <x v="1"/>
  </r>
  <r>
    <x v="859"/>
    <x v="0"/>
    <x v="18"/>
    <x v="0"/>
    <x v="14"/>
    <x v="2"/>
    <x v="62"/>
    <x v="16"/>
    <x v="1"/>
    <x v="1"/>
  </r>
  <r>
    <x v="859"/>
    <x v="1"/>
    <x v="24"/>
    <x v="1"/>
    <x v="8"/>
    <x v="0"/>
    <x v="118"/>
    <x v="9"/>
    <x v="0"/>
    <x v="0"/>
  </r>
  <r>
    <x v="859"/>
    <x v="2"/>
    <x v="22"/>
    <x v="0"/>
    <x v="17"/>
    <x v="0"/>
    <x v="76"/>
    <x v="19"/>
    <x v="5"/>
    <x v="5"/>
  </r>
  <r>
    <x v="859"/>
    <x v="3"/>
    <x v="71"/>
    <x v="1"/>
    <x v="23"/>
    <x v="1"/>
    <x v="179"/>
    <x v="64"/>
    <x v="6"/>
    <x v="6"/>
  </r>
  <r>
    <x v="859"/>
    <x v="4"/>
    <x v="43"/>
    <x v="1"/>
    <x v="15"/>
    <x v="2"/>
    <x v="89"/>
    <x v="31"/>
    <x v="0"/>
    <x v="0"/>
  </r>
  <r>
    <x v="860"/>
    <x v="0"/>
    <x v="15"/>
    <x v="1"/>
    <x v="11"/>
    <x v="1"/>
    <x v="35"/>
    <x v="12"/>
    <x v="0"/>
    <x v="0"/>
  </r>
  <r>
    <x v="860"/>
    <x v="1"/>
    <x v="37"/>
    <x v="0"/>
    <x v="25"/>
    <x v="0"/>
    <x v="152"/>
    <x v="33"/>
    <x v="2"/>
    <x v="2"/>
  </r>
  <r>
    <x v="861"/>
    <x v="0"/>
    <x v="25"/>
    <x v="0"/>
    <x v="18"/>
    <x v="2"/>
    <x v="161"/>
    <x v="21"/>
    <x v="4"/>
    <x v="4"/>
  </r>
  <r>
    <x v="861"/>
    <x v="1"/>
    <x v="40"/>
    <x v="0"/>
    <x v="15"/>
    <x v="0"/>
    <x v="122"/>
    <x v="35"/>
    <x v="4"/>
    <x v="4"/>
  </r>
  <r>
    <x v="861"/>
    <x v="2"/>
    <x v="60"/>
    <x v="1"/>
    <x v="25"/>
    <x v="1"/>
    <x v="182"/>
    <x v="53"/>
    <x v="6"/>
    <x v="6"/>
  </r>
  <r>
    <x v="862"/>
    <x v="0"/>
    <x v="101"/>
    <x v="1"/>
    <x v="30"/>
    <x v="3"/>
    <x v="343"/>
    <x v="93"/>
    <x v="4"/>
    <x v="4"/>
  </r>
  <r>
    <x v="863"/>
    <x v="0"/>
    <x v="88"/>
    <x v="0"/>
    <x v="55"/>
    <x v="3"/>
    <x v="379"/>
    <x v="81"/>
    <x v="1"/>
    <x v="1"/>
  </r>
  <r>
    <x v="863"/>
    <x v="1"/>
    <x v="105"/>
    <x v="1"/>
    <x v="63"/>
    <x v="2"/>
    <x v="380"/>
    <x v="97"/>
    <x v="0"/>
    <x v="0"/>
  </r>
  <r>
    <x v="863"/>
    <x v="2"/>
    <x v="17"/>
    <x v="0"/>
    <x v="11"/>
    <x v="0"/>
    <x v="51"/>
    <x v="15"/>
    <x v="0"/>
    <x v="0"/>
  </r>
  <r>
    <x v="864"/>
    <x v="0"/>
    <x v="36"/>
    <x v="1"/>
    <x v="24"/>
    <x v="3"/>
    <x v="288"/>
    <x v="32"/>
    <x v="5"/>
    <x v="5"/>
  </r>
  <r>
    <x v="864"/>
    <x v="1"/>
    <x v="98"/>
    <x v="0"/>
    <x v="14"/>
    <x v="2"/>
    <x v="62"/>
    <x v="90"/>
    <x v="1"/>
    <x v="1"/>
  </r>
  <r>
    <x v="865"/>
    <x v="0"/>
    <x v="54"/>
    <x v="0"/>
    <x v="37"/>
    <x v="0"/>
    <x v="321"/>
    <x v="47"/>
    <x v="4"/>
    <x v="4"/>
  </r>
  <r>
    <x v="865"/>
    <x v="1"/>
    <x v="50"/>
    <x v="1"/>
    <x v="34"/>
    <x v="1"/>
    <x v="381"/>
    <x v="43"/>
    <x v="0"/>
    <x v="0"/>
  </r>
  <r>
    <x v="865"/>
    <x v="2"/>
    <x v="53"/>
    <x v="0"/>
    <x v="36"/>
    <x v="1"/>
    <x v="382"/>
    <x v="46"/>
    <x v="0"/>
    <x v="0"/>
  </r>
  <r>
    <x v="865"/>
    <x v="3"/>
    <x v="17"/>
    <x v="1"/>
    <x v="11"/>
    <x v="1"/>
    <x v="35"/>
    <x v="15"/>
    <x v="0"/>
    <x v="0"/>
  </r>
  <r>
    <x v="866"/>
    <x v="0"/>
    <x v="70"/>
    <x v="0"/>
    <x v="48"/>
    <x v="2"/>
    <x v="327"/>
    <x v="63"/>
    <x v="4"/>
    <x v="4"/>
  </r>
  <r>
    <x v="867"/>
    <x v="0"/>
    <x v="109"/>
    <x v="0"/>
    <x v="64"/>
    <x v="1"/>
    <x v="383"/>
    <x v="101"/>
    <x v="1"/>
    <x v="1"/>
  </r>
  <r>
    <x v="868"/>
    <x v="0"/>
    <x v="14"/>
    <x v="0"/>
    <x v="12"/>
    <x v="0"/>
    <x v="137"/>
    <x v="13"/>
    <x v="1"/>
    <x v="1"/>
  </r>
  <r>
    <x v="868"/>
    <x v="1"/>
    <x v="26"/>
    <x v="1"/>
    <x v="19"/>
    <x v="2"/>
    <x v="150"/>
    <x v="22"/>
    <x v="0"/>
    <x v="0"/>
  </r>
  <r>
    <x v="868"/>
    <x v="2"/>
    <x v="57"/>
    <x v="0"/>
    <x v="14"/>
    <x v="2"/>
    <x v="62"/>
    <x v="50"/>
    <x v="1"/>
    <x v="1"/>
  </r>
  <r>
    <x v="868"/>
    <x v="3"/>
    <x v="66"/>
    <x v="1"/>
    <x v="45"/>
    <x v="2"/>
    <x v="256"/>
    <x v="59"/>
    <x v="6"/>
    <x v="6"/>
  </r>
  <r>
    <x v="868"/>
    <x v="4"/>
    <x v="105"/>
    <x v="1"/>
    <x v="63"/>
    <x v="0"/>
    <x v="384"/>
    <x v="97"/>
    <x v="0"/>
    <x v="0"/>
  </r>
  <r>
    <x v="869"/>
    <x v="0"/>
    <x v="65"/>
    <x v="0"/>
    <x v="25"/>
    <x v="1"/>
    <x v="222"/>
    <x v="58"/>
    <x v="2"/>
    <x v="2"/>
  </r>
  <r>
    <x v="870"/>
    <x v="0"/>
    <x v="26"/>
    <x v="0"/>
    <x v="19"/>
    <x v="0"/>
    <x v="188"/>
    <x v="22"/>
    <x v="0"/>
    <x v="0"/>
  </r>
  <r>
    <x v="870"/>
    <x v="1"/>
    <x v="83"/>
    <x v="0"/>
    <x v="8"/>
    <x v="3"/>
    <x v="98"/>
    <x v="76"/>
    <x v="1"/>
    <x v="1"/>
  </r>
  <r>
    <x v="870"/>
    <x v="2"/>
    <x v="34"/>
    <x v="1"/>
    <x v="4"/>
    <x v="0"/>
    <x v="73"/>
    <x v="30"/>
    <x v="1"/>
    <x v="1"/>
  </r>
  <r>
    <x v="870"/>
    <x v="3"/>
    <x v="92"/>
    <x v="1"/>
    <x v="24"/>
    <x v="2"/>
    <x v="293"/>
    <x v="72"/>
    <x v="0"/>
    <x v="0"/>
  </r>
  <r>
    <x v="871"/>
    <x v="0"/>
    <x v="37"/>
    <x v="1"/>
    <x v="25"/>
    <x v="1"/>
    <x v="182"/>
    <x v="33"/>
    <x v="2"/>
    <x v="2"/>
  </r>
  <r>
    <x v="871"/>
    <x v="1"/>
    <x v="29"/>
    <x v="0"/>
    <x v="5"/>
    <x v="3"/>
    <x v="92"/>
    <x v="25"/>
    <x v="6"/>
    <x v="6"/>
  </r>
  <r>
    <x v="872"/>
    <x v="0"/>
    <x v="33"/>
    <x v="1"/>
    <x v="14"/>
    <x v="3"/>
    <x v="110"/>
    <x v="29"/>
    <x v="1"/>
    <x v="1"/>
  </r>
  <r>
    <x v="873"/>
    <x v="0"/>
    <x v="28"/>
    <x v="0"/>
    <x v="21"/>
    <x v="2"/>
    <x v="347"/>
    <x v="24"/>
    <x v="6"/>
    <x v="6"/>
  </r>
  <r>
    <x v="873"/>
    <x v="1"/>
    <x v="97"/>
    <x v="1"/>
    <x v="4"/>
    <x v="2"/>
    <x v="79"/>
    <x v="89"/>
    <x v="1"/>
    <x v="1"/>
  </r>
  <r>
    <x v="873"/>
    <x v="2"/>
    <x v="30"/>
    <x v="0"/>
    <x v="5"/>
    <x v="3"/>
    <x v="92"/>
    <x v="26"/>
    <x v="0"/>
    <x v="0"/>
  </r>
  <r>
    <x v="873"/>
    <x v="3"/>
    <x v="104"/>
    <x v="1"/>
    <x v="62"/>
    <x v="1"/>
    <x v="278"/>
    <x v="96"/>
    <x v="0"/>
    <x v="0"/>
  </r>
  <r>
    <x v="874"/>
    <x v="0"/>
    <x v="21"/>
    <x v="1"/>
    <x v="16"/>
    <x v="3"/>
    <x v="87"/>
    <x v="18"/>
    <x v="1"/>
    <x v="1"/>
  </r>
  <r>
    <x v="874"/>
    <x v="1"/>
    <x v="12"/>
    <x v="1"/>
    <x v="10"/>
    <x v="2"/>
    <x v="94"/>
    <x v="11"/>
    <x v="0"/>
    <x v="0"/>
  </r>
  <r>
    <x v="874"/>
    <x v="2"/>
    <x v="15"/>
    <x v="0"/>
    <x v="11"/>
    <x v="1"/>
    <x v="36"/>
    <x v="12"/>
    <x v="0"/>
    <x v="0"/>
  </r>
  <r>
    <x v="874"/>
    <x v="3"/>
    <x v="103"/>
    <x v="0"/>
    <x v="38"/>
    <x v="0"/>
    <x v="314"/>
    <x v="95"/>
    <x v="5"/>
    <x v="5"/>
  </r>
  <r>
    <x v="875"/>
    <x v="0"/>
    <x v="7"/>
    <x v="1"/>
    <x v="6"/>
    <x v="0"/>
    <x v="71"/>
    <x v="7"/>
    <x v="0"/>
    <x v="0"/>
  </r>
  <r>
    <x v="875"/>
    <x v="1"/>
    <x v="82"/>
    <x v="1"/>
    <x v="34"/>
    <x v="0"/>
    <x v="166"/>
    <x v="75"/>
    <x v="0"/>
    <x v="0"/>
  </r>
  <r>
    <x v="875"/>
    <x v="2"/>
    <x v="81"/>
    <x v="0"/>
    <x v="29"/>
    <x v="1"/>
    <x v="243"/>
    <x v="74"/>
    <x v="4"/>
    <x v="4"/>
  </r>
  <r>
    <x v="875"/>
    <x v="3"/>
    <x v="92"/>
    <x v="1"/>
    <x v="24"/>
    <x v="2"/>
    <x v="293"/>
    <x v="72"/>
    <x v="0"/>
    <x v="0"/>
  </r>
  <r>
    <x v="876"/>
    <x v="0"/>
    <x v="30"/>
    <x v="0"/>
    <x v="5"/>
    <x v="1"/>
    <x v="116"/>
    <x v="26"/>
    <x v="0"/>
    <x v="0"/>
  </r>
  <r>
    <x v="876"/>
    <x v="1"/>
    <x v="27"/>
    <x v="0"/>
    <x v="20"/>
    <x v="3"/>
    <x v="309"/>
    <x v="23"/>
    <x v="5"/>
    <x v="5"/>
  </r>
  <r>
    <x v="877"/>
    <x v="0"/>
    <x v="27"/>
    <x v="0"/>
    <x v="20"/>
    <x v="0"/>
    <x v="320"/>
    <x v="23"/>
    <x v="5"/>
    <x v="5"/>
  </r>
  <r>
    <x v="877"/>
    <x v="1"/>
    <x v="17"/>
    <x v="0"/>
    <x v="11"/>
    <x v="3"/>
    <x v="21"/>
    <x v="15"/>
    <x v="0"/>
    <x v="0"/>
  </r>
  <r>
    <x v="877"/>
    <x v="2"/>
    <x v="18"/>
    <x v="1"/>
    <x v="14"/>
    <x v="0"/>
    <x v="117"/>
    <x v="16"/>
    <x v="1"/>
    <x v="1"/>
  </r>
  <r>
    <x v="877"/>
    <x v="3"/>
    <x v="9"/>
    <x v="1"/>
    <x v="7"/>
    <x v="2"/>
    <x v="32"/>
    <x v="8"/>
    <x v="0"/>
    <x v="0"/>
  </r>
  <r>
    <x v="878"/>
    <x v="0"/>
    <x v="96"/>
    <x v="1"/>
    <x v="26"/>
    <x v="0"/>
    <x v="195"/>
    <x v="88"/>
    <x v="4"/>
    <x v="4"/>
  </r>
  <r>
    <x v="878"/>
    <x v="1"/>
    <x v="6"/>
    <x v="1"/>
    <x v="5"/>
    <x v="1"/>
    <x v="130"/>
    <x v="6"/>
    <x v="1"/>
    <x v="1"/>
  </r>
  <r>
    <x v="878"/>
    <x v="2"/>
    <x v="56"/>
    <x v="1"/>
    <x v="39"/>
    <x v="0"/>
    <x v="355"/>
    <x v="49"/>
    <x v="4"/>
    <x v="4"/>
  </r>
  <r>
    <x v="878"/>
    <x v="3"/>
    <x v="90"/>
    <x v="0"/>
    <x v="43"/>
    <x v="1"/>
    <x v="348"/>
    <x v="83"/>
    <x v="0"/>
    <x v="0"/>
  </r>
  <r>
    <x v="879"/>
    <x v="0"/>
    <x v="76"/>
    <x v="1"/>
    <x v="50"/>
    <x v="0"/>
    <x v="312"/>
    <x v="69"/>
    <x v="1"/>
    <x v="1"/>
  </r>
  <r>
    <x v="879"/>
    <x v="1"/>
    <x v="43"/>
    <x v="0"/>
    <x v="15"/>
    <x v="3"/>
    <x v="37"/>
    <x v="31"/>
    <x v="0"/>
    <x v="0"/>
  </r>
  <r>
    <x v="879"/>
    <x v="2"/>
    <x v="21"/>
    <x v="0"/>
    <x v="16"/>
    <x v="1"/>
    <x v="105"/>
    <x v="18"/>
    <x v="1"/>
    <x v="1"/>
  </r>
  <r>
    <x v="879"/>
    <x v="3"/>
    <x v="8"/>
    <x v="0"/>
    <x v="0"/>
    <x v="3"/>
    <x v="12"/>
    <x v="3"/>
    <x v="0"/>
    <x v="0"/>
  </r>
  <r>
    <x v="879"/>
    <x v="4"/>
    <x v="82"/>
    <x v="0"/>
    <x v="34"/>
    <x v="0"/>
    <x v="210"/>
    <x v="75"/>
    <x v="0"/>
    <x v="0"/>
  </r>
  <r>
    <x v="880"/>
    <x v="0"/>
    <x v="72"/>
    <x v="0"/>
    <x v="26"/>
    <x v="1"/>
    <x v="255"/>
    <x v="65"/>
    <x v="4"/>
    <x v="4"/>
  </r>
  <r>
    <x v="880"/>
    <x v="1"/>
    <x v="69"/>
    <x v="0"/>
    <x v="47"/>
    <x v="0"/>
    <x v="190"/>
    <x v="62"/>
    <x v="6"/>
    <x v="6"/>
  </r>
  <r>
    <x v="880"/>
    <x v="2"/>
    <x v="38"/>
    <x v="1"/>
    <x v="26"/>
    <x v="2"/>
    <x v="162"/>
    <x v="34"/>
    <x v="0"/>
    <x v="0"/>
  </r>
  <r>
    <x v="880"/>
    <x v="3"/>
    <x v="50"/>
    <x v="0"/>
    <x v="34"/>
    <x v="3"/>
    <x v="173"/>
    <x v="43"/>
    <x v="0"/>
    <x v="0"/>
  </r>
  <r>
    <x v="881"/>
    <x v="0"/>
    <x v="65"/>
    <x v="1"/>
    <x v="25"/>
    <x v="1"/>
    <x v="182"/>
    <x v="58"/>
    <x v="2"/>
    <x v="2"/>
  </r>
  <r>
    <x v="881"/>
    <x v="1"/>
    <x v="75"/>
    <x v="1"/>
    <x v="19"/>
    <x v="0"/>
    <x v="364"/>
    <x v="68"/>
    <x v="5"/>
    <x v="5"/>
  </r>
  <r>
    <x v="881"/>
    <x v="2"/>
    <x v="94"/>
    <x v="1"/>
    <x v="59"/>
    <x v="1"/>
    <x v="385"/>
    <x v="86"/>
    <x v="6"/>
    <x v="6"/>
  </r>
  <r>
    <x v="882"/>
    <x v="0"/>
    <x v="99"/>
    <x v="0"/>
    <x v="60"/>
    <x v="2"/>
    <x v="386"/>
    <x v="91"/>
    <x v="1"/>
    <x v="1"/>
  </r>
  <r>
    <x v="882"/>
    <x v="1"/>
    <x v="21"/>
    <x v="1"/>
    <x v="16"/>
    <x v="2"/>
    <x v="131"/>
    <x v="18"/>
    <x v="1"/>
    <x v="1"/>
  </r>
  <r>
    <x v="883"/>
    <x v="0"/>
    <x v="60"/>
    <x v="1"/>
    <x v="25"/>
    <x v="2"/>
    <x v="371"/>
    <x v="53"/>
    <x v="6"/>
    <x v="6"/>
  </r>
  <r>
    <x v="883"/>
    <x v="1"/>
    <x v="79"/>
    <x v="1"/>
    <x v="24"/>
    <x v="1"/>
    <x v="207"/>
    <x v="72"/>
    <x v="0"/>
    <x v="0"/>
  </r>
  <r>
    <x v="883"/>
    <x v="2"/>
    <x v="109"/>
    <x v="1"/>
    <x v="64"/>
    <x v="0"/>
    <x v="387"/>
    <x v="101"/>
    <x v="1"/>
    <x v="1"/>
  </r>
  <r>
    <x v="883"/>
    <x v="3"/>
    <x v="2"/>
    <x v="0"/>
    <x v="2"/>
    <x v="3"/>
    <x v="139"/>
    <x v="2"/>
    <x v="2"/>
    <x v="2"/>
  </r>
  <r>
    <x v="883"/>
    <x v="4"/>
    <x v="20"/>
    <x v="1"/>
    <x v="11"/>
    <x v="2"/>
    <x v="64"/>
    <x v="15"/>
    <x v="0"/>
    <x v="0"/>
  </r>
  <r>
    <x v="884"/>
    <x v="0"/>
    <x v="26"/>
    <x v="0"/>
    <x v="19"/>
    <x v="1"/>
    <x v="274"/>
    <x v="22"/>
    <x v="0"/>
    <x v="0"/>
  </r>
  <r>
    <x v="884"/>
    <x v="1"/>
    <x v="52"/>
    <x v="0"/>
    <x v="28"/>
    <x v="3"/>
    <x v="168"/>
    <x v="45"/>
    <x v="1"/>
    <x v="1"/>
  </r>
  <r>
    <x v="885"/>
    <x v="0"/>
    <x v="42"/>
    <x v="0"/>
    <x v="28"/>
    <x v="2"/>
    <x v="357"/>
    <x v="37"/>
    <x v="1"/>
    <x v="1"/>
  </r>
  <r>
    <x v="885"/>
    <x v="1"/>
    <x v="34"/>
    <x v="0"/>
    <x v="4"/>
    <x v="2"/>
    <x v="6"/>
    <x v="30"/>
    <x v="1"/>
    <x v="1"/>
  </r>
  <r>
    <x v="886"/>
    <x v="0"/>
    <x v="69"/>
    <x v="1"/>
    <x v="47"/>
    <x v="2"/>
    <x v="342"/>
    <x v="62"/>
    <x v="6"/>
    <x v="6"/>
  </r>
  <r>
    <x v="886"/>
    <x v="1"/>
    <x v="63"/>
    <x v="0"/>
    <x v="43"/>
    <x v="3"/>
    <x v="388"/>
    <x v="56"/>
    <x v="0"/>
    <x v="0"/>
  </r>
  <r>
    <x v="887"/>
    <x v="0"/>
    <x v="57"/>
    <x v="1"/>
    <x v="14"/>
    <x v="3"/>
    <x v="110"/>
    <x v="50"/>
    <x v="1"/>
    <x v="1"/>
  </r>
  <r>
    <x v="887"/>
    <x v="1"/>
    <x v="8"/>
    <x v="1"/>
    <x v="0"/>
    <x v="0"/>
    <x v="24"/>
    <x v="3"/>
    <x v="0"/>
    <x v="0"/>
  </r>
  <r>
    <x v="888"/>
    <x v="0"/>
    <x v="10"/>
    <x v="1"/>
    <x v="8"/>
    <x v="3"/>
    <x v="97"/>
    <x v="9"/>
    <x v="0"/>
    <x v="0"/>
  </r>
  <r>
    <x v="889"/>
    <x v="0"/>
    <x v="3"/>
    <x v="1"/>
    <x v="0"/>
    <x v="3"/>
    <x v="28"/>
    <x v="3"/>
    <x v="0"/>
    <x v="0"/>
  </r>
  <r>
    <x v="889"/>
    <x v="1"/>
    <x v="86"/>
    <x v="1"/>
    <x v="54"/>
    <x v="3"/>
    <x v="360"/>
    <x v="79"/>
    <x v="5"/>
    <x v="5"/>
  </r>
  <r>
    <x v="889"/>
    <x v="2"/>
    <x v="58"/>
    <x v="0"/>
    <x v="40"/>
    <x v="2"/>
    <x v="175"/>
    <x v="51"/>
    <x v="6"/>
    <x v="6"/>
  </r>
  <r>
    <x v="889"/>
    <x v="3"/>
    <x v="50"/>
    <x v="0"/>
    <x v="34"/>
    <x v="3"/>
    <x v="173"/>
    <x v="43"/>
    <x v="0"/>
    <x v="0"/>
  </r>
  <r>
    <x v="889"/>
    <x v="4"/>
    <x v="105"/>
    <x v="1"/>
    <x v="63"/>
    <x v="3"/>
    <x v="287"/>
    <x v="97"/>
    <x v="0"/>
    <x v="0"/>
  </r>
  <r>
    <x v="890"/>
    <x v="0"/>
    <x v="92"/>
    <x v="1"/>
    <x v="24"/>
    <x v="3"/>
    <x v="288"/>
    <x v="72"/>
    <x v="0"/>
    <x v="0"/>
  </r>
  <r>
    <x v="890"/>
    <x v="1"/>
    <x v="33"/>
    <x v="0"/>
    <x v="14"/>
    <x v="2"/>
    <x v="62"/>
    <x v="29"/>
    <x v="1"/>
    <x v="1"/>
  </r>
  <r>
    <x v="890"/>
    <x v="2"/>
    <x v="100"/>
    <x v="1"/>
    <x v="61"/>
    <x v="3"/>
    <x v="302"/>
    <x v="92"/>
    <x v="1"/>
    <x v="1"/>
  </r>
  <r>
    <x v="890"/>
    <x v="3"/>
    <x v="69"/>
    <x v="0"/>
    <x v="47"/>
    <x v="3"/>
    <x v="389"/>
    <x v="62"/>
    <x v="6"/>
    <x v="6"/>
  </r>
  <r>
    <x v="891"/>
    <x v="0"/>
    <x v="107"/>
    <x v="0"/>
    <x v="61"/>
    <x v="3"/>
    <x v="326"/>
    <x v="99"/>
    <x v="1"/>
    <x v="1"/>
  </r>
  <r>
    <x v="891"/>
    <x v="1"/>
    <x v="11"/>
    <x v="1"/>
    <x v="9"/>
    <x v="0"/>
    <x v="44"/>
    <x v="10"/>
    <x v="3"/>
    <x v="3"/>
  </r>
  <r>
    <x v="891"/>
    <x v="2"/>
    <x v="69"/>
    <x v="1"/>
    <x v="47"/>
    <x v="1"/>
    <x v="390"/>
    <x v="62"/>
    <x v="6"/>
    <x v="6"/>
  </r>
  <r>
    <x v="891"/>
    <x v="3"/>
    <x v="54"/>
    <x v="0"/>
    <x v="37"/>
    <x v="2"/>
    <x v="232"/>
    <x v="47"/>
    <x v="4"/>
    <x v="4"/>
  </r>
  <r>
    <x v="892"/>
    <x v="0"/>
    <x v="50"/>
    <x v="1"/>
    <x v="34"/>
    <x v="2"/>
    <x v="251"/>
    <x v="43"/>
    <x v="0"/>
    <x v="0"/>
  </r>
  <r>
    <x v="892"/>
    <x v="1"/>
    <x v="78"/>
    <x v="0"/>
    <x v="52"/>
    <x v="1"/>
    <x v="242"/>
    <x v="71"/>
    <x v="1"/>
    <x v="1"/>
  </r>
  <r>
    <x v="893"/>
    <x v="0"/>
    <x v="70"/>
    <x v="1"/>
    <x v="48"/>
    <x v="0"/>
    <x v="191"/>
    <x v="63"/>
    <x v="4"/>
    <x v="4"/>
  </r>
  <r>
    <x v="894"/>
    <x v="0"/>
    <x v="26"/>
    <x v="0"/>
    <x v="19"/>
    <x v="1"/>
    <x v="274"/>
    <x v="22"/>
    <x v="0"/>
    <x v="0"/>
  </r>
  <r>
    <x v="895"/>
    <x v="0"/>
    <x v="87"/>
    <x v="1"/>
    <x v="29"/>
    <x v="2"/>
    <x v="215"/>
    <x v="80"/>
    <x v="4"/>
    <x v="4"/>
  </r>
  <r>
    <x v="895"/>
    <x v="1"/>
    <x v="2"/>
    <x v="0"/>
    <x v="2"/>
    <x v="2"/>
    <x v="99"/>
    <x v="2"/>
    <x v="2"/>
    <x v="2"/>
  </r>
  <r>
    <x v="896"/>
    <x v="0"/>
    <x v="86"/>
    <x v="0"/>
    <x v="54"/>
    <x v="2"/>
    <x v="391"/>
    <x v="79"/>
    <x v="5"/>
    <x v="5"/>
  </r>
  <r>
    <x v="896"/>
    <x v="1"/>
    <x v="81"/>
    <x v="0"/>
    <x v="29"/>
    <x v="2"/>
    <x v="277"/>
    <x v="74"/>
    <x v="4"/>
    <x v="4"/>
  </r>
  <r>
    <x v="897"/>
    <x v="0"/>
    <x v="78"/>
    <x v="1"/>
    <x v="52"/>
    <x v="0"/>
    <x v="250"/>
    <x v="71"/>
    <x v="1"/>
    <x v="1"/>
  </r>
  <r>
    <x v="897"/>
    <x v="1"/>
    <x v="3"/>
    <x v="0"/>
    <x v="0"/>
    <x v="1"/>
    <x v="5"/>
    <x v="3"/>
    <x v="0"/>
    <x v="0"/>
  </r>
  <r>
    <x v="897"/>
    <x v="2"/>
    <x v="94"/>
    <x v="1"/>
    <x v="59"/>
    <x v="0"/>
    <x v="241"/>
    <x v="86"/>
    <x v="6"/>
    <x v="6"/>
  </r>
  <r>
    <x v="897"/>
    <x v="3"/>
    <x v="79"/>
    <x v="1"/>
    <x v="24"/>
    <x v="1"/>
    <x v="207"/>
    <x v="72"/>
    <x v="0"/>
    <x v="0"/>
  </r>
  <r>
    <x v="898"/>
    <x v="0"/>
    <x v="64"/>
    <x v="1"/>
    <x v="44"/>
    <x v="3"/>
    <x v="392"/>
    <x v="57"/>
    <x v="6"/>
    <x v="6"/>
  </r>
  <r>
    <x v="898"/>
    <x v="1"/>
    <x v="7"/>
    <x v="0"/>
    <x v="6"/>
    <x v="3"/>
    <x v="47"/>
    <x v="7"/>
    <x v="0"/>
    <x v="0"/>
  </r>
  <r>
    <x v="898"/>
    <x v="2"/>
    <x v="18"/>
    <x v="0"/>
    <x v="14"/>
    <x v="0"/>
    <x v="63"/>
    <x v="16"/>
    <x v="1"/>
    <x v="1"/>
  </r>
  <r>
    <x v="899"/>
    <x v="0"/>
    <x v="8"/>
    <x v="1"/>
    <x v="0"/>
    <x v="2"/>
    <x v="3"/>
    <x v="3"/>
    <x v="0"/>
    <x v="0"/>
  </r>
  <r>
    <x v="899"/>
    <x v="1"/>
    <x v="75"/>
    <x v="0"/>
    <x v="19"/>
    <x v="1"/>
    <x v="274"/>
    <x v="68"/>
    <x v="5"/>
    <x v="5"/>
  </r>
  <r>
    <x v="899"/>
    <x v="2"/>
    <x v="84"/>
    <x v="0"/>
    <x v="30"/>
    <x v="0"/>
    <x v="269"/>
    <x v="77"/>
    <x v="4"/>
    <x v="4"/>
  </r>
  <r>
    <x v="899"/>
    <x v="3"/>
    <x v="32"/>
    <x v="1"/>
    <x v="23"/>
    <x v="2"/>
    <x v="244"/>
    <x v="28"/>
    <x v="3"/>
    <x v="3"/>
  </r>
  <r>
    <x v="899"/>
    <x v="4"/>
    <x v="76"/>
    <x v="1"/>
    <x v="50"/>
    <x v="1"/>
    <x v="393"/>
    <x v="69"/>
    <x v="1"/>
    <x v="1"/>
  </r>
  <r>
    <x v="900"/>
    <x v="0"/>
    <x v="69"/>
    <x v="0"/>
    <x v="47"/>
    <x v="0"/>
    <x v="190"/>
    <x v="62"/>
    <x v="6"/>
    <x v="6"/>
  </r>
  <r>
    <x v="900"/>
    <x v="1"/>
    <x v="52"/>
    <x v="0"/>
    <x v="28"/>
    <x v="1"/>
    <x v="192"/>
    <x v="45"/>
    <x v="1"/>
    <x v="1"/>
  </r>
  <r>
    <x v="901"/>
    <x v="0"/>
    <x v="83"/>
    <x v="1"/>
    <x v="8"/>
    <x v="1"/>
    <x v="30"/>
    <x v="76"/>
    <x v="1"/>
    <x v="1"/>
  </r>
  <r>
    <x v="901"/>
    <x v="1"/>
    <x v="102"/>
    <x v="0"/>
    <x v="30"/>
    <x v="1"/>
    <x v="158"/>
    <x v="94"/>
    <x v="4"/>
    <x v="4"/>
  </r>
  <r>
    <x v="901"/>
    <x v="2"/>
    <x v="10"/>
    <x v="0"/>
    <x v="8"/>
    <x v="0"/>
    <x v="57"/>
    <x v="9"/>
    <x v="0"/>
    <x v="0"/>
  </r>
  <r>
    <x v="901"/>
    <x v="3"/>
    <x v="35"/>
    <x v="1"/>
    <x v="15"/>
    <x v="2"/>
    <x v="89"/>
    <x v="31"/>
    <x v="0"/>
    <x v="0"/>
  </r>
  <r>
    <x v="902"/>
    <x v="0"/>
    <x v="93"/>
    <x v="1"/>
    <x v="58"/>
    <x v="1"/>
    <x v="394"/>
    <x v="85"/>
    <x v="1"/>
    <x v="1"/>
  </r>
  <r>
    <x v="902"/>
    <x v="1"/>
    <x v="74"/>
    <x v="1"/>
    <x v="42"/>
    <x v="2"/>
    <x v="199"/>
    <x v="67"/>
    <x v="6"/>
    <x v="6"/>
  </r>
  <r>
    <x v="903"/>
    <x v="0"/>
    <x v="107"/>
    <x v="1"/>
    <x v="61"/>
    <x v="3"/>
    <x v="302"/>
    <x v="99"/>
    <x v="1"/>
    <x v="1"/>
  </r>
  <r>
    <x v="903"/>
    <x v="1"/>
    <x v="80"/>
    <x v="1"/>
    <x v="53"/>
    <x v="1"/>
    <x v="208"/>
    <x v="73"/>
    <x v="6"/>
    <x v="6"/>
  </r>
  <r>
    <x v="903"/>
    <x v="2"/>
    <x v="102"/>
    <x v="1"/>
    <x v="30"/>
    <x v="0"/>
    <x v="266"/>
    <x v="94"/>
    <x v="4"/>
    <x v="4"/>
  </r>
  <r>
    <x v="903"/>
    <x v="3"/>
    <x v="17"/>
    <x v="0"/>
    <x v="11"/>
    <x v="0"/>
    <x v="51"/>
    <x v="15"/>
    <x v="0"/>
    <x v="0"/>
  </r>
  <r>
    <x v="904"/>
    <x v="0"/>
    <x v="50"/>
    <x v="0"/>
    <x v="34"/>
    <x v="3"/>
    <x v="173"/>
    <x v="43"/>
    <x v="0"/>
    <x v="0"/>
  </r>
  <r>
    <x v="904"/>
    <x v="1"/>
    <x v="37"/>
    <x v="1"/>
    <x v="25"/>
    <x v="2"/>
    <x v="371"/>
    <x v="33"/>
    <x v="2"/>
    <x v="2"/>
  </r>
  <r>
    <x v="904"/>
    <x v="2"/>
    <x v="41"/>
    <x v="1"/>
    <x v="27"/>
    <x v="0"/>
    <x v="194"/>
    <x v="36"/>
    <x v="1"/>
    <x v="1"/>
  </r>
  <r>
    <x v="904"/>
    <x v="3"/>
    <x v="0"/>
    <x v="0"/>
    <x v="0"/>
    <x v="0"/>
    <x v="0"/>
    <x v="0"/>
    <x v="0"/>
    <x v="0"/>
  </r>
  <r>
    <x v="905"/>
    <x v="0"/>
    <x v="19"/>
    <x v="1"/>
    <x v="15"/>
    <x v="0"/>
    <x v="33"/>
    <x v="17"/>
    <x v="4"/>
    <x v="4"/>
  </r>
  <r>
    <x v="905"/>
    <x v="1"/>
    <x v="76"/>
    <x v="1"/>
    <x v="50"/>
    <x v="1"/>
    <x v="393"/>
    <x v="69"/>
    <x v="1"/>
    <x v="1"/>
  </r>
  <r>
    <x v="905"/>
    <x v="2"/>
    <x v="109"/>
    <x v="0"/>
    <x v="64"/>
    <x v="2"/>
    <x v="395"/>
    <x v="101"/>
    <x v="1"/>
    <x v="1"/>
  </r>
  <r>
    <x v="905"/>
    <x v="3"/>
    <x v="48"/>
    <x v="1"/>
    <x v="26"/>
    <x v="3"/>
    <x v="270"/>
    <x v="34"/>
    <x v="0"/>
    <x v="0"/>
  </r>
  <r>
    <x v="905"/>
    <x v="4"/>
    <x v="13"/>
    <x v="1"/>
    <x v="11"/>
    <x v="0"/>
    <x v="78"/>
    <x v="12"/>
    <x v="0"/>
    <x v="0"/>
  </r>
  <r>
    <x v="906"/>
    <x v="0"/>
    <x v="73"/>
    <x v="1"/>
    <x v="49"/>
    <x v="1"/>
    <x v="396"/>
    <x v="66"/>
    <x v="4"/>
    <x v="4"/>
  </r>
  <r>
    <x v="906"/>
    <x v="1"/>
    <x v="105"/>
    <x v="0"/>
    <x v="63"/>
    <x v="1"/>
    <x v="397"/>
    <x v="97"/>
    <x v="0"/>
    <x v="0"/>
  </r>
  <r>
    <x v="907"/>
    <x v="0"/>
    <x v="67"/>
    <x v="0"/>
    <x v="46"/>
    <x v="0"/>
    <x v="358"/>
    <x v="60"/>
    <x v="1"/>
    <x v="1"/>
  </r>
  <r>
    <x v="907"/>
    <x v="1"/>
    <x v="49"/>
    <x v="0"/>
    <x v="33"/>
    <x v="3"/>
    <x v="398"/>
    <x v="42"/>
    <x v="4"/>
    <x v="4"/>
  </r>
  <r>
    <x v="907"/>
    <x v="2"/>
    <x v="48"/>
    <x v="1"/>
    <x v="26"/>
    <x v="3"/>
    <x v="270"/>
    <x v="34"/>
    <x v="0"/>
    <x v="0"/>
  </r>
  <r>
    <x v="908"/>
    <x v="0"/>
    <x v="21"/>
    <x v="0"/>
    <x v="16"/>
    <x v="0"/>
    <x v="58"/>
    <x v="18"/>
    <x v="1"/>
    <x v="1"/>
  </r>
  <r>
    <x v="909"/>
    <x v="0"/>
    <x v="19"/>
    <x v="0"/>
    <x v="15"/>
    <x v="3"/>
    <x v="37"/>
    <x v="17"/>
    <x v="4"/>
    <x v="4"/>
  </r>
  <r>
    <x v="910"/>
    <x v="0"/>
    <x v="82"/>
    <x v="1"/>
    <x v="34"/>
    <x v="2"/>
    <x v="251"/>
    <x v="75"/>
    <x v="0"/>
    <x v="0"/>
  </r>
  <r>
    <x v="910"/>
    <x v="1"/>
    <x v="26"/>
    <x v="0"/>
    <x v="19"/>
    <x v="2"/>
    <x v="399"/>
    <x v="22"/>
    <x v="0"/>
    <x v="0"/>
  </r>
  <r>
    <x v="910"/>
    <x v="2"/>
    <x v="87"/>
    <x v="1"/>
    <x v="29"/>
    <x v="2"/>
    <x v="215"/>
    <x v="80"/>
    <x v="4"/>
    <x v="4"/>
  </r>
  <r>
    <x v="910"/>
    <x v="3"/>
    <x v="60"/>
    <x v="0"/>
    <x v="25"/>
    <x v="0"/>
    <x v="152"/>
    <x v="53"/>
    <x v="6"/>
    <x v="6"/>
  </r>
  <r>
    <x v="911"/>
    <x v="0"/>
    <x v="13"/>
    <x v="1"/>
    <x v="11"/>
    <x v="0"/>
    <x v="78"/>
    <x v="12"/>
    <x v="0"/>
    <x v="0"/>
  </r>
  <r>
    <x v="911"/>
    <x v="1"/>
    <x v="68"/>
    <x v="1"/>
    <x v="24"/>
    <x v="2"/>
    <x v="293"/>
    <x v="61"/>
    <x v="0"/>
    <x v="0"/>
  </r>
  <r>
    <x v="911"/>
    <x v="2"/>
    <x v="70"/>
    <x v="0"/>
    <x v="48"/>
    <x v="2"/>
    <x v="327"/>
    <x v="63"/>
    <x v="4"/>
    <x v="4"/>
  </r>
  <r>
    <x v="911"/>
    <x v="3"/>
    <x v="6"/>
    <x v="1"/>
    <x v="5"/>
    <x v="0"/>
    <x v="39"/>
    <x v="6"/>
    <x v="1"/>
    <x v="1"/>
  </r>
  <r>
    <x v="912"/>
    <x v="0"/>
    <x v="45"/>
    <x v="1"/>
    <x v="30"/>
    <x v="3"/>
    <x v="343"/>
    <x v="39"/>
    <x v="4"/>
    <x v="4"/>
  </r>
  <r>
    <x v="912"/>
    <x v="1"/>
    <x v="24"/>
    <x v="1"/>
    <x v="8"/>
    <x v="2"/>
    <x v="11"/>
    <x v="9"/>
    <x v="0"/>
    <x v="0"/>
  </r>
  <r>
    <x v="913"/>
    <x v="0"/>
    <x v="83"/>
    <x v="0"/>
    <x v="8"/>
    <x v="1"/>
    <x v="77"/>
    <x v="76"/>
    <x v="1"/>
    <x v="1"/>
  </r>
  <r>
    <x v="913"/>
    <x v="1"/>
    <x v="0"/>
    <x v="1"/>
    <x v="0"/>
    <x v="0"/>
    <x v="24"/>
    <x v="0"/>
    <x v="0"/>
    <x v="0"/>
  </r>
  <r>
    <x v="913"/>
    <x v="2"/>
    <x v="26"/>
    <x v="0"/>
    <x v="19"/>
    <x v="2"/>
    <x v="399"/>
    <x v="22"/>
    <x v="0"/>
    <x v="0"/>
  </r>
  <r>
    <x v="913"/>
    <x v="3"/>
    <x v="109"/>
    <x v="0"/>
    <x v="64"/>
    <x v="3"/>
    <x v="400"/>
    <x v="101"/>
    <x v="1"/>
    <x v="1"/>
  </r>
  <r>
    <x v="914"/>
    <x v="0"/>
    <x v="38"/>
    <x v="0"/>
    <x v="26"/>
    <x v="2"/>
    <x v="275"/>
    <x v="34"/>
    <x v="0"/>
    <x v="0"/>
  </r>
  <r>
    <x v="914"/>
    <x v="1"/>
    <x v="74"/>
    <x v="0"/>
    <x v="42"/>
    <x v="1"/>
    <x v="245"/>
    <x v="67"/>
    <x v="6"/>
    <x v="6"/>
  </r>
  <r>
    <x v="914"/>
    <x v="2"/>
    <x v="41"/>
    <x v="0"/>
    <x v="27"/>
    <x v="0"/>
    <x v="319"/>
    <x v="36"/>
    <x v="1"/>
    <x v="1"/>
  </r>
  <r>
    <x v="914"/>
    <x v="3"/>
    <x v="6"/>
    <x v="0"/>
    <x v="5"/>
    <x v="1"/>
    <x v="116"/>
    <x v="6"/>
    <x v="1"/>
    <x v="1"/>
  </r>
  <r>
    <x v="915"/>
    <x v="0"/>
    <x v="102"/>
    <x v="0"/>
    <x v="30"/>
    <x v="0"/>
    <x v="269"/>
    <x v="94"/>
    <x v="4"/>
    <x v="4"/>
  </r>
  <r>
    <x v="916"/>
    <x v="0"/>
    <x v="67"/>
    <x v="0"/>
    <x v="46"/>
    <x v="1"/>
    <x v="298"/>
    <x v="60"/>
    <x v="1"/>
    <x v="1"/>
  </r>
  <r>
    <x v="917"/>
    <x v="0"/>
    <x v="87"/>
    <x v="0"/>
    <x v="29"/>
    <x v="0"/>
    <x v="344"/>
    <x v="80"/>
    <x v="4"/>
    <x v="4"/>
  </r>
  <r>
    <x v="917"/>
    <x v="1"/>
    <x v="93"/>
    <x v="0"/>
    <x v="58"/>
    <x v="3"/>
    <x v="401"/>
    <x v="85"/>
    <x v="1"/>
    <x v="1"/>
  </r>
  <r>
    <x v="917"/>
    <x v="2"/>
    <x v="4"/>
    <x v="1"/>
    <x v="3"/>
    <x v="1"/>
    <x v="127"/>
    <x v="4"/>
    <x v="1"/>
    <x v="1"/>
  </r>
  <r>
    <x v="918"/>
    <x v="0"/>
    <x v="14"/>
    <x v="0"/>
    <x v="12"/>
    <x v="1"/>
    <x v="140"/>
    <x v="13"/>
    <x v="1"/>
    <x v="1"/>
  </r>
  <r>
    <x v="918"/>
    <x v="1"/>
    <x v="99"/>
    <x v="0"/>
    <x v="60"/>
    <x v="3"/>
    <x v="402"/>
    <x v="91"/>
    <x v="1"/>
    <x v="1"/>
  </r>
  <r>
    <x v="919"/>
    <x v="0"/>
    <x v="35"/>
    <x v="0"/>
    <x v="15"/>
    <x v="2"/>
    <x v="115"/>
    <x v="31"/>
    <x v="0"/>
    <x v="0"/>
  </r>
  <r>
    <x v="919"/>
    <x v="1"/>
    <x v="62"/>
    <x v="1"/>
    <x v="42"/>
    <x v="1"/>
    <x v="177"/>
    <x v="55"/>
    <x v="1"/>
    <x v="1"/>
  </r>
  <r>
    <x v="919"/>
    <x v="2"/>
    <x v="46"/>
    <x v="0"/>
    <x v="31"/>
    <x v="2"/>
    <x v="159"/>
    <x v="40"/>
    <x v="0"/>
    <x v="0"/>
  </r>
  <r>
    <x v="919"/>
    <x v="3"/>
    <x v="53"/>
    <x v="1"/>
    <x v="36"/>
    <x v="1"/>
    <x v="304"/>
    <x v="46"/>
    <x v="0"/>
    <x v="0"/>
  </r>
  <r>
    <x v="920"/>
    <x v="0"/>
    <x v="104"/>
    <x v="0"/>
    <x v="62"/>
    <x v="0"/>
    <x v="403"/>
    <x v="96"/>
    <x v="0"/>
    <x v="0"/>
  </r>
  <r>
    <x v="920"/>
    <x v="1"/>
    <x v="85"/>
    <x v="1"/>
    <x v="0"/>
    <x v="1"/>
    <x v="19"/>
    <x v="78"/>
    <x v="0"/>
    <x v="0"/>
  </r>
  <r>
    <x v="920"/>
    <x v="2"/>
    <x v="74"/>
    <x v="0"/>
    <x v="42"/>
    <x v="3"/>
    <x v="404"/>
    <x v="67"/>
    <x v="6"/>
    <x v="6"/>
  </r>
  <r>
    <x v="921"/>
    <x v="0"/>
    <x v="39"/>
    <x v="0"/>
    <x v="19"/>
    <x v="0"/>
    <x v="188"/>
    <x v="22"/>
    <x v="0"/>
    <x v="0"/>
  </r>
  <r>
    <x v="921"/>
    <x v="1"/>
    <x v="30"/>
    <x v="0"/>
    <x v="5"/>
    <x v="0"/>
    <x v="56"/>
    <x v="26"/>
    <x v="0"/>
    <x v="0"/>
  </r>
  <r>
    <x v="921"/>
    <x v="2"/>
    <x v="106"/>
    <x v="0"/>
    <x v="39"/>
    <x v="3"/>
    <x v="174"/>
    <x v="98"/>
    <x v="4"/>
    <x v="4"/>
  </r>
  <r>
    <x v="922"/>
    <x v="0"/>
    <x v="51"/>
    <x v="1"/>
    <x v="35"/>
    <x v="2"/>
    <x v="405"/>
    <x v="44"/>
    <x v="0"/>
    <x v="0"/>
  </r>
  <r>
    <x v="922"/>
    <x v="1"/>
    <x v="18"/>
    <x v="0"/>
    <x v="14"/>
    <x v="3"/>
    <x v="107"/>
    <x v="16"/>
    <x v="1"/>
    <x v="1"/>
  </r>
  <r>
    <x v="923"/>
    <x v="0"/>
    <x v="44"/>
    <x v="1"/>
    <x v="29"/>
    <x v="0"/>
    <x v="209"/>
    <x v="38"/>
    <x v="4"/>
    <x v="4"/>
  </r>
  <r>
    <x v="923"/>
    <x v="1"/>
    <x v="107"/>
    <x v="0"/>
    <x v="61"/>
    <x v="0"/>
    <x v="265"/>
    <x v="99"/>
    <x v="1"/>
    <x v="1"/>
  </r>
  <r>
    <x v="924"/>
    <x v="0"/>
    <x v="44"/>
    <x v="0"/>
    <x v="29"/>
    <x v="1"/>
    <x v="243"/>
    <x v="38"/>
    <x v="4"/>
    <x v="4"/>
  </r>
  <r>
    <x v="924"/>
    <x v="1"/>
    <x v="37"/>
    <x v="1"/>
    <x v="25"/>
    <x v="0"/>
    <x v="165"/>
    <x v="33"/>
    <x v="2"/>
    <x v="2"/>
  </r>
  <r>
    <x v="925"/>
    <x v="0"/>
    <x v="88"/>
    <x v="1"/>
    <x v="55"/>
    <x v="0"/>
    <x v="406"/>
    <x v="81"/>
    <x v="1"/>
    <x v="1"/>
  </r>
  <r>
    <x v="926"/>
    <x v="0"/>
    <x v="51"/>
    <x v="1"/>
    <x v="35"/>
    <x v="3"/>
    <x v="264"/>
    <x v="44"/>
    <x v="0"/>
    <x v="0"/>
  </r>
  <r>
    <x v="926"/>
    <x v="1"/>
    <x v="3"/>
    <x v="1"/>
    <x v="0"/>
    <x v="0"/>
    <x v="24"/>
    <x v="3"/>
    <x v="0"/>
    <x v="0"/>
  </r>
  <r>
    <x v="926"/>
    <x v="2"/>
    <x v="69"/>
    <x v="0"/>
    <x v="47"/>
    <x v="3"/>
    <x v="389"/>
    <x v="62"/>
    <x v="6"/>
    <x v="6"/>
  </r>
  <r>
    <x v="926"/>
    <x v="3"/>
    <x v="5"/>
    <x v="0"/>
    <x v="4"/>
    <x v="3"/>
    <x v="16"/>
    <x v="5"/>
    <x v="1"/>
    <x v="1"/>
  </r>
  <r>
    <x v="926"/>
    <x v="4"/>
    <x v="52"/>
    <x v="0"/>
    <x v="28"/>
    <x v="1"/>
    <x v="192"/>
    <x v="45"/>
    <x v="1"/>
    <x v="1"/>
  </r>
  <r>
    <x v="927"/>
    <x v="0"/>
    <x v="68"/>
    <x v="1"/>
    <x v="24"/>
    <x v="2"/>
    <x v="293"/>
    <x v="61"/>
    <x v="0"/>
    <x v="0"/>
  </r>
  <r>
    <x v="927"/>
    <x v="1"/>
    <x v="56"/>
    <x v="0"/>
    <x v="39"/>
    <x v="0"/>
    <x v="296"/>
    <x v="49"/>
    <x v="4"/>
    <x v="4"/>
  </r>
  <r>
    <x v="928"/>
    <x v="0"/>
    <x v="90"/>
    <x v="0"/>
    <x v="43"/>
    <x v="0"/>
    <x v="212"/>
    <x v="83"/>
    <x v="0"/>
    <x v="0"/>
  </r>
  <r>
    <x v="928"/>
    <x v="1"/>
    <x v="65"/>
    <x v="1"/>
    <x v="25"/>
    <x v="3"/>
    <x v="279"/>
    <x v="58"/>
    <x v="2"/>
    <x v="2"/>
  </r>
  <r>
    <x v="928"/>
    <x v="2"/>
    <x v="24"/>
    <x v="0"/>
    <x v="8"/>
    <x v="2"/>
    <x v="101"/>
    <x v="9"/>
    <x v="0"/>
    <x v="0"/>
  </r>
  <r>
    <x v="929"/>
    <x v="0"/>
    <x v="28"/>
    <x v="1"/>
    <x v="21"/>
    <x v="1"/>
    <x v="354"/>
    <x v="24"/>
    <x v="6"/>
    <x v="6"/>
  </r>
  <r>
    <x v="929"/>
    <x v="1"/>
    <x v="90"/>
    <x v="0"/>
    <x v="43"/>
    <x v="1"/>
    <x v="348"/>
    <x v="83"/>
    <x v="0"/>
    <x v="0"/>
  </r>
  <r>
    <x v="929"/>
    <x v="2"/>
    <x v="91"/>
    <x v="0"/>
    <x v="57"/>
    <x v="3"/>
    <x v="407"/>
    <x v="84"/>
    <x v="3"/>
    <x v="3"/>
  </r>
  <r>
    <x v="929"/>
    <x v="3"/>
    <x v="105"/>
    <x v="1"/>
    <x v="63"/>
    <x v="2"/>
    <x v="380"/>
    <x v="97"/>
    <x v="0"/>
    <x v="0"/>
  </r>
  <r>
    <x v="929"/>
    <x v="4"/>
    <x v="80"/>
    <x v="1"/>
    <x v="53"/>
    <x v="3"/>
    <x v="408"/>
    <x v="73"/>
    <x v="6"/>
    <x v="6"/>
  </r>
  <r>
    <x v="930"/>
    <x v="0"/>
    <x v="60"/>
    <x v="1"/>
    <x v="25"/>
    <x v="1"/>
    <x v="182"/>
    <x v="53"/>
    <x v="6"/>
    <x v="6"/>
  </r>
  <r>
    <x v="930"/>
    <x v="1"/>
    <x v="35"/>
    <x v="0"/>
    <x v="15"/>
    <x v="0"/>
    <x v="122"/>
    <x v="31"/>
    <x v="0"/>
    <x v="0"/>
  </r>
  <r>
    <x v="931"/>
    <x v="0"/>
    <x v="51"/>
    <x v="0"/>
    <x v="35"/>
    <x v="2"/>
    <x v="167"/>
    <x v="44"/>
    <x v="0"/>
    <x v="0"/>
  </r>
  <r>
    <x v="932"/>
    <x v="0"/>
    <x v="104"/>
    <x v="0"/>
    <x v="62"/>
    <x v="1"/>
    <x v="409"/>
    <x v="96"/>
    <x v="0"/>
    <x v="0"/>
  </r>
  <r>
    <x v="932"/>
    <x v="1"/>
    <x v="20"/>
    <x v="0"/>
    <x v="11"/>
    <x v="0"/>
    <x v="51"/>
    <x v="15"/>
    <x v="0"/>
    <x v="0"/>
  </r>
  <r>
    <x v="932"/>
    <x v="2"/>
    <x v="85"/>
    <x v="1"/>
    <x v="0"/>
    <x v="2"/>
    <x v="3"/>
    <x v="78"/>
    <x v="0"/>
    <x v="0"/>
  </r>
  <r>
    <x v="933"/>
    <x v="0"/>
    <x v="100"/>
    <x v="1"/>
    <x v="61"/>
    <x v="2"/>
    <x v="323"/>
    <x v="92"/>
    <x v="1"/>
    <x v="1"/>
  </r>
  <r>
    <x v="933"/>
    <x v="1"/>
    <x v="74"/>
    <x v="0"/>
    <x v="42"/>
    <x v="2"/>
    <x v="196"/>
    <x v="67"/>
    <x v="6"/>
    <x v="6"/>
  </r>
  <r>
    <x v="933"/>
    <x v="2"/>
    <x v="9"/>
    <x v="0"/>
    <x v="7"/>
    <x v="3"/>
    <x v="65"/>
    <x v="8"/>
    <x v="0"/>
    <x v="0"/>
  </r>
  <r>
    <x v="933"/>
    <x v="3"/>
    <x v="32"/>
    <x v="0"/>
    <x v="23"/>
    <x v="1"/>
    <x v="193"/>
    <x v="28"/>
    <x v="3"/>
    <x v="3"/>
  </r>
  <r>
    <x v="933"/>
    <x v="4"/>
    <x v="28"/>
    <x v="1"/>
    <x v="21"/>
    <x v="0"/>
    <x v="410"/>
    <x v="24"/>
    <x v="6"/>
    <x v="6"/>
  </r>
  <r>
    <x v="934"/>
    <x v="0"/>
    <x v="105"/>
    <x v="1"/>
    <x v="63"/>
    <x v="0"/>
    <x v="384"/>
    <x v="97"/>
    <x v="0"/>
    <x v="0"/>
  </r>
  <r>
    <x v="934"/>
    <x v="1"/>
    <x v="35"/>
    <x v="1"/>
    <x v="15"/>
    <x v="1"/>
    <x v="69"/>
    <x v="31"/>
    <x v="0"/>
    <x v="0"/>
  </r>
  <r>
    <x v="934"/>
    <x v="2"/>
    <x v="18"/>
    <x v="0"/>
    <x v="14"/>
    <x v="1"/>
    <x v="29"/>
    <x v="16"/>
    <x v="1"/>
    <x v="1"/>
  </r>
  <r>
    <x v="934"/>
    <x v="3"/>
    <x v="83"/>
    <x v="0"/>
    <x v="8"/>
    <x v="1"/>
    <x v="77"/>
    <x v="76"/>
    <x v="1"/>
    <x v="1"/>
  </r>
  <r>
    <x v="935"/>
    <x v="0"/>
    <x v="63"/>
    <x v="0"/>
    <x v="43"/>
    <x v="3"/>
    <x v="388"/>
    <x v="56"/>
    <x v="0"/>
    <x v="0"/>
  </r>
  <r>
    <x v="935"/>
    <x v="1"/>
    <x v="99"/>
    <x v="0"/>
    <x v="60"/>
    <x v="1"/>
    <x v="411"/>
    <x v="91"/>
    <x v="1"/>
    <x v="1"/>
  </r>
  <r>
    <x v="936"/>
    <x v="0"/>
    <x v="75"/>
    <x v="1"/>
    <x v="19"/>
    <x v="3"/>
    <x v="145"/>
    <x v="68"/>
    <x v="5"/>
    <x v="5"/>
  </r>
  <r>
    <x v="936"/>
    <x v="1"/>
    <x v="80"/>
    <x v="1"/>
    <x v="53"/>
    <x v="1"/>
    <x v="208"/>
    <x v="73"/>
    <x v="6"/>
    <x v="6"/>
  </r>
  <r>
    <x v="936"/>
    <x v="2"/>
    <x v="71"/>
    <x v="1"/>
    <x v="23"/>
    <x v="1"/>
    <x v="179"/>
    <x v="64"/>
    <x v="6"/>
    <x v="6"/>
  </r>
  <r>
    <x v="936"/>
    <x v="3"/>
    <x v="76"/>
    <x v="1"/>
    <x v="50"/>
    <x v="1"/>
    <x v="393"/>
    <x v="69"/>
    <x v="1"/>
    <x v="1"/>
  </r>
  <r>
    <x v="936"/>
    <x v="4"/>
    <x v="82"/>
    <x v="0"/>
    <x v="34"/>
    <x v="0"/>
    <x v="210"/>
    <x v="75"/>
    <x v="0"/>
    <x v="0"/>
  </r>
  <r>
    <x v="937"/>
    <x v="0"/>
    <x v="4"/>
    <x v="0"/>
    <x v="3"/>
    <x v="2"/>
    <x v="143"/>
    <x v="4"/>
    <x v="1"/>
    <x v="1"/>
  </r>
  <r>
    <x v="937"/>
    <x v="1"/>
    <x v="17"/>
    <x v="0"/>
    <x v="11"/>
    <x v="2"/>
    <x v="18"/>
    <x v="15"/>
    <x v="0"/>
    <x v="0"/>
  </r>
  <r>
    <x v="938"/>
    <x v="0"/>
    <x v="21"/>
    <x v="0"/>
    <x v="16"/>
    <x v="3"/>
    <x v="38"/>
    <x v="18"/>
    <x v="1"/>
    <x v="1"/>
  </r>
  <r>
    <x v="938"/>
    <x v="1"/>
    <x v="92"/>
    <x v="1"/>
    <x v="24"/>
    <x v="0"/>
    <x v="151"/>
    <x v="72"/>
    <x v="0"/>
    <x v="0"/>
  </r>
  <r>
    <x v="939"/>
    <x v="0"/>
    <x v="85"/>
    <x v="1"/>
    <x v="0"/>
    <x v="0"/>
    <x v="24"/>
    <x v="78"/>
    <x v="0"/>
    <x v="0"/>
  </r>
  <r>
    <x v="940"/>
    <x v="0"/>
    <x v="22"/>
    <x v="0"/>
    <x v="17"/>
    <x v="3"/>
    <x v="93"/>
    <x v="19"/>
    <x v="5"/>
    <x v="5"/>
  </r>
  <r>
    <x v="940"/>
    <x v="1"/>
    <x v="48"/>
    <x v="1"/>
    <x v="26"/>
    <x v="2"/>
    <x v="162"/>
    <x v="34"/>
    <x v="0"/>
    <x v="0"/>
  </r>
  <r>
    <x v="940"/>
    <x v="2"/>
    <x v="16"/>
    <x v="1"/>
    <x v="13"/>
    <x v="1"/>
    <x v="136"/>
    <x v="14"/>
    <x v="2"/>
    <x v="2"/>
  </r>
  <r>
    <x v="941"/>
    <x v="0"/>
    <x v="72"/>
    <x v="1"/>
    <x v="26"/>
    <x v="2"/>
    <x v="162"/>
    <x v="65"/>
    <x v="4"/>
    <x v="4"/>
  </r>
  <r>
    <x v="941"/>
    <x v="1"/>
    <x v="55"/>
    <x v="1"/>
    <x v="38"/>
    <x v="3"/>
    <x v="267"/>
    <x v="48"/>
    <x v="5"/>
    <x v="5"/>
  </r>
  <r>
    <x v="941"/>
    <x v="2"/>
    <x v="100"/>
    <x v="1"/>
    <x v="61"/>
    <x v="1"/>
    <x v="317"/>
    <x v="92"/>
    <x v="1"/>
    <x v="1"/>
  </r>
  <r>
    <x v="941"/>
    <x v="3"/>
    <x v="27"/>
    <x v="0"/>
    <x v="20"/>
    <x v="2"/>
    <x v="146"/>
    <x v="23"/>
    <x v="5"/>
    <x v="5"/>
  </r>
  <r>
    <x v="941"/>
    <x v="4"/>
    <x v="96"/>
    <x v="0"/>
    <x v="26"/>
    <x v="2"/>
    <x v="275"/>
    <x v="88"/>
    <x v="4"/>
    <x v="4"/>
  </r>
  <r>
    <x v="942"/>
    <x v="0"/>
    <x v="22"/>
    <x v="0"/>
    <x v="17"/>
    <x v="0"/>
    <x v="76"/>
    <x v="19"/>
    <x v="5"/>
    <x v="5"/>
  </r>
  <r>
    <x v="942"/>
    <x v="1"/>
    <x v="90"/>
    <x v="0"/>
    <x v="43"/>
    <x v="0"/>
    <x v="212"/>
    <x v="83"/>
    <x v="0"/>
    <x v="0"/>
  </r>
  <r>
    <x v="943"/>
    <x v="0"/>
    <x v="61"/>
    <x v="1"/>
    <x v="4"/>
    <x v="1"/>
    <x v="13"/>
    <x v="54"/>
    <x v="1"/>
    <x v="1"/>
  </r>
  <r>
    <x v="943"/>
    <x v="1"/>
    <x v="3"/>
    <x v="1"/>
    <x v="0"/>
    <x v="3"/>
    <x v="28"/>
    <x v="3"/>
    <x v="0"/>
    <x v="0"/>
  </r>
  <r>
    <x v="943"/>
    <x v="2"/>
    <x v="63"/>
    <x v="1"/>
    <x v="43"/>
    <x v="0"/>
    <x v="247"/>
    <x v="56"/>
    <x v="0"/>
    <x v="0"/>
  </r>
  <r>
    <x v="943"/>
    <x v="3"/>
    <x v="25"/>
    <x v="1"/>
    <x v="18"/>
    <x v="0"/>
    <x v="144"/>
    <x v="21"/>
    <x v="4"/>
    <x v="4"/>
  </r>
  <r>
    <x v="943"/>
    <x v="4"/>
    <x v="79"/>
    <x v="1"/>
    <x v="24"/>
    <x v="1"/>
    <x v="207"/>
    <x v="72"/>
    <x v="0"/>
    <x v="0"/>
  </r>
  <r>
    <x v="944"/>
    <x v="0"/>
    <x v="86"/>
    <x v="0"/>
    <x v="54"/>
    <x v="2"/>
    <x v="391"/>
    <x v="79"/>
    <x v="5"/>
    <x v="5"/>
  </r>
  <r>
    <x v="944"/>
    <x v="1"/>
    <x v="49"/>
    <x v="1"/>
    <x v="33"/>
    <x v="0"/>
    <x v="291"/>
    <x v="42"/>
    <x v="4"/>
    <x v="4"/>
  </r>
  <r>
    <x v="944"/>
    <x v="2"/>
    <x v="98"/>
    <x v="1"/>
    <x v="14"/>
    <x v="2"/>
    <x v="124"/>
    <x v="90"/>
    <x v="1"/>
    <x v="1"/>
  </r>
  <r>
    <x v="944"/>
    <x v="3"/>
    <x v="99"/>
    <x v="1"/>
    <x v="60"/>
    <x v="3"/>
    <x v="412"/>
    <x v="91"/>
    <x v="1"/>
    <x v="1"/>
  </r>
  <r>
    <x v="944"/>
    <x v="4"/>
    <x v="69"/>
    <x v="1"/>
    <x v="47"/>
    <x v="2"/>
    <x v="342"/>
    <x v="62"/>
    <x v="6"/>
    <x v="6"/>
  </r>
  <r>
    <x v="945"/>
    <x v="0"/>
    <x v="14"/>
    <x v="0"/>
    <x v="12"/>
    <x v="3"/>
    <x v="40"/>
    <x v="13"/>
    <x v="1"/>
    <x v="1"/>
  </r>
  <r>
    <x v="945"/>
    <x v="1"/>
    <x v="25"/>
    <x v="1"/>
    <x v="18"/>
    <x v="0"/>
    <x v="144"/>
    <x v="21"/>
    <x v="4"/>
    <x v="4"/>
  </r>
  <r>
    <x v="945"/>
    <x v="2"/>
    <x v="37"/>
    <x v="0"/>
    <x v="25"/>
    <x v="2"/>
    <x v="413"/>
    <x v="33"/>
    <x v="2"/>
    <x v="2"/>
  </r>
  <r>
    <x v="945"/>
    <x v="3"/>
    <x v="13"/>
    <x v="1"/>
    <x v="11"/>
    <x v="0"/>
    <x v="78"/>
    <x v="12"/>
    <x v="0"/>
    <x v="0"/>
  </r>
  <r>
    <x v="945"/>
    <x v="4"/>
    <x v="28"/>
    <x v="1"/>
    <x v="21"/>
    <x v="1"/>
    <x v="354"/>
    <x v="24"/>
    <x v="6"/>
    <x v="6"/>
  </r>
  <r>
    <x v="946"/>
    <x v="0"/>
    <x v="33"/>
    <x v="0"/>
    <x v="14"/>
    <x v="2"/>
    <x v="62"/>
    <x v="29"/>
    <x v="1"/>
    <x v="1"/>
  </r>
  <r>
    <x v="946"/>
    <x v="1"/>
    <x v="41"/>
    <x v="1"/>
    <x v="27"/>
    <x v="1"/>
    <x v="414"/>
    <x v="36"/>
    <x v="1"/>
    <x v="1"/>
  </r>
  <r>
    <x v="946"/>
    <x v="2"/>
    <x v="99"/>
    <x v="0"/>
    <x v="60"/>
    <x v="1"/>
    <x v="411"/>
    <x v="91"/>
    <x v="1"/>
    <x v="1"/>
  </r>
  <r>
    <x v="947"/>
    <x v="0"/>
    <x v="19"/>
    <x v="1"/>
    <x v="15"/>
    <x v="0"/>
    <x v="33"/>
    <x v="17"/>
    <x v="4"/>
    <x v="4"/>
  </r>
  <r>
    <x v="947"/>
    <x v="1"/>
    <x v="0"/>
    <x v="1"/>
    <x v="0"/>
    <x v="3"/>
    <x v="28"/>
    <x v="0"/>
    <x v="0"/>
    <x v="0"/>
  </r>
  <r>
    <x v="947"/>
    <x v="2"/>
    <x v="70"/>
    <x v="0"/>
    <x v="48"/>
    <x v="0"/>
    <x v="415"/>
    <x v="63"/>
    <x v="4"/>
    <x v="4"/>
  </r>
  <r>
    <x v="947"/>
    <x v="3"/>
    <x v="102"/>
    <x v="1"/>
    <x v="30"/>
    <x v="0"/>
    <x v="266"/>
    <x v="94"/>
    <x v="4"/>
    <x v="4"/>
  </r>
  <r>
    <x v="947"/>
    <x v="4"/>
    <x v="31"/>
    <x v="1"/>
    <x v="22"/>
    <x v="0"/>
    <x v="416"/>
    <x v="27"/>
    <x v="0"/>
    <x v="0"/>
  </r>
  <r>
    <x v="948"/>
    <x v="0"/>
    <x v="11"/>
    <x v="1"/>
    <x v="9"/>
    <x v="3"/>
    <x v="42"/>
    <x v="10"/>
    <x v="3"/>
    <x v="3"/>
  </r>
  <r>
    <x v="948"/>
    <x v="1"/>
    <x v="66"/>
    <x v="1"/>
    <x v="45"/>
    <x v="2"/>
    <x v="256"/>
    <x v="59"/>
    <x v="6"/>
    <x v="6"/>
  </r>
  <r>
    <x v="949"/>
    <x v="0"/>
    <x v="28"/>
    <x v="0"/>
    <x v="21"/>
    <x v="2"/>
    <x v="347"/>
    <x v="24"/>
    <x v="6"/>
    <x v="6"/>
  </r>
  <r>
    <x v="950"/>
    <x v="0"/>
    <x v="64"/>
    <x v="0"/>
    <x v="44"/>
    <x v="3"/>
    <x v="417"/>
    <x v="57"/>
    <x v="6"/>
    <x v="6"/>
  </r>
  <r>
    <x v="950"/>
    <x v="1"/>
    <x v="52"/>
    <x v="1"/>
    <x v="28"/>
    <x v="3"/>
    <x v="418"/>
    <x v="45"/>
    <x v="1"/>
    <x v="1"/>
  </r>
  <r>
    <x v="950"/>
    <x v="2"/>
    <x v="37"/>
    <x v="1"/>
    <x v="25"/>
    <x v="0"/>
    <x v="165"/>
    <x v="33"/>
    <x v="2"/>
    <x v="2"/>
  </r>
  <r>
    <x v="951"/>
    <x v="0"/>
    <x v="0"/>
    <x v="1"/>
    <x v="0"/>
    <x v="1"/>
    <x v="19"/>
    <x v="0"/>
    <x v="0"/>
    <x v="0"/>
  </r>
  <r>
    <x v="951"/>
    <x v="1"/>
    <x v="94"/>
    <x v="0"/>
    <x v="59"/>
    <x v="2"/>
    <x v="419"/>
    <x v="86"/>
    <x v="6"/>
    <x v="6"/>
  </r>
  <r>
    <x v="952"/>
    <x v="0"/>
    <x v="19"/>
    <x v="1"/>
    <x v="15"/>
    <x v="1"/>
    <x v="69"/>
    <x v="17"/>
    <x v="4"/>
    <x v="4"/>
  </r>
  <r>
    <x v="953"/>
    <x v="0"/>
    <x v="4"/>
    <x v="1"/>
    <x v="3"/>
    <x v="3"/>
    <x v="25"/>
    <x v="4"/>
    <x v="1"/>
    <x v="1"/>
  </r>
  <r>
    <x v="954"/>
    <x v="0"/>
    <x v="52"/>
    <x v="0"/>
    <x v="28"/>
    <x v="3"/>
    <x v="168"/>
    <x v="45"/>
    <x v="1"/>
    <x v="1"/>
  </r>
  <r>
    <x v="954"/>
    <x v="1"/>
    <x v="93"/>
    <x v="1"/>
    <x v="58"/>
    <x v="1"/>
    <x v="394"/>
    <x v="85"/>
    <x v="1"/>
    <x v="1"/>
  </r>
  <r>
    <x v="954"/>
    <x v="2"/>
    <x v="81"/>
    <x v="0"/>
    <x v="29"/>
    <x v="2"/>
    <x v="277"/>
    <x v="74"/>
    <x v="4"/>
    <x v="4"/>
  </r>
  <r>
    <x v="954"/>
    <x v="3"/>
    <x v="65"/>
    <x v="0"/>
    <x v="25"/>
    <x v="0"/>
    <x v="152"/>
    <x v="58"/>
    <x v="2"/>
    <x v="2"/>
  </r>
  <r>
    <x v="954"/>
    <x v="4"/>
    <x v="54"/>
    <x v="0"/>
    <x v="37"/>
    <x v="2"/>
    <x v="232"/>
    <x v="47"/>
    <x v="4"/>
    <x v="4"/>
  </r>
  <r>
    <x v="955"/>
    <x v="0"/>
    <x v="35"/>
    <x v="1"/>
    <x v="15"/>
    <x v="3"/>
    <x v="50"/>
    <x v="31"/>
    <x v="0"/>
    <x v="0"/>
  </r>
  <r>
    <x v="955"/>
    <x v="1"/>
    <x v="19"/>
    <x v="0"/>
    <x v="15"/>
    <x v="0"/>
    <x v="122"/>
    <x v="17"/>
    <x v="4"/>
    <x v="4"/>
  </r>
  <r>
    <x v="955"/>
    <x v="2"/>
    <x v="30"/>
    <x v="1"/>
    <x v="5"/>
    <x v="3"/>
    <x v="8"/>
    <x v="26"/>
    <x v="0"/>
    <x v="0"/>
  </r>
  <r>
    <x v="955"/>
    <x v="3"/>
    <x v="17"/>
    <x v="1"/>
    <x v="11"/>
    <x v="0"/>
    <x v="78"/>
    <x v="15"/>
    <x v="0"/>
    <x v="0"/>
  </r>
  <r>
    <x v="955"/>
    <x v="4"/>
    <x v="47"/>
    <x v="1"/>
    <x v="32"/>
    <x v="3"/>
    <x v="420"/>
    <x v="41"/>
    <x v="0"/>
    <x v="0"/>
  </r>
  <r>
    <x v="956"/>
    <x v="0"/>
    <x v="75"/>
    <x v="1"/>
    <x v="19"/>
    <x v="2"/>
    <x v="150"/>
    <x v="68"/>
    <x v="5"/>
    <x v="5"/>
  </r>
  <r>
    <x v="956"/>
    <x v="1"/>
    <x v="15"/>
    <x v="1"/>
    <x v="11"/>
    <x v="1"/>
    <x v="35"/>
    <x v="12"/>
    <x v="0"/>
    <x v="0"/>
  </r>
  <r>
    <x v="956"/>
    <x v="2"/>
    <x v="63"/>
    <x v="1"/>
    <x v="43"/>
    <x v="2"/>
    <x v="281"/>
    <x v="56"/>
    <x v="0"/>
    <x v="0"/>
  </r>
  <r>
    <x v="956"/>
    <x v="3"/>
    <x v="82"/>
    <x v="0"/>
    <x v="34"/>
    <x v="1"/>
    <x v="421"/>
    <x v="75"/>
    <x v="0"/>
    <x v="0"/>
  </r>
  <r>
    <x v="956"/>
    <x v="4"/>
    <x v="103"/>
    <x v="0"/>
    <x v="38"/>
    <x v="2"/>
    <x v="318"/>
    <x v="95"/>
    <x v="5"/>
    <x v="5"/>
  </r>
  <r>
    <x v="957"/>
    <x v="0"/>
    <x v="80"/>
    <x v="0"/>
    <x v="53"/>
    <x v="3"/>
    <x v="422"/>
    <x v="73"/>
    <x v="6"/>
    <x v="6"/>
  </r>
  <r>
    <x v="957"/>
    <x v="1"/>
    <x v="35"/>
    <x v="0"/>
    <x v="15"/>
    <x v="0"/>
    <x v="122"/>
    <x v="31"/>
    <x v="0"/>
    <x v="0"/>
  </r>
  <r>
    <x v="958"/>
    <x v="0"/>
    <x v="12"/>
    <x v="0"/>
    <x v="10"/>
    <x v="0"/>
    <x v="103"/>
    <x v="11"/>
    <x v="0"/>
    <x v="0"/>
  </r>
  <r>
    <x v="958"/>
    <x v="1"/>
    <x v="31"/>
    <x v="0"/>
    <x v="22"/>
    <x v="3"/>
    <x v="368"/>
    <x v="27"/>
    <x v="0"/>
    <x v="0"/>
  </r>
  <r>
    <x v="958"/>
    <x v="2"/>
    <x v="67"/>
    <x v="0"/>
    <x v="46"/>
    <x v="2"/>
    <x v="423"/>
    <x v="60"/>
    <x v="1"/>
    <x v="1"/>
  </r>
  <r>
    <x v="958"/>
    <x v="3"/>
    <x v="105"/>
    <x v="0"/>
    <x v="63"/>
    <x v="1"/>
    <x v="397"/>
    <x v="97"/>
    <x v="0"/>
    <x v="0"/>
  </r>
  <r>
    <x v="959"/>
    <x v="0"/>
    <x v="30"/>
    <x v="1"/>
    <x v="5"/>
    <x v="2"/>
    <x v="125"/>
    <x v="26"/>
    <x v="0"/>
    <x v="0"/>
  </r>
  <r>
    <x v="959"/>
    <x v="1"/>
    <x v="58"/>
    <x v="0"/>
    <x v="40"/>
    <x v="3"/>
    <x v="340"/>
    <x v="51"/>
    <x v="6"/>
    <x v="6"/>
  </r>
  <r>
    <x v="959"/>
    <x v="2"/>
    <x v="74"/>
    <x v="1"/>
    <x v="42"/>
    <x v="2"/>
    <x v="199"/>
    <x v="67"/>
    <x v="6"/>
    <x v="6"/>
  </r>
  <r>
    <x v="959"/>
    <x v="3"/>
    <x v="56"/>
    <x v="1"/>
    <x v="39"/>
    <x v="3"/>
    <x v="424"/>
    <x v="49"/>
    <x v="4"/>
    <x v="4"/>
  </r>
  <r>
    <x v="960"/>
    <x v="0"/>
    <x v="86"/>
    <x v="0"/>
    <x v="54"/>
    <x v="3"/>
    <x v="425"/>
    <x v="79"/>
    <x v="5"/>
    <x v="5"/>
  </r>
  <r>
    <x v="960"/>
    <x v="1"/>
    <x v="42"/>
    <x v="1"/>
    <x v="28"/>
    <x v="0"/>
    <x v="426"/>
    <x v="37"/>
    <x v="1"/>
    <x v="1"/>
  </r>
  <r>
    <x v="960"/>
    <x v="2"/>
    <x v="105"/>
    <x v="1"/>
    <x v="63"/>
    <x v="1"/>
    <x v="306"/>
    <x v="97"/>
    <x v="0"/>
    <x v="0"/>
  </r>
  <r>
    <x v="961"/>
    <x v="0"/>
    <x v="105"/>
    <x v="1"/>
    <x v="63"/>
    <x v="1"/>
    <x v="306"/>
    <x v="97"/>
    <x v="0"/>
    <x v="0"/>
  </r>
  <r>
    <x v="961"/>
    <x v="1"/>
    <x v="38"/>
    <x v="1"/>
    <x v="26"/>
    <x v="1"/>
    <x v="184"/>
    <x v="34"/>
    <x v="0"/>
    <x v="0"/>
  </r>
  <r>
    <x v="962"/>
    <x v="0"/>
    <x v="4"/>
    <x v="0"/>
    <x v="3"/>
    <x v="1"/>
    <x v="123"/>
    <x v="4"/>
    <x v="1"/>
    <x v="1"/>
  </r>
  <r>
    <x v="963"/>
    <x v="0"/>
    <x v="45"/>
    <x v="0"/>
    <x v="30"/>
    <x v="0"/>
    <x v="269"/>
    <x v="39"/>
    <x v="4"/>
    <x v="4"/>
  </r>
  <r>
    <x v="963"/>
    <x v="1"/>
    <x v="51"/>
    <x v="0"/>
    <x v="35"/>
    <x v="0"/>
    <x v="427"/>
    <x v="44"/>
    <x v="0"/>
    <x v="0"/>
  </r>
  <r>
    <x v="964"/>
    <x v="0"/>
    <x v="45"/>
    <x v="1"/>
    <x v="30"/>
    <x v="3"/>
    <x v="343"/>
    <x v="39"/>
    <x v="4"/>
    <x v="4"/>
  </r>
  <r>
    <x v="965"/>
    <x v="0"/>
    <x v="54"/>
    <x v="0"/>
    <x v="37"/>
    <x v="2"/>
    <x v="232"/>
    <x v="47"/>
    <x v="4"/>
    <x v="4"/>
  </r>
  <r>
    <x v="965"/>
    <x v="1"/>
    <x v="30"/>
    <x v="0"/>
    <x v="5"/>
    <x v="1"/>
    <x v="116"/>
    <x v="26"/>
    <x v="0"/>
    <x v="0"/>
  </r>
  <r>
    <x v="966"/>
    <x v="0"/>
    <x v="82"/>
    <x v="0"/>
    <x v="34"/>
    <x v="0"/>
    <x v="210"/>
    <x v="75"/>
    <x v="0"/>
    <x v="0"/>
  </r>
  <r>
    <x v="966"/>
    <x v="1"/>
    <x v="104"/>
    <x v="1"/>
    <x v="62"/>
    <x v="2"/>
    <x v="316"/>
    <x v="96"/>
    <x v="0"/>
    <x v="0"/>
  </r>
  <r>
    <x v="966"/>
    <x v="2"/>
    <x v="108"/>
    <x v="0"/>
    <x v="37"/>
    <x v="3"/>
    <x v="378"/>
    <x v="100"/>
    <x v="4"/>
    <x v="4"/>
  </r>
  <r>
    <x v="966"/>
    <x v="3"/>
    <x v="27"/>
    <x v="0"/>
    <x v="20"/>
    <x v="0"/>
    <x v="320"/>
    <x v="23"/>
    <x v="5"/>
    <x v="5"/>
  </r>
  <r>
    <x v="967"/>
    <x v="0"/>
    <x v="108"/>
    <x v="0"/>
    <x v="37"/>
    <x v="0"/>
    <x v="321"/>
    <x v="100"/>
    <x v="4"/>
    <x v="4"/>
  </r>
  <r>
    <x v="967"/>
    <x v="1"/>
    <x v="32"/>
    <x v="1"/>
    <x v="23"/>
    <x v="2"/>
    <x v="244"/>
    <x v="28"/>
    <x v="3"/>
    <x v="3"/>
  </r>
  <r>
    <x v="967"/>
    <x v="2"/>
    <x v="2"/>
    <x v="1"/>
    <x v="2"/>
    <x v="2"/>
    <x v="2"/>
    <x v="2"/>
    <x v="2"/>
    <x v="2"/>
  </r>
  <r>
    <x v="968"/>
    <x v="0"/>
    <x v="51"/>
    <x v="0"/>
    <x v="35"/>
    <x v="0"/>
    <x v="427"/>
    <x v="44"/>
    <x v="0"/>
    <x v="0"/>
  </r>
  <r>
    <x v="968"/>
    <x v="1"/>
    <x v="107"/>
    <x v="0"/>
    <x v="61"/>
    <x v="3"/>
    <x v="326"/>
    <x v="99"/>
    <x v="1"/>
    <x v="1"/>
  </r>
  <r>
    <x v="969"/>
    <x v="0"/>
    <x v="25"/>
    <x v="0"/>
    <x v="18"/>
    <x v="3"/>
    <x v="366"/>
    <x v="21"/>
    <x v="4"/>
    <x v="4"/>
  </r>
  <r>
    <x v="969"/>
    <x v="1"/>
    <x v="74"/>
    <x v="1"/>
    <x v="42"/>
    <x v="3"/>
    <x v="428"/>
    <x v="67"/>
    <x v="6"/>
    <x v="6"/>
  </r>
  <r>
    <x v="969"/>
    <x v="2"/>
    <x v="59"/>
    <x v="1"/>
    <x v="41"/>
    <x v="3"/>
    <x v="216"/>
    <x v="52"/>
    <x v="6"/>
    <x v="6"/>
  </r>
  <r>
    <x v="969"/>
    <x v="3"/>
    <x v="39"/>
    <x v="0"/>
    <x v="19"/>
    <x v="3"/>
    <x v="201"/>
    <x v="22"/>
    <x v="0"/>
    <x v="0"/>
  </r>
  <r>
    <x v="970"/>
    <x v="0"/>
    <x v="63"/>
    <x v="1"/>
    <x v="43"/>
    <x v="2"/>
    <x v="281"/>
    <x v="56"/>
    <x v="0"/>
    <x v="0"/>
  </r>
  <r>
    <x v="970"/>
    <x v="1"/>
    <x v="105"/>
    <x v="1"/>
    <x v="63"/>
    <x v="1"/>
    <x v="306"/>
    <x v="97"/>
    <x v="0"/>
    <x v="0"/>
  </r>
  <r>
    <x v="970"/>
    <x v="2"/>
    <x v="1"/>
    <x v="1"/>
    <x v="1"/>
    <x v="2"/>
    <x v="134"/>
    <x v="1"/>
    <x v="1"/>
    <x v="1"/>
  </r>
  <r>
    <x v="970"/>
    <x v="3"/>
    <x v="10"/>
    <x v="1"/>
    <x v="8"/>
    <x v="1"/>
    <x v="30"/>
    <x v="9"/>
    <x v="0"/>
    <x v="0"/>
  </r>
  <r>
    <x v="970"/>
    <x v="4"/>
    <x v="83"/>
    <x v="0"/>
    <x v="8"/>
    <x v="0"/>
    <x v="57"/>
    <x v="76"/>
    <x v="1"/>
    <x v="1"/>
  </r>
  <r>
    <x v="971"/>
    <x v="0"/>
    <x v="96"/>
    <x v="0"/>
    <x v="26"/>
    <x v="0"/>
    <x v="153"/>
    <x v="88"/>
    <x v="4"/>
    <x v="4"/>
  </r>
  <r>
    <x v="971"/>
    <x v="1"/>
    <x v="65"/>
    <x v="0"/>
    <x v="25"/>
    <x v="1"/>
    <x v="222"/>
    <x v="58"/>
    <x v="2"/>
    <x v="2"/>
  </r>
  <r>
    <x v="972"/>
    <x v="0"/>
    <x v="4"/>
    <x v="1"/>
    <x v="3"/>
    <x v="3"/>
    <x v="25"/>
    <x v="4"/>
    <x v="1"/>
    <x v="1"/>
  </r>
  <r>
    <x v="972"/>
    <x v="1"/>
    <x v="76"/>
    <x v="1"/>
    <x v="50"/>
    <x v="3"/>
    <x v="429"/>
    <x v="69"/>
    <x v="1"/>
    <x v="1"/>
  </r>
  <r>
    <x v="972"/>
    <x v="2"/>
    <x v="42"/>
    <x v="1"/>
    <x v="28"/>
    <x v="2"/>
    <x v="181"/>
    <x v="37"/>
    <x v="1"/>
    <x v="1"/>
  </r>
  <r>
    <x v="972"/>
    <x v="3"/>
    <x v="68"/>
    <x v="0"/>
    <x v="24"/>
    <x v="1"/>
    <x v="187"/>
    <x v="61"/>
    <x v="0"/>
    <x v="0"/>
  </r>
  <r>
    <x v="973"/>
    <x v="0"/>
    <x v="57"/>
    <x v="1"/>
    <x v="14"/>
    <x v="3"/>
    <x v="110"/>
    <x v="50"/>
    <x v="1"/>
    <x v="1"/>
  </r>
  <r>
    <x v="973"/>
    <x v="1"/>
    <x v="13"/>
    <x v="1"/>
    <x v="11"/>
    <x v="0"/>
    <x v="78"/>
    <x v="12"/>
    <x v="0"/>
    <x v="0"/>
  </r>
  <r>
    <x v="974"/>
    <x v="0"/>
    <x v="55"/>
    <x v="1"/>
    <x v="38"/>
    <x v="0"/>
    <x v="430"/>
    <x v="48"/>
    <x v="5"/>
    <x v="5"/>
  </r>
  <r>
    <x v="975"/>
    <x v="0"/>
    <x v="8"/>
    <x v="1"/>
    <x v="0"/>
    <x v="3"/>
    <x v="28"/>
    <x v="3"/>
    <x v="0"/>
    <x v="0"/>
  </r>
  <r>
    <x v="975"/>
    <x v="1"/>
    <x v="62"/>
    <x v="0"/>
    <x v="42"/>
    <x v="1"/>
    <x v="245"/>
    <x v="55"/>
    <x v="1"/>
    <x v="1"/>
  </r>
  <r>
    <x v="976"/>
    <x v="0"/>
    <x v="58"/>
    <x v="1"/>
    <x v="40"/>
    <x v="3"/>
    <x v="431"/>
    <x v="51"/>
    <x v="6"/>
    <x v="6"/>
  </r>
  <r>
    <x v="976"/>
    <x v="1"/>
    <x v="79"/>
    <x v="1"/>
    <x v="24"/>
    <x v="2"/>
    <x v="293"/>
    <x v="72"/>
    <x v="0"/>
    <x v="0"/>
  </r>
  <r>
    <x v="976"/>
    <x v="2"/>
    <x v="97"/>
    <x v="0"/>
    <x v="4"/>
    <x v="2"/>
    <x v="6"/>
    <x v="89"/>
    <x v="1"/>
    <x v="1"/>
  </r>
  <r>
    <x v="976"/>
    <x v="3"/>
    <x v="53"/>
    <x v="1"/>
    <x v="36"/>
    <x v="2"/>
    <x v="432"/>
    <x v="46"/>
    <x v="0"/>
    <x v="0"/>
  </r>
  <r>
    <x v="977"/>
    <x v="0"/>
    <x v="26"/>
    <x v="1"/>
    <x v="19"/>
    <x v="2"/>
    <x v="150"/>
    <x v="22"/>
    <x v="0"/>
    <x v="0"/>
  </r>
  <r>
    <x v="977"/>
    <x v="1"/>
    <x v="22"/>
    <x v="1"/>
    <x v="17"/>
    <x v="0"/>
    <x v="91"/>
    <x v="19"/>
    <x v="5"/>
    <x v="5"/>
  </r>
  <r>
    <x v="977"/>
    <x v="2"/>
    <x v="75"/>
    <x v="1"/>
    <x v="19"/>
    <x v="2"/>
    <x v="150"/>
    <x v="68"/>
    <x v="5"/>
    <x v="5"/>
  </r>
  <r>
    <x v="978"/>
    <x v="0"/>
    <x v="66"/>
    <x v="0"/>
    <x v="45"/>
    <x v="2"/>
    <x v="433"/>
    <x v="59"/>
    <x v="6"/>
    <x v="6"/>
  </r>
  <r>
    <x v="978"/>
    <x v="1"/>
    <x v="68"/>
    <x v="1"/>
    <x v="24"/>
    <x v="0"/>
    <x v="151"/>
    <x v="61"/>
    <x v="0"/>
    <x v="0"/>
  </r>
  <r>
    <x v="978"/>
    <x v="2"/>
    <x v="10"/>
    <x v="1"/>
    <x v="8"/>
    <x v="3"/>
    <x v="97"/>
    <x v="9"/>
    <x v="0"/>
    <x v="0"/>
  </r>
  <r>
    <x v="978"/>
    <x v="3"/>
    <x v="58"/>
    <x v="0"/>
    <x v="40"/>
    <x v="0"/>
    <x v="434"/>
    <x v="51"/>
    <x v="6"/>
    <x v="6"/>
  </r>
  <r>
    <x v="979"/>
    <x v="0"/>
    <x v="60"/>
    <x v="1"/>
    <x v="25"/>
    <x v="0"/>
    <x v="165"/>
    <x v="53"/>
    <x v="6"/>
    <x v="6"/>
  </r>
  <r>
    <x v="979"/>
    <x v="1"/>
    <x v="11"/>
    <x v="0"/>
    <x v="9"/>
    <x v="3"/>
    <x v="128"/>
    <x v="10"/>
    <x v="3"/>
    <x v="3"/>
  </r>
  <r>
    <x v="979"/>
    <x v="2"/>
    <x v="38"/>
    <x v="0"/>
    <x v="26"/>
    <x v="3"/>
    <x v="164"/>
    <x v="34"/>
    <x v="0"/>
    <x v="0"/>
  </r>
  <r>
    <x v="980"/>
    <x v="0"/>
    <x v="100"/>
    <x v="0"/>
    <x v="61"/>
    <x v="3"/>
    <x v="326"/>
    <x v="92"/>
    <x v="1"/>
    <x v="1"/>
  </r>
  <r>
    <x v="980"/>
    <x v="1"/>
    <x v="43"/>
    <x v="1"/>
    <x v="15"/>
    <x v="2"/>
    <x v="89"/>
    <x v="31"/>
    <x v="0"/>
    <x v="0"/>
  </r>
  <r>
    <x v="980"/>
    <x v="2"/>
    <x v="20"/>
    <x v="1"/>
    <x v="11"/>
    <x v="1"/>
    <x v="35"/>
    <x v="15"/>
    <x v="0"/>
    <x v="0"/>
  </r>
  <r>
    <x v="980"/>
    <x v="3"/>
    <x v="107"/>
    <x v="1"/>
    <x v="61"/>
    <x v="3"/>
    <x v="302"/>
    <x v="99"/>
    <x v="1"/>
    <x v="1"/>
  </r>
  <r>
    <x v="980"/>
    <x v="4"/>
    <x v="32"/>
    <x v="0"/>
    <x v="23"/>
    <x v="1"/>
    <x v="193"/>
    <x v="28"/>
    <x v="3"/>
    <x v="3"/>
  </r>
  <r>
    <x v="981"/>
    <x v="0"/>
    <x v="13"/>
    <x v="1"/>
    <x v="11"/>
    <x v="3"/>
    <x v="23"/>
    <x v="12"/>
    <x v="0"/>
    <x v="0"/>
  </r>
  <r>
    <x v="981"/>
    <x v="1"/>
    <x v="55"/>
    <x v="0"/>
    <x v="38"/>
    <x v="1"/>
    <x v="271"/>
    <x v="48"/>
    <x v="5"/>
    <x v="5"/>
  </r>
  <r>
    <x v="981"/>
    <x v="2"/>
    <x v="58"/>
    <x v="0"/>
    <x v="40"/>
    <x v="1"/>
    <x v="435"/>
    <x v="51"/>
    <x v="6"/>
    <x v="6"/>
  </r>
  <r>
    <x v="981"/>
    <x v="3"/>
    <x v="95"/>
    <x v="1"/>
    <x v="23"/>
    <x v="2"/>
    <x v="244"/>
    <x v="87"/>
    <x v="1"/>
    <x v="1"/>
  </r>
  <r>
    <x v="982"/>
    <x v="0"/>
    <x v="65"/>
    <x v="0"/>
    <x v="25"/>
    <x v="3"/>
    <x v="315"/>
    <x v="58"/>
    <x v="2"/>
    <x v="2"/>
  </r>
  <r>
    <x v="982"/>
    <x v="1"/>
    <x v="0"/>
    <x v="1"/>
    <x v="0"/>
    <x v="0"/>
    <x v="24"/>
    <x v="0"/>
    <x v="0"/>
    <x v="0"/>
  </r>
  <r>
    <x v="982"/>
    <x v="2"/>
    <x v="39"/>
    <x v="0"/>
    <x v="19"/>
    <x v="1"/>
    <x v="274"/>
    <x v="22"/>
    <x v="0"/>
    <x v="0"/>
  </r>
  <r>
    <x v="982"/>
    <x v="3"/>
    <x v="89"/>
    <x v="1"/>
    <x v="56"/>
    <x v="1"/>
    <x v="311"/>
    <x v="82"/>
    <x v="0"/>
    <x v="0"/>
  </r>
  <r>
    <x v="982"/>
    <x v="4"/>
    <x v="54"/>
    <x v="0"/>
    <x v="37"/>
    <x v="2"/>
    <x v="232"/>
    <x v="47"/>
    <x v="4"/>
    <x v="4"/>
  </r>
  <r>
    <x v="983"/>
    <x v="0"/>
    <x v="39"/>
    <x v="0"/>
    <x v="19"/>
    <x v="0"/>
    <x v="188"/>
    <x v="22"/>
    <x v="0"/>
    <x v="0"/>
  </r>
  <r>
    <x v="983"/>
    <x v="1"/>
    <x v="89"/>
    <x v="1"/>
    <x v="56"/>
    <x v="0"/>
    <x v="436"/>
    <x v="82"/>
    <x v="0"/>
    <x v="0"/>
  </r>
  <r>
    <x v="983"/>
    <x v="2"/>
    <x v="10"/>
    <x v="0"/>
    <x v="8"/>
    <x v="3"/>
    <x v="98"/>
    <x v="9"/>
    <x v="0"/>
    <x v="0"/>
  </r>
  <r>
    <x v="983"/>
    <x v="3"/>
    <x v="103"/>
    <x v="0"/>
    <x v="38"/>
    <x v="0"/>
    <x v="314"/>
    <x v="95"/>
    <x v="5"/>
    <x v="5"/>
  </r>
  <r>
    <x v="984"/>
    <x v="0"/>
    <x v="21"/>
    <x v="1"/>
    <x v="16"/>
    <x v="1"/>
    <x v="129"/>
    <x v="18"/>
    <x v="1"/>
    <x v="1"/>
  </r>
  <r>
    <x v="984"/>
    <x v="1"/>
    <x v="64"/>
    <x v="0"/>
    <x v="44"/>
    <x v="0"/>
    <x v="235"/>
    <x v="57"/>
    <x v="6"/>
    <x v="6"/>
  </r>
  <r>
    <x v="984"/>
    <x v="2"/>
    <x v="46"/>
    <x v="1"/>
    <x v="31"/>
    <x v="2"/>
    <x v="437"/>
    <x v="40"/>
    <x v="0"/>
    <x v="0"/>
  </r>
  <r>
    <x v="985"/>
    <x v="0"/>
    <x v="108"/>
    <x v="0"/>
    <x v="37"/>
    <x v="3"/>
    <x v="378"/>
    <x v="100"/>
    <x v="4"/>
    <x v="4"/>
  </r>
  <r>
    <x v="985"/>
    <x v="1"/>
    <x v="46"/>
    <x v="0"/>
    <x v="31"/>
    <x v="2"/>
    <x v="159"/>
    <x v="40"/>
    <x v="0"/>
    <x v="0"/>
  </r>
  <r>
    <x v="985"/>
    <x v="2"/>
    <x v="8"/>
    <x v="1"/>
    <x v="0"/>
    <x v="1"/>
    <x v="19"/>
    <x v="3"/>
    <x v="0"/>
    <x v="0"/>
  </r>
  <r>
    <x v="986"/>
    <x v="0"/>
    <x v="80"/>
    <x v="1"/>
    <x v="53"/>
    <x v="3"/>
    <x v="408"/>
    <x v="73"/>
    <x v="6"/>
    <x v="6"/>
  </r>
  <r>
    <x v="986"/>
    <x v="1"/>
    <x v="91"/>
    <x v="1"/>
    <x v="57"/>
    <x v="0"/>
    <x v="225"/>
    <x v="84"/>
    <x v="3"/>
    <x v="3"/>
  </r>
  <r>
    <x v="986"/>
    <x v="2"/>
    <x v="53"/>
    <x v="0"/>
    <x v="36"/>
    <x v="1"/>
    <x v="382"/>
    <x v="46"/>
    <x v="0"/>
    <x v="0"/>
  </r>
  <r>
    <x v="987"/>
    <x v="0"/>
    <x v="100"/>
    <x v="0"/>
    <x v="61"/>
    <x v="0"/>
    <x v="265"/>
    <x v="92"/>
    <x v="1"/>
    <x v="1"/>
  </r>
  <r>
    <x v="987"/>
    <x v="1"/>
    <x v="83"/>
    <x v="0"/>
    <x v="8"/>
    <x v="1"/>
    <x v="77"/>
    <x v="76"/>
    <x v="1"/>
    <x v="1"/>
  </r>
  <r>
    <x v="987"/>
    <x v="2"/>
    <x v="10"/>
    <x v="1"/>
    <x v="8"/>
    <x v="1"/>
    <x v="30"/>
    <x v="9"/>
    <x v="0"/>
    <x v="0"/>
  </r>
  <r>
    <x v="988"/>
    <x v="0"/>
    <x v="40"/>
    <x v="0"/>
    <x v="15"/>
    <x v="2"/>
    <x v="115"/>
    <x v="35"/>
    <x v="4"/>
    <x v="4"/>
  </r>
  <r>
    <x v="988"/>
    <x v="1"/>
    <x v="97"/>
    <x v="0"/>
    <x v="4"/>
    <x v="3"/>
    <x v="16"/>
    <x v="89"/>
    <x v="1"/>
    <x v="1"/>
  </r>
  <r>
    <x v="988"/>
    <x v="2"/>
    <x v="63"/>
    <x v="0"/>
    <x v="43"/>
    <x v="3"/>
    <x v="388"/>
    <x v="56"/>
    <x v="0"/>
    <x v="0"/>
  </r>
  <r>
    <x v="988"/>
    <x v="3"/>
    <x v="73"/>
    <x v="1"/>
    <x v="49"/>
    <x v="1"/>
    <x v="396"/>
    <x v="66"/>
    <x v="4"/>
    <x v="4"/>
  </r>
  <r>
    <x v="988"/>
    <x v="4"/>
    <x v="21"/>
    <x v="0"/>
    <x v="16"/>
    <x v="3"/>
    <x v="38"/>
    <x v="18"/>
    <x v="1"/>
    <x v="1"/>
  </r>
  <r>
    <x v="989"/>
    <x v="0"/>
    <x v="18"/>
    <x v="1"/>
    <x v="14"/>
    <x v="0"/>
    <x v="117"/>
    <x v="16"/>
    <x v="1"/>
    <x v="1"/>
  </r>
  <r>
    <x v="989"/>
    <x v="1"/>
    <x v="61"/>
    <x v="0"/>
    <x v="4"/>
    <x v="3"/>
    <x v="16"/>
    <x v="54"/>
    <x v="1"/>
    <x v="1"/>
  </r>
  <r>
    <x v="989"/>
    <x v="2"/>
    <x v="87"/>
    <x v="0"/>
    <x v="29"/>
    <x v="3"/>
    <x v="283"/>
    <x v="80"/>
    <x v="4"/>
    <x v="4"/>
  </r>
  <r>
    <x v="989"/>
    <x v="3"/>
    <x v="15"/>
    <x v="1"/>
    <x v="11"/>
    <x v="3"/>
    <x v="23"/>
    <x v="12"/>
    <x v="0"/>
    <x v="0"/>
  </r>
  <r>
    <x v="990"/>
    <x v="0"/>
    <x v="11"/>
    <x v="1"/>
    <x v="9"/>
    <x v="0"/>
    <x v="44"/>
    <x v="10"/>
    <x v="3"/>
    <x v="3"/>
  </r>
  <r>
    <x v="990"/>
    <x v="1"/>
    <x v="47"/>
    <x v="0"/>
    <x v="32"/>
    <x v="0"/>
    <x v="197"/>
    <x v="41"/>
    <x v="0"/>
    <x v="0"/>
  </r>
  <r>
    <x v="990"/>
    <x v="2"/>
    <x v="98"/>
    <x v="0"/>
    <x v="14"/>
    <x v="0"/>
    <x v="63"/>
    <x v="90"/>
    <x v="1"/>
    <x v="1"/>
  </r>
  <r>
    <x v="991"/>
    <x v="0"/>
    <x v="78"/>
    <x v="0"/>
    <x v="52"/>
    <x v="1"/>
    <x v="242"/>
    <x v="71"/>
    <x v="1"/>
    <x v="1"/>
  </r>
  <r>
    <x v="991"/>
    <x v="1"/>
    <x v="48"/>
    <x v="0"/>
    <x v="26"/>
    <x v="3"/>
    <x v="164"/>
    <x v="34"/>
    <x v="0"/>
    <x v="0"/>
  </r>
  <r>
    <x v="991"/>
    <x v="2"/>
    <x v="0"/>
    <x v="0"/>
    <x v="0"/>
    <x v="0"/>
    <x v="0"/>
    <x v="0"/>
    <x v="0"/>
    <x v="0"/>
  </r>
  <r>
    <x v="991"/>
    <x v="3"/>
    <x v="70"/>
    <x v="1"/>
    <x v="48"/>
    <x v="0"/>
    <x v="191"/>
    <x v="63"/>
    <x v="4"/>
    <x v="4"/>
  </r>
  <r>
    <x v="991"/>
    <x v="4"/>
    <x v="14"/>
    <x v="0"/>
    <x v="12"/>
    <x v="2"/>
    <x v="55"/>
    <x v="13"/>
    <x v="1"/>
    <x v="1"/>
  </r>
  <r>
    <x v="992"/>
    <x v="0"/>
    <x v="71"/>
    <x v="0"/>
    <x v="23"/>
    <x v="0"/>
    <x v="223"/>
    <x v="64"/>
    <x v="6"/>
    <x v="6"/>
  </r>
  <r>
    <x v="992"/>
    <x v="1"/>
    <x v="107"/>
    <x v="1"/>
    <x v="61"/>
    <x v="3"/>
    <x v="302"/>
    <x v="99"/>
    <x v="1"/>
    <x v="1"/>
  </r>
  <r>
    <x v="992"/>
    <x v="2"/>
    <x v="2"/>
    <x v="1"/>
    <x v="2"/>
    <x v="2"/>
    <x v="2"/>
    <x v="2"/>
    <x v="2"/>
    <x v="2"/>
  </r>
  <r>
    <x v="992"/>
    <x v="3"/>
    <x v="40"/>
    <x v="1"/>
    <x v="15"/>
    <x v="1"/>
    <x v="69"/>
    <x v="35"/>
    <x v="4"/>
    <x v="4"/>
  </r>
  <r>
    <x v="992"/>
    <x v="4"/>
    <x v="47"/>
    <x v="1"/>
    <x v="32"/>
    <x v="3"/>
    <x v="420"/>
    <x v="41"/>
    <x v="0"/>
    <x v="0"/>
  </r>
  <r>
    <x v="993"/>
    <x v="0"/>
    <x v="88"/>
    <x v="1"/>
    <x v="55"/>
    <x v="3"/>
    <x v="438"/>
    <x v="81"/>
    <x v="1"/>
    <x v="1"/>
  </r>
  <r>
    <x v="993"/>
    <x v="1"/>
    <x v="78"/>
    <x v="0"/>
    <x v="52"/>
    <x v="0"/>
    <x v="362"/>
    <x v="71"/>
    <x v="1"/>
    <x v="1"/>
  </r>
  <r>
    <x v="993"/>
    <x v="2"/>
    <x v="82"/>
    <x v="0"/>
    <x v="34"/>
    <x v="1"/>
    <x v="421"/>
    <x v="75"/>
    <x v="0"/>
    <x v="0"/>
  </r>
  <r>
    <x v="994"/>
    <x v="0"/>
    <x v="3"/>
    <x v="1"/>
    <x v="0"/>
    <x v="3"/>
    <x v="28"/>
    <x v="3"/>
    <x v="0"/>
    <x v="0"/>
  </r>
  <r>
    <x v="994"/>
    <x v="1"/>
    <x v="45"/>
    <x v="0"/>
    <x v="30"/>
    <x v="0"/>
    <x v="269"/>
    <x v="39"/>
    <x v="4"/>
    <x v="4"/>
  </r>
  <r>
    <x v="994"/>
    <x v="2"/>
    <x v="70"/>
    <x v="0"/>
    <x v="48"/>
    <x v="3"/>
    <x v="439"/>
    <x v="63"/>
    <x v="4"/>
    <x v="4"/>
  </r>
  <r>
    <x v="995"/>
    <x v="0"/>
    <x v="39"/>
    <x v="1"/>
    <x v="19"/>
    <x v="2"/>
    <x v="150"/>
    <x v="22"/>
    <x v="0"/>
    <x v="0"/>
  </r>
  <r>
    <x v="995"/>
    <x v="1"/>
    <x v="33"/>
    <x v="0"/>
    <x v="14"/>
    <x v="2"/>
    <x v="62"/>
    <x v="29"/>
    <x v="1"/>
    <x v="1"/>
  </r>
  <r>
    <x v="996"/>
    <x v="0"/>
    <x v="106"/>
    <x v="1"/>
    <x v="39"/>
    <x v="1"/>
    <x v="440"/>
    <x v="98"/>
    <x v="4"/>
    <x v="4"/>
  </r>
  <r>
    <x v="996"/>
    <x v="1"/>
    <x v="86"/>
    <x v="1"/>
    <x v="54"/>
    <x v="0"/>
    <x v="350"/>
    <x v="79"/>
    <x v="5"/>
    <x v="5"/>
  </r>
  <r>
    <x v="996"/>
    <x v="2"/>
    <x v="15"/>
    <x v="1"/>
    <x v="11"/>
    <x v="1"/>
    <x v="35"/>
    <x v="12"/>
    <x v="0"/>
    <x v="0"/>
  </r>
  <r>
    <x v="997"/>
    <x v="0"/>
    <x v="8"/>
    <x v="1"/>
    <x v="0"/>
    <x v="2"/>
    <x v="3"/>
    <x v="3"/>
    <x v="0"/>
    <x v="0"/>
  </r>
  <r>
    <x v="997"/>
    <x v="1"/>
    <x v="86"/>
    <x v="0"/>
    <x v="54"/>
    <x v="0"/>
    <x v="441"/>
    <x v="79"/>
    <x v="5"/>
    <x v="5"/>
  </r>
  <r>
    <x v="998"/>
    <x v="0"/>
    <x v="63"/>
    <x v="1"/>
    <x v="43"/>
    <x v="1"/>
    <x v="289"/>
    <x v="56"/>
    <x v="0"/>
    <x v="0"/>
  </r>
  <r>
    <x v="998"/>
    <x v="1"/>
    <x v="26"/>
    <x v="0"/>
    <x v="19"/>
    <x v="2"/>
    <x v="399"/>
    <x v="22"/>
    <x v="0"/>
    <x v="0"/>
  </r>
  <r>
    <x v="999"/>
    <x v="0"/>
    <x v="105"/>
    <x v="1"/>
    <x v="63"/>
    <x v="2"/>
    <x v="380"/>
    <x v="97"/>
    <x v="0"/>
    <x v="0"/>
  </r>
  <r>
    <x v="999"/>
    <x v="1"/>
    <x v="103"/>
    <x v="0"/>
    <x v="38"/>
    <x v="3"/>
    <x v="442"/>
    <x v="95"/>
    <x v="5"/>
    <x v="5"/>
  </r>
  <r>
    <x v="999"/>
    <x v="2"/>
    <x v="23"/>
    <x v="1"/>
    <x v="7"/>
    <x v="1"/>
    <x v="53"/>
    <x v="20"/>
    <x v="0"/>
    <x v="0"/>
  </r>
  <r>
    <x v="999"/>
    <x v="3"/>
    <x v="61"/>
    <x v="1"/>
    <x v="4"/>
    <x v="2"/>
    <x v="79"/>
    <x v="54"/>
    <x v="1"/>
    <x v="1"/>
  </r>
  <r>
    <x v="1000"/>
    <x v="0"/>
    <x v="31"/>
    <x v="0"/>
    <x v="22"/>
    <x v="2"/>
    <x v="148"/>
    <x v="27"/>
    <x v="0"/>
    <x v="0"/>
  </r>
  <r>
    <x v="1000"/>
    <x v="1"/>
    <x v="78"/>
    <x v="1"/>
    <x v="52"/>
    <x v="2"/>
    <x v="204"/>
    <x v="71"/>
    <x v="1"/>
    <x v="1"/>
  </r>
  <r>
    <x v="1000"/>
    <x v="2"/>
    <x v="71"/>
    <x v="0"/>
    <x v="23"/>
    <x v="3"/>
    <x v="253"/>
    <x v="64"/>
    <x v="6"/>
    <x v="6"/>
  </r>
  <r>
    <x v="1000"/>
    <x v="3"/>
    <x v="103"/>
    <x v="0"/>
    <x v="38"/>
    <x v="1"/>
    <x v="271"/>
    <x v="95"/>
    <x v="5"/>
    <x v="5"/>
  </r>
  <r>
    <x v="1001"/>
    <x v="0"/>
    <x v="96"/>
    <x v="0"/>
    <x v="26"/>
    <x v="2"/>
    <x v="275"/>
    <x v="88"/>
    <x v="4"/>
    <x v="4"/>
  </r>
  <r>
    <x v="1001"/>
    <x v="1"/>
    <x v="56"/>
    <x v="0"/>
    <x v="39"/>
    <x v="3"/>
    <x v="174"/>
    <x v="49"/>
    <x v="4"/>
    <x v="4"/>
  </r>
  <r>
    <x v="1001"/>
    <x v="2"/>
    <x v="1"/>
    <x v="1"/>
    <x v="1"/>
    <x v="3"/>
    <x v="96"/>
    <x v="1"/>
    <x v="1"/>
    <x v="1"/>
  </r>
  <r>
    <x v="1001"/>
    <x v="3"/>
    <x v="47"/>
    <x v="0"/>
    <x v="32"/>
    <x v="0"/>
    <x v="197"/>
    <x v="41"/>
    <x v="0"/>
    <x v="0"/>
  </r>
  <r>
    <x v="1002"/>
    <x v="0"/>
    <x v="98"/>
    <x v="1"/>
    <x v="14"/>
    <x v="2"/>
    <x v="124"/>
    <x v="90"/>
    <x v="1"/>
    <x v="1"/>
  </r>
  <r>
    <x v="1002"/>
    <x v="1"/>
    <x v="80"/>
    <x v="1"/>
    <x v="53"/>
    <x v="2"/>
    <x v="443"/>
    <x v="73"/>
    <x v="6"/>
    <x v="6"/>
  </r>
  <r>
    <x v="1003"/>
    <x v="0"/>
    <x v="107"/>
    <x v="1"/>
    <x v="61"/>
    <x v="3"/>
    <x v="302"/>
    <x v="99"/>
    <x v="1"/>
    <x v="1"/>
  </r>
  <r>
    <x v="1004"/>
    <x v="0"/>
    <x v="15"/>
    <x v="1"/>
    <x v="11"/>
    <x v="0"/>
    <x v="78"/>
    <x v="12"/>
    <x v="0"/>
    <x v="0"/>
  </r>
  <r>
    <x v="1004"/>
    <x v="1"/>
    <x v="89"/>
    <x v="1"/>
    <x v="56"/>
    <x v="3"/>
    <x v="444"/>
    <x v="82"/>
    <x v="0"/>
    <x v="0"/>
  </r>
  <r>
    <x v="1004"/>
    <x v="2"/>
    <x v="40"/>
    <x v="0"/>
    <x v="15"/>
    <x v="3"/>
    <x v="37"/>
    <x v="35"/>
    <x v="4"/>
    <x v="4"/>
  </r>
  <r>
    <x v="1005"/>
    <x v="0"/>
    <x v="0"/>
    <x v="0"/>
    <x v="0"/>
    <x v="1"/>
    <x v="5"/>
    <x v="0"/>
    <x v="0"/>
    <x v="0"/>
  </r>
  <r>
    <x v="1005"/>
    <x v="1"/>
    <x v="39"/>
    <x v="0"/>
    <x v="19"/>
    <x v="3"/>
    <x v="201"/>
    <x v="22"/>
    <x v="0"/>
    <x v="0"/>
  </r>
  <r>
    <x v="1005"/>
    <x v="2"/>
    <x v="28"/>
    <x v="1"/>
    <x v="21"/>
    <x v="1"/>
    <x v="354"/>
    <x v="24"/>
    <x v="6"/>
    <x v="6"/>
  </r>
  <r>
    <x v="1005"/>
    <x v="3"/>
    <x v="105"/>
    <x v="0"/>
    <x v="63"/>
    <x v="3"/>
    <x v="445"/>
    <x v="97"/>
    <x v="0"/>
    <x v="0"/>
  </r>
  <r>
    <x v="1005"/>
    <x v="4"/>
    <x v="109"/>
    <x v="0"/>
    <x v="64"/>
    <x v="3"/>
    <x v="400"/>
    <x v="101"/>
    <x v="1"/>
    <x v="1"/>
  </r>
  <r>
    <x v="1006"/>
    <x v="0"/>
    <x v="8"/>
    <x v="0"/>
    <x v="0"/>
    <x v="0"/>
    <x v="0"/>
    <x v="3"/>
    <x v="0"/>
    <x v="0"/>
  </r>
  <r>
    <x v="1006"/>
    <x v="1"/>
    <x v="16"/>
    <x v="0"/>
    <x v="13"/>
    <x v="2"/>
    <x v="26"/>
    <x v="14"/>
    <x v="2"/>
    <x v="2"/>
  </r>
  <r>
    <x v="1006"/>
    <x v="2"/>
    <x v="25"/>
    <x v="1"/>
    <x v="18"/>
    <x v="3"/>
    <x v="446"/>
    <x v="21"/>
    <x v="4"/>
    <x v="4"/>
  </r>
  <r>
    <x v="1006"/>
    <x v="3"/>
    <x v="35"/>
    <x v="0"/>
    <x v="15"/>
    <x v="0"/>
    <x v="122"/>
    <x v="31"/>
    <x v="0"/>
    <x v="0"/>
  </r>
  <r>
    <x v="1006"/>
    <x v="4"/>
    <x v="26"/>
    <x v="1"/>
    <x v="19"/>
    <x v="3"/>
    <x v="145"/>
    <x v="22"/>
    <x v="0"/>
    <x v="0"/>
  </r>
  <r>
    <x v="1007"/>
    <x v="0"/>
    <x v="68"/>
    <x v="0"/>
    <x v="24"/>
    <x v="0"/>
    <x v="307"/>
    <x v="61"/>
    <x v="0"/>
    <x v="0"/>
  </r>
  <r>
    <x v="1007"/>
    <x v="1"/>
    <x v="6"/>
    <x v="0"/>
    <x v="5"/>
    <x v="3"/>
    <x v="92"/>
    <x v="6"/>
    <x v="1"/>
    <x v="1"/>
  </r>
  <r>
    <x v="1007"/>
    <x v="2"/>
    <x v="43"/>
    <x v="0"/>
    <x v="15"/>
    <x v="1"/>
    <x v="75"/>
    <x v="31"/>
    <x v="0"/>
    <x v="0"/>
  </r>
  <r>
    <x v="1008"/>
    <x v="0"/>
    <x v="43"/>
    <x v="1"/>
    <x v="15"/>
    <x v="1"/>
    <x v="69"/>
    <x v="31"/>
    <x v="0"/>
    <x v="0"/>
  </r>
  <r>
    <x v="1008"/>
    <x v="1"/>
    <x v="99"/>
    <x v="0"/>
    <x v="60"/>
    <x v="1"/>
    <x v="411"/>
    <x v="91"/>
    <x v="1"/>
    <x v="1"/>
  </r>
  <r>
    <x v="1009"/>
    <x v="0"/>
    <x v="36"/>
    <x v="1"/>
    <x v="24"/>
    <x v="3"/>
    <x v="288"/>
    <x v="32"/>
    <x v="5"/>
    <x v="5"/>
  </r>
  <r>
    <x v="1010"/>
    <x v="0"/>
    <x v="54"/>
    <x v="0"/>
    <x v="37"/>
    <x v="0"/>
    <x v="321"/>
    <x v="47"/>
    <x v="4"/>
    <x v="4"/>
  </r>
  <r>
    <x v="1010"/>
    <x v="1"/>
    <x v="40"/>
    <x v="1"/>
    <x v="15"/>
    <x v="0"/>
    <x v="33"/>
    <x v="35"/>
    <x v="4"/>
    <x v="4"/>
  </r>
  <r>
    <x v="1010"/>
    <x v="2"/>
    <x v="3"/>
    <x v="1"/>
    <x v="0"/>
    <x v="0"/>
    <x v="24"/>
    <x v="3"/>
    <x v="0"/>
    <x v="0"/>
  </r>
  <r>
    <x v="1010"/>
    <x v="3"/>
    <x v="39"/>
    <x v="1"/>
    <x v="19"/>
    <x v="2"/>
    <x v="150"/>
    <x v="22"/>
    <x v="0"/>
    <x v="0"/>
  </r>
  <r>
    <x v="1011"/>
    <x v="0"/>
    <x v="1"/>
    <x v="0"/>
    <x v="1"/>
    <x v="1"/>
    <x v="31"/>
    <x v="1"/>
    <x v="1"/>
    <x v="1"/>
  </r>
  <r>
    <x v="1011"/>
    <x v="1"/>
    <x v="38"/>
    <x v="0"/>
    <x v="26"/>
    <x v="0"/>
    <x v="153"/>
    <x v="34"/>
    <x v="0"/>
    <x v="0"/>
  </r>
  <r>
    <x v="1012"/>
    <x v="0"/>
    <x v="91"/>
    <x v="1"/>
    <x v="57"/>
    <x v="2"/>
    <x v="447"/>
    <x v="84"/>
    <x v="3"/>
    <x v="3"/>
  </r>
  <r>
    <x v="1013"/>
    <x v="0"/>
    <x v="44"/>
    <x v="0"/>
    <x v="29"/>
    <x v="0"/>
    <x v="344"/>
    <x v="38"/>
    <x v="4"/>
    <x v="4"/>
  </r>
  <r>
    <x v="1013"/>
    <x v="1"/>
    <x v="78"/>
    <x v="1"/>
    <x v="52"/>
    <x v="2"/>
    <x v="204"/>
    <x v="71"/>
    <x v="1"/>
    <x v="1"/>
  </r>
  <r>
    <x v="1013"/>
    <x v="2"/>
    <x v="89"/>
    <x v="1"/>
    <x v="56"/>
    <x v="3"/>
    <x v="444"/>
    <x v="82"/>
    <x v="0"/>
    <x v="0"/>
  </r>
  <r>
    <x v="1013"/>
    <x v="3"/>
    <x v="64"/>
    <x v="0"/>
    <x v="44"/>
    <x v="2"/>
    <x v="227"/>
    <x v="57"/>
    <x v="6"/>
    <x v="6"/>
  </r>
  <r>
    <x v="1014"/>
    <x v="0"/>
    <x v="18"/>
    <x v="1"/>
    <x v="14"/>
    <x v="3"/>
    <x v="110"/>
    <x v="16"/>
    <x v="1"/>
    <x v="1"/>
  </r>
  <r>
    <x v="1014"/>
    <x v="1"/>
    <x v="30"/>
    <x v="1"/>
    <x v="5"/>
    <x v="0"/>
    <x v="39"/>
    <x v="26"/>
    <x v="0"/>
    <x v="0"/>
  </r>
  <r>
    <x v="1014"/>
    <x v="2"/>
    <x v="70"/>
    <x v="1"/>
    <x v="48"/>
    <x v="3"/>
    <x v="284"/>
    <x v="63"/>
    <x v="4"/>
    <x v="4"/>
  </r>
  <r>
    <x v="1014"/>
    <x v="3"/>
    <x v="17"/>
    <x v="0"/>
    <x v="11"/>
    <x v="0"/>
    <x v="51"/>
    <x v="15"/>
    <x v="0"/>
    <x v="0"/>
  </r>
  <r>
    <x v="1015"/>
    <x v="0"/>
    <x v="35"/>
    <x v="1"/>
    <x v="15"/>
    <x v="1"/>
    <x v="69"/>
    <x v="31"/>
    <x v="0"/>
    <x v="0"/>
  </r>
  <r>
    <x v="1016"/>
    <x v="0"/>
    <x v="84"/>
    <x v="0"/>
    <x v="30"/>
    <x v="1"/>
    <x v="158"/>
    <x v="77"/>
    <x v="4"/>
    <x v="4"/>
  </r>
  <r>
    <x v="1016"/>
    <x v="1"/>
    <x v="90"/>
    <x v="1"/>
    <x v="43"/>
    <x v="0"/>
    <x v="247"/>
    <x v="83"/>
    <x v="0"/>
    <x v="0"/>
  </r>
  <r>
    <x v="1016"/>
    <x v="2"/>
    <x v="96"/>
    <x v="0"/>
    <x v="26"/>
    <x v="0"/>
    <x v="153"/>
    <x v="88"/>
    <x v="4"/>
    <x v="4"/>
  </r>
  <r>
    <x v="1016"/>
    <x v="3"/>
    <x v="9"/>
    <x v="1"/>
    <x v="7"/>
    <x v="0"/>
    <x v="83"/>
    <x v="8"/>
    <x v="0"/>
    <x v="0"/>
  </r>
  <r>
    <x v="1016"/>
    <x v="4"/>
    <x v="104"/>
    <x v="1"/>
    <x v="62"/>
    <x v="3"/>
    <x v="345"/>
    <x v="96"/>
    <x v="0"/>
    <x v="0"/>
  </r>
  <r>
    <x v="1017"/>
    <x v="0"/>
    <x v="35"/>
    <x v="1"/>
    <x v="15"/>
    <x v="1"/>
    <x v="69"/>
    <x v="31"/>
    <x v="0"/>
    <x v="0"/>
  </r>
  <r>
    <x v="1017"/>
    <x v="1"/>
    <x v="44"/>
    <x v="1"/>
    <x v="29"/>
    <x v="3"/>
    <x v="157"/>
    <x v="38"/>
    <x v="4"/>
    <x v="4"/>
  </r>
  <r>
    <x v="1017"/>
    <x v="2"/>
    <x v="87"/>
    <x v="0"/>
    <x v="29"/>
    <x v="0"/>
    <x v="344"/>
    <x v="80"/>
    <x v="4"/>
    <x v="4"/>
  </r>
  <r>
    <x v="1018"/>
    <x v="0"/>
    <x v="34"/>
    <x v="0"/>
    <x v="4"/>
    <x v="3"/>
    <x v="16"/>
    <x v="30"/>
    <x v="1"/>
    <x v="1"/>
  </r>
  <r>
    <x v="1018"/>
    <x v="1"/>
    <x v="58"/>
    <x v="0"/>
    <x v="40"/>
    <x v="0"/>
    <x v="434"/>
    <x v="51"/>
    <x v="6"/>
    <x v="6"/>
  </r>
  <r>
    <x v="1018"/>
    <x v="2"/>
    <x v="88"/>
    <x v="0"/>
    <x v="55"/>
    <x v="2"/>
    <x v="448"/>
    <x v="81"/>
    <x v="1"/>
    <x v="1"/>
  </r>
  <r>
    <x v="1018"/>
    <x v="3"/>
    <x v="101"/>
    <x v="1"/>
    <x v="30"/>
    <x v="0"/>
    <x v="266"/>
    <x v="93"/>
    <x v="4"/>
    <x v="4"/>
  </r>
  <r>
    <x v="1019"/>
    <x v="0"/>
    <x v="0"/>
    <x v="1"/>
    <x v="0"/>
    <x v="2"/>
    <x v="3"/>
    <x v="0"/>
    <x v="0"/>
    <x v="0"/>
  </r>
  <r>
    <x v="1019"/>
    <x v="1"/>
    <x v="79"/>
    <x v="1"/>
    <x v="24"/>
    <x v="2"/>
    <x v="293"/>
    <x v="72"/>
    <x v="0"/>
    <x v="0"/>
  </r>
  <r>
    <x v="1019"/>
    <x v="2"/>
    <x v="12"/>
    <x v="0"/>
    <x v="10"/>
    <x v="1"/>
    <x v="15"/>
    <x v="11"/>
    <x v="0"/>
    <x v="0"/>
  </r>
  <r>
    <x v="1019"/>
    <x v="3"/>
    <x v="94"/>
    <x v="1"/>
    <x v="59"/>
    <x v="3"/>
    <x v="305"/>
    <x v="86"/>
    <x v="6"/>
    <x v="6"/>
  </r>
  <r>
    <x v="1019"/>
    <x v="4"/>
    <x v="95"/>
    <x v="1"/>
    <x v="23"/>
    <x v="2"/>
    <x v="244"/>
    <x v="87"/>
    <x v="1"/>
    <x v="1"/>
  </r>
  <r>
    <x v="1020"/>
    <x v="0"/>
    <x v="60"/>
    <x v="1"/>
    <x v="25"/>
    <x v="1"/>
    <x v="182"/>
    <x v="53"/>
    <x v="6"/>
    <x v="6"/>
  </r>
  <r>
    <x v="1020"/>
    <x v="1"/>
    <x v="19"/>
    <x v="1"/>
    <x v="15"/>
    <x v="1"/>
    <x v="69"/>
    <x v="17"/>
    <x v="4"/>
    <x v="4"/>
  </r>
  <r>
    <x v="1021"/>
    <x v="0"/>
    <x v="57"/>
    <x v="0"/>
    <x v="14"/>
    <x v="0"/>
    <x v="63"/>
    <x v="50"/>
    <x v="1"/>
    <x v="1"/>
  </r>
  <r>
    <x v="1021"/>
    <x v="1"/>
    <x v="109"/>
    <x v="0"/>
    <x v="64"/>
    <x v="3"/>
    <x v="400"/>
    <x v="101"/>
    <x v="1"/>
    <x v="1"/>
  </r>
  <r>
    <x v="1021"/>
    <x v="2"/>
    <x v="105"/>
    <x v="0"/>
    <x v="63"/>
    <x v="1"/>
    <x v="397"/>
    <x v="97"/>
    <x v="0"/>
    <x v="0"/>
  </r>
  <r>
    <x v="1021"/>
    <x v="3"/>
    <x v="21"/>
    <x v="0"/>
    <x v="16"/>
    <x v="1"/>
    <x v="105"/>
    <x v="18"/>
    <x v="1"/>
    <x v="1"/>
  </r>
  <r>
    <x v="1022"/>
    <x v="0"/>
    <x v="87"/>
    <x v="0"/>
    <x v="29"/>
    <x v="1"/>
    <x v="243"/>
    <x v="80"/>
    <x v="4"/>
    <x v="4"/>
  </r>
  <r>
    <x v="1022"/>
    <x v="1"/>
    <x v="52"/>
    <x v="1"/>
    <x v="28"/>
    <x v="3"/>
    <x v="418"/>
    <x v="45"/>
    <x v="1"/>
    <x v="1"/>
  </r>
  <r>
    <x v="1023"/>
    <x v="0"/>
    <x v="77"/>
    <x v="0"/>
    <x v="51"/>
    <x v="0"/>
    <x v="230"/>
    <x v="70"/>
    <x v="5"/>
    <x v="5"/>
  </r>
  <r>
    <x v="1023"/>
    <x v="1"/>
    <x v="76"/>
    <x v="1"/>
    <x v="50"/>
    <x v="2"/>
    <x v="449"/>
    <x v="69"/>
    <x v="1"/>
    <x v="1"/>
  </r>
  <r>
    <x v="1023"/>
    <x v="2"/>
    <x v="72"/>
    <x v="1"/>
    <x v="26"/>
    <x v="0"/>
    <x v="195"/>
    <x v="65"/>
    <x v="4"/>
    <x v="4"/>
  </r>
  <r>
    <x v="1023"/>
    <x v="3"/>
    <x v="81"/>
    <x v="1"/>
    <x v="29"/>
    <x v="3"/>
    <x v="157"/>
    <x v="74"/>
    <x v="4"/>
    <x v="4"/>
  </r>
  <r>
    <x v="1023"/>
    <x v="4"/>
    <x v="87"/>
    <x v="0"/>
    <x v="29"/>
    <x v="0"/>
    <x v="344"/>
    <x v="80"/>
    <x v="4"/>
    <x v="4"/>
  </r>
  <r>
    <x v="1024"/>
    <x v="0"/>
    <x v="84"/>
    <x v="0"/>
    <x v="30"/>
    <x v="1"/>
    <x v="158"/>
    <x v="77"/>
    <x v="4"/>
    <x v="4"/>
  </r>
  <r>
    <x v="1024"/>
    <x v="1"/>
    <x v="48"/>
    <x v="0"/>
    <x v="26"/>
    <x v="3"/>
    <x v="164"/>
    <x v="34"/>
    <x v="0"/>
    <x v="0"/>
  </r>
  <r>
    <x v="1024"/>
    <x v="2"/>
    <x v="62"/>
    <x v="0"/>
    <x v="42"/>
    <x v="3"/>
    <x v="404"/>
    <x v="55"/>
    <x v="1"/>
    <x v="1"/>
  </r>
  <r>
    <x v="1024"/>
    <x v="3"/>
    <x v="12"/>
    <x v="0"/>
    <x v="10"/>
    <x v="2"/>
    <x v="119"/>
    <x v="11"/>
    <x v="0"/>
    <x v="0"/>
  </r>
  <r>
    <x v="1024"/>
    <x v="4"/>
    <x v="82"/>
    <x v="1"/>
    <x v="34"/>
    <x v="2"/>
    <x v="251"/>
    <x v="75"/>
    <x v="0"/>
    <x v="0"/>
  </r>
  <r>
    <x v="1025"/>
    <x v="0"/>
    <x v="14"/>
    <x v="1"/>
    <x v="12"/>
    <x v="1"/>
    <x v="102"/>
    <x v="13"/>
    <x v="1"/>
    <x v="1"/>
  </r>
  <r>
    <x v="1026"/>
    <x v="0"/>
    <x v="43"/>
    <x v="1"/>
    <x v="15"/>
    <x v="3"/>
    <x v="50"/>
    <x v="31"/>
    <x v="0"/>
    <x v="0"/>
  </r>
  <r>
    <x v="1026"/>
    <x v="1"/>
    <x v="15"/>
    <x v="1"/>
    <x v="11"/>
    <x v="2"/>
    <x v="64"/>
    <x v="12"/>
    <x v="0"/>
    <x v="0"/>
  </r>
  <r>
    <x v="1027"/>
    <x v="0"/>
    <x v="103"/>
    <x v="1"/>
    <x v="38"/>
    <x v="3"/>
    <x v="267"/>
    <x v="95"/>
    <x v="5"/>
    <x v="5"/>
  </r>
  <r>
    <x v="1027"/>
    <x v="1"/>
    <x v="2"/>
    <x v="0"/>
    <x v="2"/>
    <x v="0"/>
    <x v="135"/>
    <x v="2"/>
    <x v="2"/>
    <x v="2"/>
  </r>
  <r>
    <x v="1027"/>
    <x v="2"/>
    <x v="67"/>
    <x v="0"/>
    <x v="46"/>
    <x v="0"/>
    <x v="358"/>
    <x v="60"/>
    <x v="1"/>
    <x v="1"/>
  </r>
  <r>
    <x v="1027"/>
    <x v="3"/>
    <x v="100"/>
    <x v="1"/>
    <x v="61"/>
    <x v="3"/>
    <x v="302"/>
    <x v="92"/>
    <x v="1"/>
    <x v="1"/>
  </r>
  <r>
    <x v="1027"/>
    <x v="4"/>
    <x v="75"/>
    <x v="0"/>
    <x v="19"/>
    <x v="0"/>
    <x v="188"/>
    <x v="68"/>
    <x v="5"/>
    <x v="5"/>
  </r>
  <r>
    <x v="1028"/>
    <x v="0"/>
    <x v="0"/>
    <x v="0"/>
    <x v="0"/>
    <x v="0"/>
    <x v="0"/>
    <x v="0"/>
    <x v="0"/>
    <x v="0"/>
  </r>
  <r>
    <x v="1028"/>
    <x v="1"/>
    <x v="66"/>
    <x v="0"/>
    <x v="45"/>
    <x v="3"/>
    <x v="450"/>
    <x v="59"/>
    <x v="6"/>
    <x v="6"/>
  </r>
  <r>
    <x v="1028"/>
    <x v="2"/>
    <x v="95"/>
    <x v="0"/>
    <x v="23"/>
    <x v="0"/>
    <x v="223"/>
    <x v="87"/>
    <x v="1"/>
    <x v="1"/>
  </r>
  <r>
    <x v="1028"/>
    <x v="3"/>
    <x v="39"/>
    <x v="1"/>
    <x v="19"/>
    <x v="3"/>
    <x v="145"/>
    <x v="22"/>
    <x v="0"/>
    <x v="0"/>
  </r>
  <r>
    <x v="1029"/>
    <x v="0"/>
    <x v="97"/>
    <x v="0"/>
    <x v="4"/>
    <x v="2"/>
    <x v="6"/>
    <x v="89"/>
    <x v="1"/>
    <x v="1"/>
  </r>
  <r>
    <x v="1029"/>
    <x v="1"/>
    <x v="2"/>
    <x v="1"/>
    <x v="2"/>
    <x v="3"/>
    <x v="70"/>
    <x v="2"/>
    <x v="2"/>
    <x v="2"/>
  </r>
  <r>
    <x v="1029"/>
    <x v="2"/>
    <x v="31"/>
    <x v="0"/>
    <x v="22"/>
    <x v="3"/>
    <x v="368"/>
    <x v="27"/>
    <x v="0"/>
    <x v="0"/>
  </r>
  <r>
    <x v="1030"/>
    <x v="0"/>
    <x v="97"/>
    <x v="1"/>
    <x v="4"/>
    <x v="0"/>
    <x v="73"/>
    <x v="89"/>
    <x v="1"/>
    <x v="1"/>
  </r>
  <r>
    <x v="1030"/>
    <x v="1"/>
    <x v="75"/>
    <x v="1"/>
    <x v="19"/>
    <x v="0"/>
    <x v="364"/>
    <x v="68"/>
    <x v="5"/>
    <x v="5"/>
  </r>
  <r>
    <x v="1031"/>
    <x v="0"/>
    <x v="91"/>
    <x v="1"/>
    <x v="57"/>
    <x v="3"/>
    <x v="451"/>
    <x v="84"/>
    <x v="3"/>
    <x v="3"/>
  </r>
  <r>
    <x v="1031"/>
    <x v="1"/>
    <x v="7"/>
    <x v="0"/>
    <x v="6"/>
    <x v="3"/>
    <x v="47"/>
    <x v="7"/>
    <x v="0"/>
    <x v="0"/>
  </r>
  <r>
    <x v="1032"/>
    <x v="0"/>
    <x v="8"/>
    <x v="0"/>
    <x v="0"/>
    <x v="1"/>
    <x v="5"/>
    <x v="3"/>
    <x v="0"/>
    <x v="0"/>
  </r>
  <r>
    <x v="1032"/>
    <x v="1"/>
    <x v="36"/>
    <x v="1"/>
    <x v="24"/>
    <x v="3"/>
    <x v="288"/>
    <x v="32"/>
    <x v="5"/>
    <x v="5"/>
  </r>
  <r>
    <x v="1032"/>
    <x v="2"/>
    <x v="97"/>
    <x v="1"/>
    <x v="4"/>
    <x v="1"/>
    <x v="13"/>
    <x v="89"/>
    <x v="1"/>
    <x v="1"/>
  </r>
  <r>
    <x v="1033"/>
    <x v="0"/>
    <x v="70"/>
    <x v="0"/>
    <x v="48"/>
    <x v="3"/>
    <x v="439"/>
    <x v="63"/>
    <x v="4"/>
    <x v="4"/>
  </r>
  <r>
    <x v="1033"/>
    <x v="1"/>
    <x v="1"/>
    <x v="1"/>
    <x v="1"/>
    <x v="3"/>
    <x v="96"/>
    <x v="1"/>
    <x v="1"/>
    <x v="1"/>
  </r>
  <r>
    <x v="1033"/>
    <x v="2"/>
    <x v="16"/>
    <x v="1"/>
    <x v="13"/>
    <x v="1"/>
    <x v="136"/>
    <x v="14"/>
    <x v="2"/>
    <x v="2"/>
  </r>
  <r>
    <x v="1033"/>
    <x v="3"/>
    <x v="20"/>
    <x v="0"/>
    <x v="11"/>
    <x v="2"/>
    <x v="18"/>
    <x v="15"/>
    <x v="0"/>
    <x v="0"/>
  </r>
  <r>
    <x v="1034"/>
    <x v="0"/>
    <x v="81"/>
    <x v="0"/>
    <x v="29"/>
    <x v="0"/>
    <x v="344"/>
    <x v="74"/>
    <x v="4"/>
    <x v="4"/>
  </r>
  <r>
    <x v="1035"/>
    <x v="0"/>
    <x v="66"/>
    <x v="1"/>
    <x v="45"/>
    <x v="3"/>
    <x v="183"/>
    <x v="59"/>
    <x v="6"/>
    <x v="6"/>
  </r>
  <r>
    <x v="1035"/>
    <x v="1"/>
    <x v="35"/>
    <x v="0"/>
    <x v="15"/>
    <x v="1"/>
    <x v="75"/>
    <x v="31"/>
    <x v="0"/>
    <x v="0"/>
  </r>
  <r>
    <x v="1035"/>
    <x v="2"/>
    <x v="9"/>
    <x v="1"/>
    <x v="7"/>
    <x v="2"/>
    <x v="32"/>
    <x v="8"/>
    <x v="0"/>
    <x v="0"/>
  </r>
  <r>
    <x v="1035"/>
    <x v="3"/>
    <x v="105"/>
    <x v="1"/>
    <x v="63"/>
    <x v="0"/>
    <x v="384"/>
    <x v="97"/>
    <x v="0"/>
    <x v="0"/>
  </r>
  <r>
    <x v="1035"/>
    <x v="4"/>
    <x v="10"/>
    <x v="0"/>
    <x v="8"/>
    <x v="0"/>
    <x v="57"/>
    <x v="9"/>
    <x v="0"/>
    <x v="0"/>
  </r>
  <r>
    <x v="1036"/>
    <x v="0"/>
    <x v="51"/>
    <x v="1"/>
    <x v="35"/>
    <x v="1"/>
    <x v="303"/>
    <x v="44"/>
    <x v="0"/>
    <x v="0"/>
  </r>
  <r>
    <x v="1036"/>
    <x v="1"/>
    <x v="5"/>
    <x v="0"/>
    <x v="4"/>
    <x v="1"/>
    <x v="133"/>
    <x v="5"/>
    <x v="1"/>
    <x v="1"/>
  </r>
  <r>
    <x v="1036"/>
    <x v="2"/>
    <x v="105"/>
    <x v="1"/>
    <x v="63"/>
    <x v="0"/>
    <x v="384"/>
    <x v="97"/>
    <x v="0"/>
    <x v="0"/>
  </r>
  <r>
    <x v="1036"/>
    <x v="3"/>
    <x v="102"/>
    <x v="0"/>
    <x v="30"/>
    <x v="1"/>
    <x v="158"/>
    <x v="94"/>
    <x v="4"/>
    <x v="4"/>
  </r>
  <r>
    <x v="1036"/>
    <x v="4"/>
    <x v="73"/>
    <x v="1"/>
    <x v="49"/>
    <x v="2"/>
    <x v="452"/>
    <x v="66"/>
    <x v="4"/>
    <x v="4"/>
  </r>
  <r>
    <x v="1037"/>
    <x v="0"/>
    <x v="56"/>
    <x v="0"/>
    <x v="39"/>
    <x v="2"/>
    <x v="453"/>
    <x v="49"/>
    <x v="4"/>
    <x v="4"/>
  </r>
  <r>
    <x v="1037"/>
    <x v="1"/>
    <x v="11"/>
    <x v="0"/>
    <x v="9"/>
    <x v="1"/>
    <x v="45"/>
    <x v="10"/>
    <x v="3"/>
    <x v="3"/>
  </r>
  <r>
    <x v="1038"/>
    <x v="0"/>
    <x v="9"/>
    <x v="1"/>
    <x v="7"/>
    <x v="0"/>
    <x v="83"/>
    <x v="8"/>
    <x v="0"/>
    <x v="0"/>
  </r>
  <r>
    <x v="1039"/>
    <x v="0"/>
    <x v="44"/>
    <x v="0"/>
    <x v="29"/>
    <x v="3"/>
    <x v="283"/>
    <x v="38"/>
    <x v="4"/>
    <x v="4"/>
  </r>
  <r>
    <x v="1039"/>
    <x v="1"/>
    <x v="76"/>
    <x v="1"/>
    <x v="50"/>
    <x v="0"/>
    <x v="312"/>
    <x v="69"/>
    <x v="1"/>
    <x v="1"/>
  </r>
  <r>
    <x v="1039"/>
    <x v="2"/>
    <x v="38"/>
    <x v="0"/>
    <x v="26"/>
    <x v="1"/>
    <x v="255"/>
    <x v="34"/>
    <x v="0"/>
    <x v="0"/>
  </r>
  <r>
    <x v="1039"/>
    <x v="3"/>
    <x v="97"/>
    <x v="1"/>
    <x v="4"/>
    <x v="1"/>
    <x v="13"/>
    <x v="89"/>
    <x v="1"/>
    <x v="1"/>
  </r>
  <r>
    <x v="1039"/>
    <x v="4"/>
    <x v="1"/>
    <x v="1"/>
    <x v="1"/>
    <x v="2"/>
    <x v="134"/>
    <x v="1"/>
    <x v="1"/>
    <x v="1"/>
  </r>
  <r>
    <x v="1040"/>
    <x v="0"/>
    <x v="84"/>
    <x v="0"/>
    <x v="30"/>
    <x v="3"/>
    <x v="276"/>
    <x v="77"/>
    <x v="4"/>
    <x v="4"/>
  </r>
  <r>
    <x v="1040"/>
    <x v="1"/>
    <x v="32"/>
    <x v="1"/>
    <x v="23"/>
    <x v="1"/>
    <x v="179"/>
    <x v="28"/>
    <x v="3"/>
    <x v="3"/>
  </r>
  <r>
    <x v="1040"/>
    <x v="2"/>
    <x v="49"/>
    <x v="1"/>
    <x v="33"/>
    <x v="3"/>
    <x v="454"/>
    <x v="42"/>
    <x v="4"/>
    <x v="4"/>
  </r>
  <r>
    <x v="1041"/>
    <x v="0"/>
    <x v="19"/>
    <x v="0"/>
    <x v="15"/>
    <x v="3"/>
    <x v="37"/>
    <x v="17"/>
    <x v="4"/>
    <x v="4"/>
  </r>
  <r>
    <x v="1042"/>
    <x v="0"/>
    <x v="66"/>
    <x v="1"/>
    <x v="45"/>
    <x v="3"/>
    <x v="183"/>
    <x v="59"/>
    <x v="6"/>
    <x v="6"/>
  </r>
  <r>
    <x v="1042"/>
    <x v="1"/>
    <x v="0"/>
    <x v="0"/>
    <x v="0"/>
    <x v="1"/>
    <x v="5"/>
    <x v="0"/>
    <x v="0"/>
    <x v="0"/>
  </r>
  <r>
    <x v="1043"/>
    <x v="0"/>
    <x v="44"/>
    <x v="1"/>
    <x v="29"/>
    <x v="3"/>
    <x v="157"/>
    <x v="38"/>
    <x v="4"/>
    <x v="4"/>
  </r>
  <r>
    <x v="1044"/>
    <x v="0"/>
    <x v="76"/>
    <x v="0"/>
    <x v="50"/>
    <x v="2"/>
    <x v="261"/>
    <x v="69"/>
    <x v="1"/>
    <x v="1"/>
  </r>
  <r>
    <x v="1044"/>
    <x v="1"/>
    <x v="77"/>
    <x v="1"/>
    <x v="51"/>
    <x v="2"/>
    <x v="455"/>
    <x v="70"/>
    <x v="5"/>
    <x v="5"/>
  </r>
  <r>
    <x v="1045"/>
    <x v="0"/>
    <x v="91"/>
    <x v="0"/>
    <x v="57"/>
    <x v="1"/>
    <x v="456"/>
    <x v="84"/>
    <x v="3"/>
    <x v="3"/>
  </r>
  <r>
    <x v="1045"/>
    <x v="1"/>
    <x v="47"/>
    <x v="0"/>
    <x v="32"/>
    <x v="1"/>
    <x v="457"/>
    <x v="41"/>
    <x v="0"/>
    <x v="0"/>
  </r>
  <r>
    <x v="1045"/>
    <x v="2"/>
    <x v="33"/>
    <x v="0"/>
    <x v="14"/>
    <x v="1"/>
    <x v="29"/>
    <x v="29"/>
    <x v="1"/>
    <x v="1"/>
  </r>
  <r>
    <x v="1045"/>
    <x v="3"/>
    <x v="67"/>
    <x v="1"/>
    <x v="46"/>
    <x v="3"/>
    <x v="458"/>
    <x v="60"/>
    <x v="1"/>
    <x v="1"/>
  </r>
  <r>
    <x v="1045"/>
    <x v="4"/>
    <x v="7"/>
    <x v="1"/>
    <x v="6"/>
    <x v="2"/>
    <x v="27"/>
    <x v="7"/>
    <x v="0"/>
    <x v="0"/>
  </r>
  <r>
    <x v="1046"/>
    <x v="0"/>
    <x v="76"/>
    <x v="1"/>
    <x v="50"/>
    <x v="3"/>
    <x v="429"/>
    <x v="69"/>
    <x v="1"/>
    <x v="1"/>
  </r>
  <r>
    <x v="1046"/>
    <x v="1"/>
    <x v="46"/>
    <x v="0"/>
    <x v="31"/>
    <x v="0"/>
    <x v="363"/>
    <x v="40"/>
    <x v="0"/>
    <x v="0"/>
  </r>
  <r>
    <x v="1046"/>
    <x v="2"/>
    <x v="100"/>
    <x v="0"/>
    <x v="61"/>
    <x v="2"/>
    <x v="459"/>
    <x v="92"/>
    <x v="1"/>
    <x v="1"/>
  </r>
  <r>
    <x v="1046"/>
    <x v="3"/>
    <x v="60"/>
    <x v="0"/>
    <x v="25"/>
    <x v="2"/>
    <x v="413"/>
    <x v="53"/>
    <x v="6"/>
    <x v="6"/>
  </r>
  <r>
    <x v="1047"/>
    <x v="0"/>
    <x v="5"/>
    <x v="1"/>
    <x v="4"/>
    <x v="3"/>
    <x v="52"/>
    <x v="5"/>
    <x v="1"/>
    <x v="1"/>
  </r>
  <r>
    <x v="1047"/>
    <x v="1"/>
    <x v="88"/>
    <x v="0"/>
    <x v="55"/>
    <x v="3"/>
    <x v="379"/>
    <x v="81"/>
    <x v="1"/>
    <x v="1"/>
  </r>
  <r>
    <x v="1047"/>
    <x v="2"/>
    <x v="49"/>
    <x v="0"/>
    <x v="33"/>
    <x v="2"/>
    <x v="186"/>
    <x v="42"/>
    <x v="4"/>
    <x v="4"/>
  </r>
  <r>
    <x v="1048"/>
    <x v="0"/>
    <x v="11"/>
    <x v="0"/>
    <x v="9"/>
    <x v="3"/>
    <x v="128"/>
    <x v="10"/>
    <x v="3"/>
    <x v="3"/>
  </r>
  <r>
    <x v="1048"/>
    <x v="1"/>
    <x v="107"/>
    <x v="1"/>
    <x v="61"/>
    <x v="2"/>
    <x v="323"/>
    <x v="99"/>
    <x v="1"/>
    <x v="1"/>
  </r>
  <r>
    <x v="1048"/>
    <x v="2"/>
    <x v="5"/>
    <x v="0"/>
    <x v="4"/>
    <x v="3"/>
    <x v="16"/>
    <x v="5"/>
    <x v="1"/>
    <x v="1"/>
  </r>
  <r>
    <x v="1048"/>
    <x v="3"/>
    <x v="8"/>
    <x v="0"/>
    <x v="0"/>
    <x v="1"/>
    <x v="5"/>
    <x v="3"/>
    <x v="0"/>
    <x v="0"/>
  </r>
  <r>
    <x v="1048"/>
    <x v="4"/>
    <x v="2"/>
    <x v="1"/>
    <x v="2"/>
    <x v="2"/>
    <x v="2"/>
    <x v="2"/>
    <x v="2"/>
    <x v="2"/>
  </r>
  <r>
    <x v="1049"/>
    <x v="0"/>
    <x v="81"/>
    <x v="1"/>
    <x v="29"/>
    <x v="1"/>
    <x v="172"/>
    <x v="74"/>
    <x v="4"/>
    <x v="4"/>
  </r>
  <r>
    <x v="1049"/>
    <x v="1"/>
    <x v="40"/>
    <x v="1"/>
    <x v="15"/>
    <x v="3"/>
    <x v="50"/>
    <x v="35"/>
    <x v="4"/>
    <x v="4"/>
  </r>
  <r>
    <x v="1049"/>
    <x v="2"/>
    <x v="78"/>
    <x v="1"/>
    <x v="52"/>
    <x v="0"/>
    <x v="250"/>
    <x v="71"/>
    <x v="1"/>
    <x v="1"/>
  </r>
  <r>
    <x v="1049"/>
    <x v="3"/>
    <x v="15"/>
    <x v="1"/>
    <x v="11"/>
    <x v="0"/>
    <x v="78"/>
    <x v="12"/>
    <x v="0"/>
    <x v="0"/>
  </r>
  <r>
    <x v="1050"/>
    <x v="0"/>
    <x v="109"/>
    <x v="0"/>
    <x v="64"/>
    <x v="0"/>
    <x v="460"/>
    <x v="101"/>
    <x v="1"/>
    <x v="1"/>
  </r>
  <r>
    <x v="1051"/>
    <x v="0"/>
    <x v="14"/>
    <x v="0"/>
    <x v="12"/>
    <x v="2"/>
    <x v="55"/>
    <x v="13"/>
    <x v="1"/>
    <x v="1"/>
  </r>
  <r>
    <x v="1051"/>
    <x v="1"/>
    <x v="27"/>
    <x v="0"/>
    <x v="20"/>
    <x v="2"/>
    <x v="146"/>
    <x v="23"/>
    <x v="5"/>
    <x v="5"/>
  </r>
  <r>
    <x v="1051"/>
    <x v="2"/>
    <x v="8"/>
    <x v="1"/>
    <x v="0"/>
    <x v="1"/>
    <x v="19"/>
    <x v="3"/>
    <x v="0"/>
    <x v="0"/>
  </r>
  <r>
    <x v="1052"/>
    <x v="0"/>
    <x v="60"/>
    <x v="1"/>
    <x v="25"/>
    <x v="2"/>
    <x v="371"/>
    <x v="53"/>
    <x v="6"/>
    <x v="6"/>
  </r>
  <r>
    <x v="1052"/>
    <x v="1"/>
    <x v="8"/>
    <x v="1"/>
    <x v="0"/>
    <x v="0"/>
    <x v="24"/>
    <x v="3"/>
    <x v="0"/>
    <x v="0"/>
  </r>
  <r>
    <x v="1052"/>
    <x v="2"/>
    <x v="19"/>
    <x v="1"/>
    <x v="15"/>
    <x v="0"/>
    <x v="33"/>
    <x v="17"/>
    <x v="4"/>
    <x v="4"/>
  </r>
  <r>
    <x v="1052"/>
    <x v="3"/>
    <x v="39"/>
    <x v="0"/>
    <x v="19"/>
    <x v="3"/>
    <x v="201"/>
    <x v="22"/>
    <x v="0"/>
    <x v="0"/>
  </r>
  <r>
    <x v="1052"/>
    <x v="4"/>
    <x v="30"/>
    <x v="1"/>
    <x v="5"/>
    <x v="2"/>
    <x v="125"/>
    <x v="26"/>
    <x v="0"/>
    <x v="0"/>
  </r>
  <r>
    <x v="1053"/>
    <x v="0"/>
    <x v="107"/>
    <x v="1"/>
    <x v="61"/>
    <x v="3"/>
    <x v="302"/>
    <x v="99"/>
    <x v="1"/>
    <x v="1"/>
  </r>
  <r>
    <x v="1053"/>
    <x v="1"/>
    <x v="3"/>
    <x v="0"/>
    <x v="0"/>
    <x v="2"/>
    <x v="7"/>
    <x v="3"/>
    <x v="0"/>
    <x v="0"/>
  </r>
  <r>
    <x v="1054"/>
    <x v="0"/>
    <x v="52"/>
    <x v="1"/>
    <x v="28"/>
    <x v="1"/>
    <x v="156"/>
    <x v="45"/>
    <x v="1"/>
    <x v="1"/>
  </r>
  <r>
    <x v="1054"/>
    <x v="1"/>
    <x v="70"/>
    <x v="1"/>
    <x v="48"/>
    <x v="0"/>
    <x v="191"/>
    <x v="63"/>
    <x v="4"/>
    <x v="4"/>
  </r>
  <r>
    <x v="1054"/>
    <x v="2"/>
    <x v="10"/>
    <x v="1"/>
    <x v="8"/>
    <x v="3"/>
    <x v="97"/>
    <x v="9"/>
    <x v="0"/>
    <x v="0"/>
  </r>
  <r>
    <x v="1054"/>
    <x v="3"/>
    <x v="56"/>
    <x v="1"/>
    <x v="39"/>
    <x v="3"/>
    <x v="424"/>
    <x v="49"/>
    <x v="4"/>
    <x v="4"/>
  </r>
  <r>
    <x v="1054"/>
    <x v="4"/>
    <x v="91"/>
    <x v="0"/>
    <x v="57"/>
    <x v="0"/>
    <x v="254"/>
    <x v="84"/>
    <x v="3"/>
    <x v="3"/>
  </r>
  <r>
    <x v="1055"/>
    <x v="0"/>
    <x v="5"/>
    <x v="0"/>
    <x v="4"/>
    <x v="2"/>
    <x v="6"/>
    <x v="5"/>
    <x v="1"/>
    <x v="1"/>
  </r>
  <r>
    <x v="1056"/>
    <x v="0"/>
    <x v="86"/>
    <x v="0"/>
    <x v="54"/>
    <x v="0"/>
    <x v="441"/>
    <x v="79"/>
    <x v="5"/>
    <x v="5"/>
  </r>
  <r>
    <x v="1056"/>
    <x v="1"/>
    <x v="44"/>
    <x v="0"/>
    <x v="29"/>
    <x v="2"/>
    <x v="277"/>
    <x v="38"/>
    <x v="4"/>
    <x v="4"/>
  </r>
  <r>
    <x v="1056"/>
    <x v="2"/>
    <x v="72"/>
    <x v="1"/>
    <x v="26"/>
    <x v="2"/>
    <x v="162"/>
    <x v="65"/>
    <x v="4"/>
    <x v="4"/>
  </r>
  <r>
    <x v="1057"/>
    <x v="0"/>
    <x v="52"/>
    <x v="0"/>
    <x v="28"/>
    <x v="3"/>
    <x v="168"/>
    <x v="45"/>
    <x v="1"/>
    <x v="1"/>
  </r>
  <r>
    <x v="1057"/>
    <x v="1"/>
    <x v="61"/>
    <x v="1"/>
    <x v="4"/>
    <x v="2"/>
    <x v="79"/>
    <x v="54"/>
    <x v="1"/>
    <x v="1"/>
  </r>
  <r>
    <x v="1057"/>
    <x v="2"/>
    <x v="27"/>
    <x v="0"/>
    <x v="20"/>
    <x v="1"/>
    <x v="322"/>
    <x v="23"/>
    <x v="5"/>
    <x v="5"/>
  </r>
  <r>
    <x v="1058"/>
    <x v="0"/>
    <x v="109"/>
    <x v="1"/>
    <x v="64"/>
    <x v="2"/>
    <x v="372"/>
    <x v="101"/>
    <x v="1"/>
    <x v="1"/>
  </r>
  <r>
    <x v="1058"/>
    <x v="1"/>
    <x v="14"/>
    <x v="0"/>
    <x v="12"/>
    <x v="3"/>
    <x v="40"/>
    <x v="13"/>
    <x v="1"/>
    <x v="1"/>
  </r>
  <r>
    <x v="1058"/>
    <x v="2"/>
    <x v="17"/>
    <x v="0"/>
    <x v="11"/>
    <x v="1"/>
    <x v="36"/>
    <x v="15"/>
    <x v="0"/>
    <x v="0"/>
  </r>
  <r>
    <x v="1059"/>
    <x v="0"/>
    <x v="14"/>
    <x v="0"/>
    <x v="12"/>
    <x v="1"/>
    <x v="140"/>
    <x v="13"/>
    <x v="1"/>
    <x v="1"/>
  </r>
  <r>
    <x v="1059"/>
    <x v="1"/>
    <x v="16"/>
    <x v="1"/>
    <x v="13"/>
    <x v="1"/>
    <x v="136"/>
    <x v="14"/>
    <x v="2"/>
    <x v="2"/>
  </r>
  <r>
    <x v="1059"/>
    <x v="2"/>
    <x v="32"/>
    <x v="1"/>
    <x v="23"/>
    <x v="3"/>
    <x v="149"/>
    <x v="28"/>
    <x v="3"/>
    <x v="3"/>
  </r>
  <r>
    <x v="1059"/>
    <x v="3"/>
    <x v="34"/>
    <x v="1"/>
    <x v="4"/>
    <x v="2"/>
    <x v="79"/>
    <x v="30"/>
    <x v="1"/>
    <x v="1"/>
  </r>
  <r>
    <x v="1060"/>
    <x v="0"/>
    <x v="15"/>
    <x v="0"/>
    <x v="11"/>
    <x v="1"/>
    <x v="36"/>
    <x v="12"/>
    <x v="0"/>
    <x v="0"/>
  </r>
  <r>
    <x v="1060"/>
    <x v="1"/>
    <x v="23"/>
    <x v="0"/>
    <x v="7"/>
    <x v="3"/>
    <x v="65"/>
    <x v="20"/>
    <x v="0"/>
    <x v="0"/>
  </r>
  <r>
    <x v="1061"/>
    <x v="0"/>
    <x v="17"/>
    <x v="0"/>
    <x v="11"/>
    <x v="2"/>
    <x v="18"/>
    <x v="15"/>
    <x v="0"/>
    <x v="0"/>
  </r>
  <r>
    <x v="1061"/>
    <x v="1"/>
    <x v="103"/>
    <x v="1"/>
    <x v="38"/>
    <x v="0"/>
    <x v="430"/>
    <x v="95"/>
    <x v="5"/>
    <x v="5"/>
  </r>
  <r>
    <x v="1061"/>
    <x v="2"/>
    <x v="21"/>
    <x v="0"/>
    <x v="16"/>
    <x v="2"/>
    <x v="60"/>
    <x v="18"/>
    <x v="1"/>
    <x v="1"/>
  </r>
  <r>
    <x v="1061"/>
    <x v="3"/>
    <x v="10"/>
    <x v="0"/>
    <x v="8"/>
    <x v="0"/>
    <x v="57"/>
    <x v="9"/>
    <x v="0"/>
    <x v="0"/>
  </r>
  <r>
    <x v="1062"/>
    <x v="0"/>
    <x v="57"/>
    <x v="1"/>
    <x v="14"/>
    <x v="3"/>
    <x v="110"/>
    <x v="50"/>
    <x v="1"/>
    <x v="1"/>
  </r>
  <r>
    <x v="1062"/>
    <x v="1"/>
    <x v="96"/>
    <x v="1"/>
    <x v="26"/>
    <x v="1"/>
    <x v="184"/>
    <x v="88"/>
    <x v="4"/>
    <x v="4"/>
  </r>
  <r>
    <x v="1062"/>
    <x v="2"/>
    <x v="31"/>
    <x v="1"/>
    <x v="22"/>
    <x v="0"/>
    <x v="416"/>
    <x v="27"/>
    <x v="0"/>
    <x v="0"/>
  </r>
  <r>
    <x v="1063"/>
    <x v="0"/>
    <x v="9"/>
    <x v="0"/>
    <x v="7"/>
    <x v="1"/>
    <x v="10"/>
    <x v="8"/>
    <x v="0"/>
    <x v="0"/>
  </r>
  <r>
    <x v="1063"/>
    <x v="1"/>
    <x v="60"/>
    <x v="0"/>
    <x v="25"/>
    <x v="3"/>
    <x v="315"/>
    <x v="53"/>
    <x v="6"/>
    <x v="6"/>
  </r>
  <r>
    <x v="1064"/>
    <x v="0"/>
    <x v="74"/>
    <x v="1"/>
    <x v="42"/>
    <x v="1"/>
    <x v="177"/>
    <x v="67"/>
    <x v="6"/>
    <x v="6"/>
  </r>
  <r>
    <x v="1064"/>
    <x v="1"/>
    <x v="27"/>
    <x v="1"/>
    <x v="20"/>
    <x v="2"/>
    <x v="346"/>
    <x v="23"/>
    <x v="5"/>
    <x v="5"/>
  </r>
  <r>
    <x v="1064"/>
    <x v="2"/>
    <x v="65"/>
    <x v="0"/>
    <x v="25"/>
    <x v="1"/>
    <x v="222"/>
    <x v="58"/>
    <x v="2"/>
    <x v="2"/>
  </r>
  <r>
    <x v="1065"/>
    <x v="0"/>
    <x v="12"/>
    <x v="1"/>
    <x v="10"/>
    <x v="2"/>
    <x v="94"/>
    <x v="11"/>
    <x v="0"/>
    <x v="0"/>
  </r>
  <r>
    <x v="1065"/>
    <x v="1"/>
    <x v="109"/>
    <x v="0"/>
    <x v="64"/>
    <x v="3"/>
    <x v="400"/>
    <x v="101"/>
    <x v="1"/>
    <x v="1"/>
  </r>
  <r>
    <x v="1065"/>
    <x v="2"/>
    <x v="10"/>
    <x v="0"/>
    <x v="8"/>
    <x v="3"/>
    <x v="98"/>
    <x v="9"/>
    <x v="0"/>
    <x v="0"/>
  </r>
  <r>
    <x v="1066"/>
    <x v="0"/>
    <x v="51"/>
    <x v="1"/>
    <x v="35"/>
    <x v="1"/>
    <x v="303"/>
    <x v="44"/>
    <x v="0"/>
    <x v="0"/>
  </r>
  <r>
    <x v="1066"/>
    <x v="1"/>
    <x v="11"/>
    <x v="1"/>
    <x v="9"/>
    <x v="0"/>
    <x v="44"/>
    <x v="10"/>
    <x v="3"/>
    <x v="3"/>
  </r>
  <r>
    <x v="1066"/>
    <x v="2"/>
    <x v="31"/>
    <x v="1"/>
    <x v="22"/>
    <x v="3"/>
    <x v="331"/>
    <x v="27"/>
    <x v="0"/>
    <x v="0"/>
  </r>
  <r>
    <x v="1066"/>
    <x v="3"/>
    <x v="18"/>
    <x v="1"/>
    <x v="14"/>
    <x v="0"/>
    <x v="117"/>
    <x v="16"/>
    <x v="1"/>
    <x v="1"/>
  </r>
  <r>
    <x v="1067"/>
    <x v="0"/>
    <x v="108"/>
    <x v="1"/>
    <x v="37"/>
    <x v="0"/>
    <x v="229"/>
    <x v="100"/>
    <x v="4"/>
    <x v="4"/>
  </r>
  <r>
    <x v="1067"/>
    <x v="1"/>
    <x v="90"/>
    <x v="0"/>
    <x v="43"/>
    <x v="0"/>
    <x v="212"/>
    <x v="83"/>
    <x v="0"/>
    <x v="0"/>
  </r>
  <r>
    <x v="1067"/>
    <x v="2"/>
    <x v="60"/>
    <x v="1"/>
    <x v="25"/>
    <x v="0"/>
    <x v="165"/>
    <x v="53"/>
    <x v="6"/>
    <x v="6"/>
  </r>
  <r>
    <x v="1067"/>
    <x v="3"/>
    <x v="78"/>
    <x v="1"/>
    <x v="52"/>
    <x v="0"/>
    <x v="250"/>
    <x v="71"/>
    <x v="1"/>
    <x v="1"/>
  </r>
  <r>
    <x v="1068"/>
    <x v="0"/>
    <x v="36"/>
    <x v="0"/>
    <x v="24"/>
    <x v="1"/>
    <x v="187"/>
    <x v="32"/>
    <x v="5"/>
    <x v="5"/>
  </r>
  <r>
    <x v="1068"/>
    <x v="1"/>
    <x v="101"/>
    <x v="0"/>
    <x v="30"/>
    <x v="3"/>
    <x v="276"/>
    <x v="93"/>
    <x v="4"/>
    <x v="4"/>
  </r>
  <r>
    <x v="1069"/>
    <x v="0"/>
    <x v="55"/>
    <x v="0"/>
    <x v="38"/>
    <x v="0"/>
    <x v="314"/>
    <x v="48"/>
    <x v="5"/>
    <x v="5"/>
  </r>
  <r>
    <x v="1069"/>
    <x v="1"/>
    <x v="9"/>
    <x v="1"/>
    <x v="7"/>
    <x v="3"/>
    <x v="106"/>
    <x v="8"/>
    <x v="0"/>
    <x v="0"/>
  </r>
  <r>
    <x v="1069"/>
    <x v="2"/>
    <x v="49"/>
    <x v="0"/>
    <x v="33"/>
    <x v="2"/>
    <x v="186"/>
    <x v="42"/>
    <x v="4"/>
    <x v="4"/>
  </r>
  <r>
    <x v="1070"/>
    <x v="0"/>
    <x v="22"/>
    <x v="1"/>
    <x v="17"/>
    <x v="0"/>
    <x v="91"/>
    <x v="19"/>
    <x v="5"/>
    <x v="5"/>
  </r>
  <r>
    <x v="1071"/>
    <x v="0"/>
    <x v="56"/>
    <x v="0"/>
    <x v="39"/>
    <x v="0"/>
    <x v="296"/>
    <x v="49"/>
    <x v="4"/>
    <x v="4"/>
  </r>
  <r>
    <x v="1071"/>
    <x v="1"/>
    <x v="84"/>
    <x v="1"/>
    <x v="30"/>
    <x v="1"/>
    <x v="268"/>
    <x v="77"/>
    <x v="4"/>
    <x v="4"/>
  </r>
  <r>
    <x v="1071"/>
    <x v="2"/>
    <x v="107"/>
    <x v="1"/>
    <x v="61"/>
    <x v="1"/>
    <x v="317"/>
    <x v="99"/>
    <x v="1"/>
    <x v="1"/>
  </r>
  <r>
    <x v="1072"/>
    <x v="0"/>
    <x v="89"/>
    <x v="0"/>
    <x v="56"/>
    <x v="0"/>
    <x v="356"/>
    <x v="82"/>
    <x v="0"/>
    <x v="0"/>
  </r>
  <r>
    <x v="1072"/>
    <x v="1"/>
    <x v="17"/>
    <x v="0"/>
    <x v="11"/>
    <x v="1"/>
    <x v="36"/>
    <x v="15"/>
    <x v="0"/>
    <x v="0"/>
  </r>
  <r>
    <x v="1072"/>
    <x v="2"/>
    <x v="0"/>
    <x v="0"/>
    <x v="0"/>
    <x v="0"/>
    <x v="0"/>
    <x v="0"/>
    <x v="0"/>
    <x v="0"/>
  </r>
  <r>
    <x v="1073"/>
    <x v="0"/>
    <x v="64"/>
    <x v="0"/>
    <x v="44"/>
    <x v="3"/>
    <x v="417"/>
    <x v="57"/>
    <x v="6"/>
    <x v="6"/>
  </r>
  <r>
    <x v="1073"/>
    <x v="1"/>
    <x v="108"/>
    <x v="0"/>
    <x v="37"/>
    <x v="1"/>
    <x v="461"/>
    <x v="100"/>
    <x v="4"/>
    <x v="4"/>
  </r>
  <r>
    <x v="1073"/>
    <x v="2"/>
    <x v="84"/>
    <x v="1"/>
    <x v="30"/>
    <x v="3"/>
    <x v="343"/>
    <x v="77"/>
    <x v="4"/>
    <x v="4"/>
  </r>
  <r>
    <x v="1074"/>
    <x v="0"/>
    <x v="74"/>
    <x v="1"/>
    <x v="42"/>
    <x v="3"/>
    <x v="428"/>
    <x v="67"/>
    <x v="6"/>
    <x v="6"/>
  </r>
  <r>
    <x v="1074"/>
    <x v="1"/>
    <x v="103"/>
    <x v="1"/>
    <x v="38"/>
    <x v="2"/>
    <x v="462"/>
    <x v="95"/>
    <x v="5"/>
    <x v="5"/>
  </r>
  <r>
    <x v="1075"/>
    <x v="0"/>
    <x v="43"/>
    <x v="0"/>
    <x v="15"/>
    <x v="3"/>
    <x v="37"/>
    <x v="31"/>
    <x v="0"/>
    <x v="0"/>
  </r>
  <r>
    <x v="1075"/>
    <x v="1"/>
    <x v="48"/>
    <x v="0"/>
    <x v="26"/>
    <x v="1"/>
    <x v="255"/>
    <x v="34"/>
    <x v="0"/>
    <x v="0"/>
  </r>
  <r>
    <x v="1075"/>
    <x v="2"/>
    <x v="30"/>
    <x v="1"/>
    <x v="5"/>
    <x v="1"/>
    <x v="130"/>
    <x v="26"/>
    <x v="0"/>
    <x v="0"/>
  </r>
  <r>
    <x v="1076"/>
    <x v="0"/>
    <x v="91"/>
    <x v="1"/>
    <x v="57"/>
    <x v="2"/>
    <x v="447"/>
    <x v="84"/>
    <x v="3"/>
    <x v="3"/>
  </r>
  <r>
    <x v="1077"/>
    <x v="0"/>
    <x v="35"/>
    <x v="1"/>
    <x v="15"/>
    <x v="1"/>
    <x v="69"/>
    <x v="31"/>
    <x v="0"/>
    <x v="0"/>
  </r>
  <r>
    <x v="1077"/>
    <x v="1"/>
    <x v="91"/>
    <x v="1"/>
    <x v="57"/>
    <x v="0"/>
    <x v="225"/>
    <x v="84"/>
    <x v="3"/>
    <x v="3"/>
  </r>
  <r>
    <x v="1077"/>
    <x v="2"/>
    <x v="12"/>
    <x v="0"/>
    <x v="10"/>
    <x v="1"/>
    <x v="15"/>
    <x v="11"/>
    <x v="0"/>
    <x v="0"/>
  </r>
  <r>
    <x v="1077"/>
    <x v="3"/>
    <x v="2"/>
    <x v="1"/>
    <x v="2"/>
    <x v="3"/>
    <x v="70"/>
    <x v="2"/>
    <x v="2"/>
    <x v="2"/>
  </r>
  <r>
    <x v="1077"/>
    <x v="4"/>
    <x v="31"/>
    <x v="1"/>
    <x v="22"/>
    <x v="0"/>
    <x v="416"/>
    <x v="27"/>
    <x v="0"/>
    <x v="0"/>
  </r>
  <r>
    <x v="1078"/>
    <x v="0"/>
    <x v="63"/>
    <x v="1"/>
    <x v="43"/>
    <x v="1"/>
    <x v="289"/>
    <x v="56"/>
    <x v="0"/>
    <x v="0"/>
  </r>
  <r>
    <x v="1079"/>
    <x v="0"/>
    <x v="93"/>
    <x v="0"/>
    <x v="58"/>
    <x v="0"/>
    <x v="246"/>
    <x v="85"/>
    <x v="1"/>
    <x v="1"/>
  </r>
  <r>
    <x v="1079"/>
    <x v="1"/>
    <x v="95"/>
    <x v="0"/>
    <x v="23"/>
    <x v="3"/>
    <x v="253"/>
    <x v="87"/>
    <x v="1"/>
    <x v="1"/>
  </r>
  <r>
    <x v="1079"/>
    <x v="2"/>
    <x v="69"/>
    <x v="0"/>
    <x v="47"/>
    <x v="2"/>
    <x v="463"/>
    <x v="62"/>
    <x v="6"/>
    <x v="6"/>
  </r>
  <r>
    <x v="1079"/>
    <x v="3"/>
    <x v="33"/>
    <x v="1"/>
    <x v="14"/>
    <x v="0"/>
    <x v="117"/>
    <x v="29"/>
    <x v="1"/>
    <x v="1"/>
  </r>
  <r>
    <x v="1079"/>
    <x v="4"/>
    <x v="106"/>
    <x v="0"/>
    <x v="39"/>
    <x v="2"/>
    <x v="453"/>
    <x v="98"/>
    <x v="4"/>
    <x v="4"/>
  </r>
  <r>
    <x v="1080"/>
    <x v="0"/>
    <x v="58"/>
    <x v="1"/>
    <x v="40"/>
    <x v="3"/>
    <x v="431"/>
    <x v="51"/>
    <x v="6"/>
    <x v="6"/>
  </r>
  <r>
    <x v="1081"/>
    <x v="0"/>
    <x v="61"/>
    <x v="1"/>
    <x v="4"/>
    <x v="0"/>
    <x v="73"/>
    <x v="54"/>
    <x v="1"/>
    <x v="1"/>
  </r>
  <r>
    <x v="1082"/>
    <x v="0"/>
    <x v="105"/>
    <x v="1"/>
    <x v="63"/>
    <x v="0"/>
    <x v="384"/>
    <x v="97"/>
    <x v="0"/>
    <x v="0"/>
  </r>
  <r>
    <x v="1082"/>
    <x v="1"/>
    <x v="104"/>
    <x v="1"/>
    <x v="62"/>
    <x v="3"/>
    <x v="345"/>
    <x v="96"/>
    <x v="0"/>
    <x v="0"/>
  </r>
  <r>
    <x v="1082"/>
    <x v="2"/>
    <x v="32"/>
    <x v="0"/>
    <x v="23"/>
    <x v="1"/>
    <x v="193"/>
    <x v="28"/>
    <x v="3"/>
    <x v="3"/>
  </r>
  <r>
    <x v="1082"/>
    <x v="3"/>
    <x v="57"/>
    <x v="0"/>
    <x v="14"/>
    <x v="0"/>
    <x v="63"/>
    <x v="50"/>
    <x v="1"/>
    <x v="1"/>
  </r>
  <r>
    <x v="1083"/>
    <x v="0"/>
    <x v="34"/>
    <x v="0"/>
    <x v="4"/>
    <x v="2"/>
    <x v="6"/>
    <x v="30"/>
    <x v="1"/>
    <x v="1"/>
  </r>
  <r>
    <x v="1083"/>
    <x v="1"/>
    <x v="63"/>
    <x v="0"/>
    <x v="43"/>
    <x v="2"/>
    <x v="178"/>
    <x v="56"/>
    <x v="0"/>
    <x v="0"/>
  </r>
  <r>
    <x v="1083"/>
    <x v="2"/>
    <x v="72"/>
    <x v="1"/>
    <x v="26"/>
    <x v="0"/>
    <x v="195"/>
    <x v="65"/>
    <x v="4"/>
    <x v="4"/>
  </r>
  <r>
    <x v="1083"/>
    <x v="3"/>
    <x v="105"/>
    <x v="1"/>
    <x v="63"/>
    <x v="1"/>
    <x v="306"/>
    <x v="97"/>
    <x v="0"/>
    <x v="0"/>
  </r>
  <r>
    <x v="1083"/>
    <x v="4"/>
    <x v="91"/>
    <x v="0"/>
    <x v="57"/>
    <x v="3"/>
    <x v="407"/>
    <x v="84"/>
    <x v="3"/>
    <x v="3"/>
  </r>
  <r>
    <x v="1084"/>
    <x v="0"/>
    <x v="82"/>
    <x v="1"/>
    <x v="34"/>
    <x v="0"/>
    <x v="166"/>
    <x v="75"/>
    <x v="0"/>
    <x v="0"/>
  </r>
  <r>
    <x v="1084"/>
    <x v="1"/>
    <x v="38"/>
    <x v="0"/>
    <x v="26"/>
    <x v="3"/>
    <x v="164"/>
    <x v="34"/>
    <x v="0"/>
    <x v="0"/>
  </r>
  <r>
    <x v="1084"/>
    <x v="2"/>
    <x v="51"/>
    <x v="0"/>
    <x v="35"/>
    <x v="3"/>
    <x v="337"/>
    <x v="44"/>
    <x v="0"/>
    <x v="0"/>
  </r>
  <r>
    <x v="1085"/>
    <x v="0"/>
    <x v="75"/>
    <x v="0"/>
    <x v="19"/>
    <x v="1"/>
    <x v="274"/>
    <x v="68"/>
    <x v="5"/>
    <x v="5"/>
  </r>
  <r>
    <x v="1085"/>
    <x v="1"/>
    <x v="50"/>
    <x v="0"/>
    <x v="34"/>
    <x v="3"/>
    <x v="173"/>
    <x v="43"/>
    <x v="0"/>
    <x v="0"/>
  </r>
  <r>
    <x v="1085"/>
    <x v="2"/>
    <x v="89"/>
    <x v="1"/>
    <x v="56"/>
    <x v="2"/>
    <x v="220"/>
    <x v="82"/>
    <x v="0"/>
    <x v="0"/>
  </r>
  <r>
    <x v="1085"/>
    <x v="3"/>
    <x v="2"/>
    <x v="1"/>
    <x v="2"/>
    <x v="1"/>
    <x v="46"/>
    <x v="2"/>
    <x v="2"/>
    <x v="2"/>
  </r>
  <r>
    <x v="1085"/>
    <x v="4"/>
    <x v="21"/>
    <x v="0"/>
    <x v="16"/>
    <x v="0"/>
    <x v="58"/>
    <x v="18"/>
    <x v="1"/>
    <x v="1"/>
  </r>
  <r>
    <x v="1086"/>
    <x v="0"/>
    <x v="12"/>
    <x v="0"/>
    <x v="10"/>
    <x v="1"/>
    <x v="15"/>
    <x v="11"/>
    <x v="0"/>
    <x v="0"/>
  </r>
  <r>
    <x v="1086"/>
    <x v="1"/>
    <x v="48"/>
    <x v="1"/>
    <x v="26"/>
    <x v="1"/>
    <x v="184"/>
    <x v="34"/>
    <x v="0"/>
    <x v="0"/>
  </r>
  <r>
    <x v="1086"/>
    <x v="2"/>
    <x v="64"/>
    <x v="1"/>
    <x v="44"/>
    <x v="3"/>
    <x v="392"/>
    <x v="57"/>
    <x v="6"/>
    <x v="6"/>
  </r>
  <r>
    <x v="1086"/>
    <x v="3"/>
    <x v="17"/>
    <x v="1"/>
    <x v="11"/>
    <x v="1"/>
    <x v="35"/>
    <x v="15"/>
    <x v="0"/>
    <x v="0"/>
  </r>
  <r>
    <x v="1086"/>
    <x v="4"/>
    <x v="36"/>
    <x v="1"/>
    <x v="24"/>
    <x v="0"/>
    <x v="151"/>
    <x v="32"/>
    <x v="5"/>
    <x v="5"/>
  </r>
  <r>
    <x v="1087"/>
    <x v="0"/>
    <x v="38"/>
    <x v="0"/>
    <x v="26"/>
    <x v="3"/>
    <x v="164"/>
    <x v="34"/>
    <x v="0"/>
    <x v="0"/>
  </r>
  <r>
    <x v="1087"/>
    <x v="1"/>
    <x v="34"/>
    <x v="0"/>
    <x v="4"/>
    <x v="3"/>
    <x v="16"/>
    <x v="30"/>
    <x v="1"/>
    <x v="1"/>
  </r>
  <r>
    <x v="1087"/>
    <x v="2"/>
    <x v="57"/>
    <x v="0"/>
    <x v="14"/>
    <x v="1"/>
    <x v="29"/>
    <x v="50"/>
    <x v="1"/>
    <x v="1"/>
  </r>
  <r>
    <x v="1087"/>
    <x v="3"/>
    <x v="107"/>
    <x v="1"/>
    <x v="61"/>
    <x v="0"/>
    <x v="299"/>
    <x v="99"/>
    <x v="1"/>
    <x v="1"/>
  </r>
  <r>
    <x v="1088"/>
    <x v="0"/>
    <x v="63"/>
    <x v="1"/>
    <x v="43"/>
    <x v="1"/>
    <x v="289"/>
    <x v="56"/>
    <x v="0"/>
    <x v="0"/>
  </r>
  <r>
    <x v="1088"/>
    <x v="1"/>
    <x v="34"/>
    <x v="1"/>
    <x v="4"/>
    <x v="2"/>
    <x v="79"/>
    <x v="30"/>
    <x v="1"/>
    <x v="1"/>
  </r>
  <r>
    <x v="1089"/>
    <x v="0"/>
    <x v="51"/>
    <x v="0"/>
    <x v="35"/>
    <x v="0"/>
    <x v="427"/>
    <x v="44"/>
    <x v="0"/>
    <x v="0"/>
  </r>
  <r>
    <x v="1090"/>
    <x v="0"/>
    <x v="44"/>
    <x v="0"/>
    <x v="29"/>
    <x v="2"/>
    <x v="277"/>
    <x v="38"/>
    <x v="4"/>
    <x v="4"/>
  </r>
  <r>
    <x v="1090"/>
    <x v="1"/>
    <x v="28"/>
    <x v="0"/>
    <x v="21"/>
    <x v="3"/>
    <x v="282"/>
    <x v="24"/>
    <x v="6"/>
    <x v="6"/>
  </r>
  <r>
    <x v="1090"/>
    <x v="2"/>
    <x v="23"/>
    <x v="0"/>
    <x v="7"/>
    <x v="3"/>
    <x v="65"/>
    <x v="20"/>
    <x v="0"/>
    <x v="0"/>
  </r>
  <r>
    <x v="1091"/>
    <x v="0"/>
    <x v="98"/>
    <x v="0"/>
    <x v="14"/>
    <x v="2"/>
    <x v="62"/>
    <x v="90"/>
    <x v="1"/>
    <x v="1"/>
  </r>
  <r>
    <x v="1091"/>
    <x v="1"/>
    <x v="34"/>
    <x v="1"/>
    <x v="4"/>
    <x v="1"/>
    <x v="13"/>
    <x v="30"/>
    <x v="1"/>
    <x v="1"/>
  </r>
  <r>
    <x v="1091"/>
    <x v="2"/>
    <x v="6"/>
    <x v="1"/>
    <x v="5"/>
    <x v="3"/>
    <x v="8"/>
    <x v="6"/>
    <x v="1"/>
    <x v="1"/>
  </r>
  <r>
    <x v="1091"/>
    <x v="3"/>
    <x v="9"/>
    <x v="0"/>
    <x v="7"/>
    <x v="0"/>
    <x v="59"/>
    <x v="8"/>
    <x v="0"/>
    <x v="0"/>
  </r>
  <r>
    <x v="1092"/>
    <x v="0"/>
    <x v="78"/>
    <x v="1"/>
    <x v="52"/>
    <x v="1"/>
    <x v="272"/>
    <x v="71"/>
    <x v="1"/>
    <x v="1"/>
  </r>
  <r>
    <x v="1092"/>
    <x v="1"/>
    <x v="7"/>
    <x v="1"/>
    <x v="6"/>
    <x v="3"/>
    <x v="17"/>
    <x v="7"/>
    <x v="0"/>
    <x v="0"/>
  </r>
  <r>
    <x v="1092"/>
    <x v="2"/>
    <x v="45"/>
    <x v="1"/>
    <x v="30"/>
    <x v="3"/>
    <x v="343"/>
    <x v="39"/>
    <x v="4"/>
    <x v="4"/>
  </r>
  <r>
    <x v="1093"/>
    <x v="0"/>
    <x v="68"/>
    <x v="0"/>
    <x v="24"/>
    <x v="3"/>
    <x v="325"/>
    <x v="61"/>
    <x v="0"/>
    <x v="0"/>
  </r>
  <r>
    <x v="1093"/>
    <x v="1"/>
    <x v="16"/>
    <x v="0"/>
    <x v="13"/>
    <x v="3"/>
    <x v="86"/>
    <x v="14"/>
    <x v="2"/>
    <x v="2"/>
  </r>
  <r>
    <x v="1093"/>
    <x v="2"/>
    <x v="24"/>
    <x v="0"/>
    <x v="8"/>
    <x v="3"/>
    <x v="98"/>
    <x v="9"/>
    <x v="0"/>
    <x v="0"/>
  </r>
  <r>
    <x v="1093"/>
    <x v="3"/>
    <x v="92"/>
    <x v="0"/>
    <x v="24"/>
    <x v="0"/>
    <x v="307"/>
    <x v="72"/>
    <x v="0"/>
    <x v="0"/>
  </r>
  <r>
    <x v="1094"/>
    <x v="0"/>
    <x v="46"/>
    <x v="1"/>
    <x v="31"/>
    <x v="2"/>
    <x v="437"/>
    <x v="40"/>
    <x v="0"/>
    <x v="0"/>
  </r>
  <r>
    <x v="1094"/>
    <x v="1"/>
    <x v="5"/>
    <x v="1"/>
    <x v="4"/>
    <x v="0"/>
    <x v="73"/>
    <x v="5"/>
    <x v="1"/>
    <x v="1"/>
  </r>
  <r>
    <x v="1094"/>
    <x v="2"/>
    <x v="12"/>
    <x v="1"/>
    <x v="10"/>
    <x v="3"/>
    <x v="120"/>
    <x v="11"/>
    <x v="0"/>
    <x v="0"/>
  </r>
  <r>
    <x v="1094"/>
    <x v="3"/>
    <x v="93"/>
    <x v="0"/>
    <x v="58"/>
    <x v="0"/>
    <x v="246"/>
    <x v="85"/>
    <x v="1"/>
    <x v="1"/>
  </r>
  <r>
    <x v="1094"/>
    <x v="4"/>
    <x v="69"/>
    <x v="1"/>
    <x v="47"/>
    <x v="2"/>
    <x v="342"/>
    <x v="62"/>
    <x v="6"/>
    <x v="6"/>
  </r>
  <r>
    <x v="1095"/>
    <x v="0"/>
    <x v="16"/>
    <x v="0"/>
    <x v="13"/>
    <x v="3"/>
    <x v="86"/>
    <x v="14"/>
    <x v="2"/>
    <x v="2"/>
  </r>
  <r>
    <x v="1096"/>
    <x v="0"/>
    <x v="40"/>
    <x v="0"/>
    <x v="15"/>
    <x v="2"/>
    <x v="115"/>
    <x v="35"/>
    <x v="4"/>
    <x v="4"/>
  </r>
  <r>
    <x v="1096"/>
    <x v="1"/>
    <x v="26"/>
    <x v="1"/>
    <x v="19"/>
    <x v="1"/>
    <x v="154"/>
    <x v="22"/>
    <x v="0"/>
    <x v="0"/>
  </r>
  <r>
    <x v="1096"/>
    <x v="2"/>
    <x v="72"/>
    <x v="1"/>
    <x v="26"/>
    <x v="1"/>
    <x v="184"/>
    <x v="65"/>
    <x v="4"/>
    <x v="4"/>
  </r>
  <r>
    <x v="1096"/>
    <x v="3"/>
    <x v="23"/>
    <x v="0"/>
    <x v="7"/>
    <x v="0"/>
    <x v="59"/>
    <x v="20"/>
    <x v="0"/>
    <x v="0"/>
  </r>
  <r>
    <x v="1096"/>
    <x v="4"/>
    <x v="100"/>
    <x v="1"/>
    <x v="61"/>
    <x v="2"/>
    <x v="323"/>
    <x v="92"/>
    <x v="1"/>
    <x v="1"/>
  </r>
  <r>
    <x v="1097"/>
    <x v="0"/>
    <x v="54"/>
    <x v="0"/>
    <x v="37"/>
    <x v="3"/>
    <x v="378"/>
    <x v="47"/>
    <x v="4"/>
    <x v="4"/>
  </r>
  <r>
    <x v="1098"/>
    <x v="0"/>
    <x v="38"/>
    <x v="0"/>
    <x v="26"/>
    <x v="3"/>
    <x v="164"/>
    <x v="34"/>
    <x v="0"/>
    <x v="0"/>
  </r>
  <r>
    <x v="1098"/>
    <x v="1"/>
    <x v="17"/>
    <x v="1"/>
    <x v="11"/>
    <x v="2"/>
    <x v="64"/>
    <x v="15"/>
    <x v="0"/>
    <x v="0"/>
  </r>
  <r>
    <x v="1098"/>
    <x v="2"/>
    <x v="109"/>
    <x v="0"/>
    <x v="64"/>
    <x v="1"/>
    <x v="383"/>
    <x v="101"/>
    <x v="1"/>
    <x v="1"/>
  </r>
  <r>
    <x v="1098"/>
    <x v="3"/>
    <x v="84"/>
    <x v="1"/>
    <x v="30"/>
    <x v="3"/>
    <x v="343"/>
    <x v="77"/>
    <x v="4"/>
    <x v="4"/>
  </r>
  <r>
    <x v="1099"/>
    <x v="0"/>
    <x v="10"/>
    <x v="0"/>
    <x v="8"/>
    <x v="2"/>
    <x v="101"/>
    <x v="9"/>
    <x v="0"/>
    <x v="0"/>
  </r>
  <r>
    <x v="1099"/>
    <x v="1"/>
    <x v="11"/>
    <x v="1"/>
    <x v="9"/>
    <x v="3"/>
    <x v="42"/>
    <x v="10"/>
    <x v="3"/>
    <x v="3"/>
  </r>
  <r>
    <x v="1100"/>
    <x v="0"/>
    <x v="86"/>
    <x v="0"/>
    <x v="54"/>
    <x v="1"/>
    <x v="464"/>
    <x v="79"/>
    <x v="5"/>
    <x v="5"/>
  </r>
  <r>
    <x v="1100"/>
    <x v="1"/>
    <x v="80"/>
    <x v="0"/>
    <x v="53"/>
    <x v="2"/>
    <x v="365"/>
    <x v="73"/>
    <x v="6"/>
    <x v="6"/>
  </r>
  <r>
    <x v="1101"/>
    <x v="0"/>
    <x v="87"/>
    <x v="0"/>
    <x v="29"/>
    <x v="1"/>
    <x v="243"/>
    <x v="80"/>
    <x v="4"/>
    <x v="4"/>
  </r>
  <r>
    <x v="1102"/>
    <x v="0"/>
    <x v="26"/>
    <x v="0"/>
    <x v="19"/>
    <x v="0"/>
    <x v="188"/>
    <x v="22"/>
    <x v="0"/>
    <x v="0"/>
  </r>
  <r>
    <x v="1102"/>
    <x v="1"/>
    <x v="109"/>
    <x v="1"/>
    <x v="64"/>
    <x v="0"/>
    <x v="387"/>
    <x v="101"/>
    <x v="1"/>
    <x v="1"/>
  </r>
  <r>
    <x v="1103"/>
    <x v="0"/>
    <x v="7"/>
    <x v="0"/>
    <x v="6"/>
    <x v="3"/>
    <x v="47"/>
    <x v="7"/>
    <x v="0"/>
    <x v="0"/>
  </r>
  <r>
    <x v="1103"/>
    <x v="1"/>
    <x v="63"/>
    <x v="1"/>
    <x v="43"/>
    <x v="3"/>
    <x v="240"/>
    <x v="56"/>
    <x v="0"/>
    <x v="0"/>
  </r>
  <r>
    <x v="1103"/>
    <x v="2"/>
    <x v="52"/>
    <x v="0"/>
    <x v="28"/>
    <x v="1"/>
    <x v="192"/>
    <x v="45"/>
    <x v="1"/>
    <x v="1"/>
  </r>
  <r>
    <x v="1103"/>
    <x v="3"/>
    <x v="53"/>
    <x v="0"/>
    <x v="36"/>
    <x v="1"/>
    <x v="382"/>
    <x v="46"/>
    <x v="0"/>
    <x v="0"/>
  </r>
  <r>
    <x v="1104"/>
    <x v="0"/>
    <x v="91"/>
    <x v="0"/>
    <x v="57"/>
    <x v="2"/>
    <x v="335"/>
    <x v="84"/>
    <x v="3"/>
    <x v="3"/>
  </r>
  <r>
    <x v="1104"/>
    <x v="1"/>
    <x v="28"/>
    <x v="1"/>
    <x v="21"/>
    <x v="0"/>
    <x v="410"/>
    <x v="24"/>
    <x v="6"/>
    <x v="6"/>
  </r>
  <r>
    <x v="1104"/>
    <x v="2"/>
    <x v="100"/>
    <x v="1"/>
    <x v="61"/>
    <x v="1"/>
    <x v="317"/>
    <x v="92"/>
    <x v="1"/>
    <x v="1"/>
  </r>
  <r>
    <x v="1105"/>
    <x v="0"/>
    <x v="81"/>
    <x v="0"/>
    <x v="29"/>
    <x v="3"/>
    <x v="283"/>
    <x v="74"/>
    <x v="4"/>
    <x v="4"/>
  </r>
  <r>
    <x v="1106"/>
    <x v="0"/>
    <x v="52"/>
    <x v="0"/>
    <x v="28"/>
    <x v="0"/>
    <x v="328"/>
    <x v="45"/>
    <x v="1"/>
    <x v="1"/>
  </r>
  <r>
    <x v="1106"/>
    <x v="1"/>
    <x v="67"/>
    <x v="1"/>
    <x v="46"/>
    <x v="0"/>
    <x v="465"/>
    <x v="60"/>
    <x v="1"/>
    <x v="1"/>
  </r>
  <r>
    <x v="1107"/>
    <x v="0"/>
    <x v="78"/>
    <x v="1"/>
    <x v="52"/>
    <x v="2"/>
    <x v="204"/>
    <x v="71"/>
    <x v="1"/>
    <x v="1"/>
  </r>
  <r>
    <x v="1107"/>
    <x v="1"/>
    <x v="96"/>
    <x v="0"/>
    <x v="26"/>
    <x v="1"/>
    <x v="255"/>
    <x v="88"/>
    <x v="4"/>
    <x v="4"/>
  </r>
  <r>
    <x v="1107"/>
    <x v="2"/>
    <x v="86"/>
    <x v="0"/>
    <x v="54"/>
    <x v="1"/>
    <x v="464"/>
    <x v="79"/>
    <x v="5"/>
    <x v="5"/>
  </r>
  <r>
    <x v="1108"/>
    <x v="0"/>
    <x v="31"/>
    <x v="1"/>
    <x v="22"/>
    <x v="3"/>
    <x v="331"/>
    <x v="27"/>
    <x v="0"/>
    <x v="0"/>
  </r>
  <r>
    <x v="1109"/>
    <x v="0"/>
    <x v="28"/>
    <x v="0"/>
    <x v="21"/>
    <x v="3"/>
    <x v="282"/>
    <x v="24"/>
    <x v="6"/>
    <x v="6"/>
  </r>
  <r>
    <x v="1110"/>
    <x v="0"/>
    <x v="43"/>
    <x v="0"/>
    <x v="15"/>
    <x v="2"/>
    <x v="115"/>
    <x v="31"/>
    <x v="0"/>
    <x v="0"/>
  </r>
  <r>
    <x v="1110"/>
    <x v="1"/>
    <x v="82"/>
    <x v="1"/>
    <x v="34"/>
    <x v="3"/>
    <x v="333"/>
    <x v="75"/>
    <x v="0"/>
    <x v="0"/>
  </r>
  <r>
    <x v="1110"/>
    <x v="2"/>
    <x v="15"/>
    <x v="0"/>
    <x v="11"/>
    <x v="0"/>
    <x v="51"/>
    <x v="12"/>
    <x v="0"/>
    <x v="0"/>
  </r>
  <r>
    <x v="1110"/>
    <x v="3"/>
    <x v="24"/>
    <x v="0"/>
    <x v="8"/>
    <x v="1"/>
    <x v="77"/>
    <x v="9"/>
    <x v="0"/>
    <x v="0"/>
  </r>
  <r>
    <x v="1111"/>
    <x v="0"/>
    <x v="68"/>
    <x v="1"/>
    <x v="24"/>
    <x v="2"/>
    <x v="293"/>
    <x v="61"/>
    <x v="0"/>
    <x v="0"/>
  </r>
  <r>
    <x v="1111"/>
    <x v="1"/>
    <x v="41"/>
    <x v="0"/>
    <x v="27"/>
    <x v="1"/>
    <x v="466"/>
    <x v="36"/>
    <x v="1"/>
    <x v="1"/>
  </r>
  <r>
    <x v="1111"/>
    <x v="2"/>
    <x v="21"/>
    <x v="1"/>
    <x v="16"/>
    <x v="3"/>
    <x v="87"/>
    <x v="18"/>
    <x v="1"/>
    <x v="1"/>
  </r>
  <r>
    <x v="1111"/>
    <x v="3"/>
    <x v="108"/>
    <x v="1"/>
    <x v="37"/>
    <x v="1"/>
    <x v="170"/>
    <x v="100"/>
    <x v="4"/>
    <x v="4"/>
  </r>
  <r>
    <x v="1111"/>
    <x v="4"/>
    <x v="11"/>
    <x v="1"/>
    <x v="9"/>
    <x v="3"/>
    <x v="42"/>
    <x v="10"/>
    <x v="3"/>
    <x v="3"/>
  </r>
  <r>
    <x v="1112"/>
    <x v="0"/>
    <x v="26"/>
    <x v="0"/>
    <x v="19"/>
    <x v="1"/>
    <x v="274"/>
    <x v="22"/>
    <x v="0"/>
    <x v="0"/>
  </r>
  <r>
    <x v="1113"/>
    <x v="0"/>
    <x v="58"/>
    <x v="0"/>
    <x v="40"/>
    <x v="0"/>
    <x v="434"/>
    <x v="51"/>
    <x v="6"/>
    <x v="6"/>
  </r>
  <r>
    <x v="1114"/>
    <x v="0"/>
    <x v="44"/>
    <x v="1"/>
    <x v="29"/>
    <x v="0"/>
    <x v="209"/>
    <x v="38"/>
    <x v="4"/>
    <x v="4"/>
  </r>
  <r>
    <x v="1114"/>
    <x v="1"/>
    <x v="69"/>
    <x v="1"/>
    <x v="47"/>
    <x v="1"/>
    <x v="390"/>
    <x v="62"/>
    <x v="6"/>
    <x v="6"/>
  </r>
  <r>
    <x v="1114"/>
    <x v="2"/>
    <x v="87"/>
    <x v="1"/>
    <x v="29"/>
    <x v="1"/>
    <x v="172"/>
    <x v="80"/>
    <x v="4"/>
    <x v="4"/>
  </r>
  <r>
    <x v="1114"/>
    <x v="3"/>
    <x v="60"/>
    <x v="1"/>
    <x v="25"/>
    <x v="3"/>
    <x v="279"/>
    <x v="53"/>
    <x v="6"/>
    <x v="6"/>
  </r>
  <r>
    <x v="1115"/>
    <x v="0"/>
    <x v="16"/>
    <x v="1"/>
    <x v="13"/>
    <x v="1"/>
    <x v="136"/>
    <x v="14"/>
    <x v="2"/>
    <x v="2"/>
  </r>
  <r>
    <x v="1116"/>
    <x v="0"/>
    <x v="88"/>
    <x v="1"/>
    <x v="55"/>
    <x v="3"/>
    <x v="438"/>
    <x v="81"/>
    <x v="1"/>
    <x v="1"/>
  </r>
  <r>
    <x v="1116"/>
    <x v="1"/>
    <x v="87"/>
    <x v="0"/>
    <x v="29"/>
    <x v="0"/>
    <x v="344"/>
    <x v="80"/>
    <x v="4"/>
    <x v="4"/>
  </r>
  <r>
    <x v="1116"/>
    <x v="2"/>
    <x v="80"/>
    <x v="1"/>
    <x v="53"/>
    <x v="3"/>
    <x v="408"/>
    <x v="73"/>
    <x v="6"/>
    <x v="6"/>
  </r>
  <r>
    <x v="1117"/>
    <x v="0"/>
    <x v="66"/>
    <x v="1"/>
    <x v="45"/>
    <x v="0"/>
    <x v="234"/>
    <x v="59"/>
    <x v="6"/>
    <x v="6"/>
  </r>
  <r>
    <x v="1117"/>
    <x v="1"/>
    <x v="69"/>
    <x v="0"/>
    <x v="47"/>
    <x v="1"/>
    <x v="221"/>
    <x v="62"/>
    <x v="6"/>
    <x v="6"/>
  </r>
  <r>
    <x v="1117"/>
    <x v="2"/>
    <x v="61"/>
    <x v="0"/>
    <x v="4"/>
    <x v="2"/>
    <x v="6"/>
    <x v="54"/>
    <x v="1"/>
    <x v="1"/>
  </r>
  <r>
    <x v="1117"/>
    <x v="3"/>
    <x v="42"/>
    <x v="1"/>
    <x v="28"/>
    <x v="0"/>
    <x v="426"/>
    <x v="37"/>
    <x v="1"/>
    <x v="1"/>
  </r>
  <r>
    <x v="1118"/>
    <x v="0"/>
    <x v="101"/>
    <x v="1"/>
    <x v="30"/>
    <x v="3"/>
    <x v="343"/>
    <x v="93"/>
    <x v="4"/>
    <x v="4"/>
  </r>
  <r>
    <x v="1118"/>
    <x v="1"/>
    <x v="66"/>
    <x v="1"/>
    <x v="45"/>
    <x v="2"/>
    <x v="256"/>
    <x v="59"/>
    <x v="6"/>
    <x v="6"/>
  </r>
  <r>
    <x v="1118"/>
    <x v="2"/>
    <x v="77"/>
    <x v="0"/>
    <x v="51"/>
    <x v="0"/>
    <x v="230"/>
    <x v="70"/>
    <x v="5"/>
    <x v="5"/>
  </r>
  <r>
    <x v="1119"/>
    <x v="0"/>
    <x v="102"/>
    <x v="1"/>
    <x v="30"/>
    <x v="1"/>
    <x v="268"/>
    <x v="94"/>
    <x v="4"/>
    <x v="4"/>
  </r>
  <r>
    <x v="1119"/>
    <x v="1"/>
    <x v="93"/>
    <x v="0"/>
    <x v="58"/>
    <x v="1"/>
    <x v="237"/>
    <x v="85"/>
    <x v="1"/>
    <x v="1"/>
  </r>
  <r>
    <x v="1119"/>
    <x v="2"/>
    <x v="34"/>
    <x v="1"/>
    <x v="4"/>
    <x v="2"/>
    <x v="79"/>
    <x v="30"/>
    <x v="1"/>
    <x v="1"/>
  </r>
  <r>
    <x v="1119"/>
    <x v="3"/>
    <x v="101"/>
    <x v="0"/>
    <x v="30"/>
    <x v="1"/>
    <x v="158"/>
    <x v="93"/>
    <x v="4"/>
    <x v="4"/>
  </r>
  <r>
    <x v="1119"/>
    <x v="4"/>
    <x v="49"/>
    <x v="0"/>
    <x v="33"/>
    <x v="0"/>
    <x v="353"/>
    <x v="42"/>
    <x v="4"/>
    <x v="4"/>
  </r>
  <r>
    <x v="1120"/>
    <x v="0"/>
    <x v="16"/>
    <x v="1"/>
    <x v="13"/>
    <x v="3"/>
    <x v="104"/>
    <x v="14"/>
    <x v="2"/>
    <x v="2"/>
  </r>
  <r>
    <x v="1120"/>
    <x v="1"/>
    <x v="55"/>
    <x v="1"/>
    <x v="38"/>
    <x v="2"/>
    <x v="462"/>
    <x v="48"/>
    <x v="5"/>
    <x v="5"/>
  </r>
  <r>
    <x v="1121"/>
    <x v="0"/>
    <x v="11"/>
    <x v="1"/>
    <x v="9"/>
    <x v="1"/>
    <x v="14"/>
    <x v="10"/>
    <x v="3"/>
    <x v="3"/>
  </r>
  <r>
    <x v="1121"/>
    <x v="1"/>
    <x v="29"/>
    <x v="0"/>
    <x v="5"/>
    <x v="3"/>
    <x v="92"/>
    <x v="25"/>
    <x v="6"/>
    <x v="6"/>
  </r>
  <r>
    <x v="1121"/>
    <x v="2"/>
    <x v="60"/>
    <x v="1"/>
    <x v="25"/>
    <x v="0"/>
    <x v="165"/>
    <x v="53"/>
    <x v="6"/>
    <x v="6"/>
  </r>
  <r>
    <x v="1121"/>
    <x v="3"/>
    <x v="67"/>
    <x v="1"/>
    <x v="46"/>
    <x v="2"/>
    <x v="185"/>
    <x v="60"/>
    <x v="1"/>
    <x v="1"/>
  </r>
  <r>
    <x v="1121"/>
    <x v="4"/>
    <x v="31"/>
    <x v="0"/>
    <x v="22"/>
    <x v="3"/>
    <x v="368"/>
    <x v="27"/>
    <x v="0"/>
    <x v="0"/>
  </r>
  <r>
    <x v="1122"/>
    <x v="0"/>
    <x v="105"/>
    <x v="1"/>
    <x v="63"/>
    <x v="1"/>
    <x v="306"/>
    <x v="97"/>
    <x v="0"/>
    <x v="0"/>
  </r>
  <r>
    <x v="1122"/>
    <x v="1"/>
    <x v="32"/>
    <x v="1"/>
    <x v="23"/>
    <x v="3"/>
    <x v="149"/>
    <x v="28"/>
    <x v="3"/>
    <x v="3"/>
  </r>
  <r>
    <x v="1123"/>
    <x v="0"/>
    <x v="14"/>
    <x v="1"/>
    <x v="12"/>
    <x v="3"/>
    <x v="20"/>
    <x v="13"/>
    <x v="1"/>
    <x v="1"/>
  </r>
  <r>
    <x v="1123"/>
    <x v="1"/>
    <x v="18"/>
    <x v="0"/>
    <x v="14"/>
    <x v="3"/>
    <x v="107"/>
    <x v="16"/>
    <x v="1"/>
    <x v="1"/>
  </r>
  <r>
    <x v="1123"/>
    <x v="2"/>
    <x v="36"/>
    <x v="1"/>
    <x v="24"/>
    <x v="1"/>
    <x v="207"/>
    <x v="32"/>
    <x v="5"/>
    <x v="5"/>
  </r>
  <r>
    <x v="1123"/>
    <x v="3"/>
    <x v="78"/>
    <x v="1"/>
    <x v="52"/>
    <x v="2"/>
    <x v="204"/>
    <x v="71"/>
    <x v="1"/>
    <x v="1"/>
  </r>
  <r>
    <x v="1123"/>
    <x v="4"/>
    <x v="6"/>
    <x v="1"/>
    <x v="5"/>
    <x v="2"/>
    <x v="125"/>
    <x v="6"/>
    <x v="1"/>
    <x v="1"/>
  </r>
  <r>
    <x v="1124"/>
    <x v="0"/>
    <x v="3"/>
    <x v="1"/>
    <x v="0"/>
    <x v="2"/>
    <x v="3"/>
    <x v="3"/>
    <x v="0"/>
    <x v="0"/>
  </r>
  <r>
    <x v="1124"/>
    <x v="1"/>
    <x v="20"/>
    <x v="0"/>
    <x v="11"/>
    <x v="3"/>
    <x v="21"/>
    <x v="15"/>
    <x v="0"/>
    <x v="0"/>
  </r>
  <r>
    <x v="1124"/>
    <x v="2"/>
    <x v="89"/>
    <x v="1"/>
    <x v="56"/>
    <x v="1"/>
    <x v="311"/>
    <x v="82"/>
    <x v="0"/>
    <x v="0"/>
  </r>
  <r>
    <x v="1124"/>
    <x v="3"/>
    <x v="24"/>
    <x v="0"/>
    <x v="8"/>
    <x v="1"/>
    <x v="77"/>
    <x v="9"/>
    <x v="0"/>
    <x v="0"/>
  </r>
  <r>
    <x v="1124"/>
    <x v="4"/>
    <x v="33"/>
    <x v="1"/>
    <x v="14"/>
    <x v="1"/>
    <x v="138"/>
    <x v="29"/>
    <x v="1"/>
    <x v="1"/>
  </r>
  <r>
    <x v="1125"/>
    <x v="0"/>
    <x v="57"/>
    <x v="1"/>
    <x v="14"/>
    <x v="3"/>
    <x v="110"/>
    <x v="50"/>
    <x v="1"/>
    <x v="1"/>
  </r>
  <r>
    <x v="1125"/>
    <x v="1"/>
    <x v="71"/>
    <x v="0"/>
    <x v="23"/>
    <x v="0"/>
    <x v="223"/>
    <x v="64"/>
    <x v="6"/>
    <x v="6"/>
  </r>
  <r>
    <x v="1125"/>
    <x v="2"/>
    <x v="84"/>
    <x v="1"/>
    <x v="30"/>
    <x v="2"/>
    <x v="211"/>
    <x v="77"/>
    <x v="4"/>
    <x v="4"/>
  </r>
  <r>
    <x v="1126"/>
    <x v="0"/>
    <x v="19"/>
    <x v="1"/>
    <x v="15"/>
    <x v="3"/>
    <x v="50"/>
    <x v="17"/>
    <x v="4"/>
    <x v="4"/>
  </r>
  <r>
    <x v="1126"/>
    <x v="1"/>
    <x v="81"/>
    <x v="1"/>
    <x v="29"/>
    <x v="1"/>
    <x v="172"/>
    <x v="74"/>
    <x v="4"/>
    <x v="4"/>
  </r>
  <r>
    <x v="1126"/>
    <x v="2"/>
    <x v="88"/>
    <x v="0"/>
    <x v="55"/>
    <x v="0"/>
    <x v="467"/>
    <x v="81"/>
    <x v="1"/>
    <x v="1"/>
  </r>
  <r>
    <x v="1127"/>
    <x v="0"/>
    <x v="99"/>
    <x v="0"/>
    <x v="60"/>
    <x v="2"/>
    <x v="386"/>
    <x v="91"/>
    <x v="1"/>
    <x v="1"/>
  </r>
  <r>
    <x v="1127"/>
    <x v="1"/>
    <x v="2"/>
    <x v="0"/>
    <x v="2"/>
    <x v="0"/>
    <x v="135"/>
    <x v="2"/>
    <x v="2"/>
    <x v="2"/>
  </r>
  <r>
    <x v="1127"/>
    <x v="2"/>
    <x v="105"/>
    <x v="1"/>
    <x v="63"/>
    <x v="2"/>
    <x v="380"/>
    <x v="97"/>
    <x v="0"/>
    <x v="0"/>
  </r>
  <r>
    <x v="1128"/>
    <x v="0"/>
    <x v="68"/>
    <x v="1"/>
    <x v="24"/>
    <x v="0"/>
    <x v="151"/>
    <x v="61"/>
    <x v="0"/>
    <x v="0"/>
  </r>
  <r>
    <x v="1128"/>
    <x v="1"/>
    <x v="28"/>
    <x v="0"/>
    <x v="21"/>
    <x v="0"/>
    <x v="147"/>
    <x v="24"/>
    <x v="6"/>
    <x v="6"/>
  </r>
  <r>
    <x v="1128"/>
    <x v="2"/>
    <x v="32"/>
    <x v="1"/>
    <x v="23"/>
    <x v="2"/>
    <x v="244"/>
    <x v="28"/>
    <x v="3"/>
    <x v="3"/>
  </r>
  <r>
    <x v="1129"/>
    <x v="0"/>
    <x v="59"/>
    <x v="1"/>
    <x v="41"/>
    <x v="0"/>
    <x v="468"/>
    <x v="52"/>
    <x v="6"/>
    <x v="6"/>
  </r>
  <r>
    <x v="1130"/>
    <x v="0"/>
    <x v="91"/>
    <x v="1"/>
    <x v="57"/>
    <x v="1"/>
    <x v="469"/>
    <x v="84"/>
    <x v="3"/>
    <x v="3"/>
  </r>
  <r>
    <x v="1130"/>
    <x v="1"/>
    <x v="27"/>
    <x v="1"/>
    <x v="20"/>
    <x v="2"/>
    <x v="346"/>
    <x v="23"/>
    <x v="5"/>
    <x v="5"/>
  </r>
  <r>
    <x v="1131"/>
    <x v="0"/>
    <x v="52"/>
    <x v="0"/>
    <x v="28"/>
    <x v="2"/>
    <x v="357"/>
    <x v="45"/>
    <x v="1"/>
    <x v="1"/>
  </r>
  <r>
    <x v="1131"/>
    <x v="1"/>
    <x v="2"/>
    <x v="0"/>
    <x v="2"/>
    <x v="3"/>
    <x v="139"/>
    <x v="2"/>
    <x v="2"/>
    <x v="2"/>
  </r>
  <r>
    <x v="1131"/>
    <x v="2"/>
    <x v="107"/>
    <x v="1"/>
    <x v="61"/>
    <x v="3"/>
    <x v="302"/>
    <x v="99"/>
    <x v="1"/>
    <x v="1"/>
  </r>
  <r>
    <x v="1131"/>
    <x v="3"/>
    <x v="3"/>
    <x v="0"/>
    <x v="0"/>
    <x v="2"/>
    <x v="7"/>
    <x v="3"/>
    <x v="0"/>
    <x v="0"/>
  </r>
  <r>
    <x v="1132"/>
    <x v="0"/>
    <x v="4"/>
    <x v="1"/>
    <x v="3"/>
    <x v="2"/>
    <x v="49"/>
    <x v="4"/>
    <x v="1"/>
    <x v="1"/>
  </r>
  <r>
    <x v="1132"/>
    <x v="1"/>
    <x v="7"/>
    <x v="0"/>
    <x v="6"/>
    <x v="1"/>
    <x v="9"/>
    <x v="7"/>
    <x v="0"/>
    <x v="0"/>
  </r>
  <r>
    <x v="1132"/>
    <x v="2"/>
    <x v="45"/>
    <x v="1"/>
    <x v="30"/>
    <x v="0"/>
    <x v="266"/>
    <x v="39"/>
    <x v="4"/>
    <x v="4"/>
  </r>
  <r>
    <x v="1132"/>
    <x v="3"/>
    <x v="37"/>
    <x v="0"/>
    <x v="25"/>
    <x v="0"/>
    <x v="152"/>
    <x v="33"/>
    <x v="2"/>
    <x v="2"/>
  </r>
  <r>
    <x v="1133"/>
    <x v="0"/>
    <x v="44"/>
    <x v="0"/>
    <x v="29"/>
    <x v="3"/>
    <x v="283"/>
    <x v="38"/>
    <x v="4"/>
    <x v="4"/>
  </r>
  <r>
    <x v="1133"/>
    <x v="1"/>
    <x v="107"/>
    <x v="0"/>
    <x v="61"/>
    <x v="3"/>
    <x v="326"/>
    <x v="99"/>
    <x v="1"/>
    <x v="1"/>
  </r>
  <r>
    <x v="1134"/>
    <x v="0"/>
    <x v="70"/>
    <x v="1"/>
    <x v="48"/>
    <x v="2"/>
    <x v="470"/>
    <x v="63"/>
    <x v="4"/>
    <x v="4"/>
  </r>
  <r>
    <x v="1134"/>
    <x v="1"/>
    <x v="80"/>
    <x v="0"/>
    <x v="53"/>
    <x v="3"/>
    <x v="422"/>
    <x v="73"/>
    <x v="6"/>
    <x v="6"/>
  </r>
  <r>
    <x v="1135"/>
    <x v="0"/>
    <x v="86"/>
    <x v="0"/>
    <x v="54"/>
    <x v="3"/>
    <x v="425"/>
    <x v="79"/>
    <x v="5"/>
    <x v="5"/>
  </r>
  <r>
    <x v="1136"/>
    <x v="0"/>
    <x v="76"/>
    <x v="0"/>
    <x v="50"/>
    <x v="0"/>
    <x v="324"/>
    <x v="69"/>
    <x v="1"/>
    <x v="1"/>
  </r>
  <r>
    <x v="1136"/>
    <x v="1"/>
    <x v="71"/>
    <x v="1"/>
    <x v="23"/>
    <x v="0"/>
    <x v="377"/>
    <x v="64"/>
    <x v="6"/>
    <x v="6"/>
  </r>
  <r>
    <x v="1136"/>
    <x v="2"/>
    <x v="73"/>
    <x v="1"/>
    <x v="49"/>
    <x v="0"/>
    <x v="286"/>
    <x v="66"/>
    <x v="4"/>
    <x v="4"/>
  </r>
  <r>
    <x v="1136"/>
    <x v="3"/>
    <x v="79"/>
    <x v="1"/>
    <x v="24"/>
    <x v="1"/>
    <x v="207"/>
    <x v="72"/>
    <x v="0"/>
    <x v="0"/>
  </r>
  <r>
    <x v="1137"/>
    <x v="0"/>
    <x v="17"/>
    <x v="1"/>
    <x v="11"/>
    <x v="2"/>
    <x v="64"/>
    <x v="15"/>
    <x v="0"/>
    <x v="0"/>
  </r>
  <r>
    <x v="1137"/>
    <x v="1"/>
    <x v="86"/>
    <x v="1"/>
    <x v="54"/>
    <x v="2"/>
    <x v="471"/>
    <x v="79"/>
    <x v="5"/>
    <x v="5"/>
  </r>
  <r>
    <x v="1137"/>
    <x v="2"/>
    <x v="101"/>
    <x v="0"/>
    <x v="30"/>
    <x v="3"/>
    <x v="276"/>
    <x v="93"/>
    <x v="4"/>
    <x v="4"/>
  </r>
  <r>
    <x v="1138"/>
    <x v="0"/>
    <x v="26"/>
    <x v="1"/>
    <x v="19"/>
    <x v="2"/>
    <x v="150"/>
    <x v="22"/>
    <x v="0"/>
    <x v="0"/>
  </r>
  <r>
    <x v="1138"/>
    <x v="1"/>
    <x v="99"/>
    <x v="1"/>
    <x v="60"/>
    <x v="3"/>
    <x v="412"/>
    <x v="91"/>
    <x v="1"/>
    <x v="1"/>
  </r>
  <r>
    <x v="1138"/>
    <x v="2"/>
    <x v="79"/>
    <x v="0"/>
    <x v="24"/>
    <x v="2"/>
    <x v="205"/>
    <x v="72"/>
    <x v="0"/>
    <x v="0"/>
  </r>
  <r>
    <x v="1138"/>
    <x v="3"/>
    <x v="22"/>
    <x v="1"/>
    <x v="17"/>
    <x v="3"/>
    <x v="68"/>
    <x v="19"/>
    <x v="5"/>
    <x v="5"/>
  </r>
  <r>
    <x v="1138"/>
    <x v="4"/>
    <x v="14"/>
    <x v="0"/>
    <x v="12"/>
    <x v="3"/>
    <x v="40"/>
    <x v="13"/>
    <x v="1"/>
    <x v="1"/>
  </r>
  <r>
    <x v="1139"/>
    <x v="0"/>
    <x v="62"/>
    <x v="1"/>
    <x v="42"/>
    <x v="3"/>
    <x v="428"/>
    <x v="55"/>
    <x v="1"/>
    <x v="1"/>
  </r>
  <r>
    <x v="1139"/>
    <x v="1"/>
    <x v="68"/>
    <x v="1"/>
    <x v="24"/>
    <x v="1"/>
    <x v="207"/>
    <x v="61"/>
    <x v="0"/>
    <x v="0"/>
  </r>
  <r>
    <x v="1139"/>
    <x v="2"/>
    <x v="83"/>
    <x v="1"/>
    <x v="8"/>
    <x v="3"/>
    <x v="97"/>
    <x v="76"/>
    <x v="1"/>
    <x v="1"/>
  </r>
  <r>
    <x v="1139"/>
    <x v="3"/>
    <x v="95"/>
    <x v="1"/>
    <x v="23"/>
    <x v="1"/>
    <x v="179"/>
    <x v="87"/>
    <x v="1"/>
    <x v="1"/>
  </r>
  <r>
    <x v="1140"/>
    <x v="0"/>
    <x v="1"/>
    <x v="0"/>
    <x v="1"/>
    <x v="3"/>
    <x v="112"/>
    <x v="1"/>
    <x v="1"/>
    <x v="1"/>
  </r>
  <r>
    <x v="1141"/>
    <x v="0"/>
    <x v="0"/>
    <x v="1"/>
    <x v="0"/>
    <x v="1"/>
    <x v="19"/>
    <x v="0"/>
    <x v="0"/>
    <x v="0"/>
  </r>
  <r>
    <x v="1141"/>
    <x v="1"/>
    <x v="34"/>
    <x v="0"/>
    <x v="4"/>
    <x v="3"/>
    <x v="16"/>
    <x v="30"/>
    <x v="1"/>
    <x v="1"/>
  </r>
  <r>
    <x v="1141"/>
    <x v="2"/>
    <x v="36"/>
    <x v="1"/>
    <x v="24"/>
    <x v="2"/>
    <x v="293"/>
    <x v="32"/>
    <x v="5"/>
    <x v="5"/>
  </r>
  <r>
    <x v="1141"/>
    <x v="3"/>
    <x v="75"/>
    <x v="1"/>
    <x v="19"/>
    <x v="0"/>
    <x v="364"/>
    <x v="68"/>
    <x v="5"/>
    <x v="5"/>
  </r>
  <r>
    <x v="1141"/>
    <x v="4"/>
    <x v="96"/>
    <x v="1"/>
    <x v="26"/>
    <x v="2"/>
    <x v="162"/>
    <x v="88"/>
    <x v="4"/>
    <x v="4"/>
  </r>
  <r>
    <x v="1142"/>
    <x v="0"/>
    <x v="40"/>
    <x v="0"/>
    <x v="15"/>
    <x v="0"/>
    <x v="122"/>
    <x v="35"/>
    <x v="4"/>
    <x v="4"/>
  </r>
  <r>
    <x v="1142"/>
    <x v="1"/>
    <x v="74"/>
    <x v="0"/>
    <x v="42"/>
    <x v="0"/>
    <x v="224"/>
    <x v="67"/>
    <x v="6"/>
    <x v="6"/>
  </r>
  <r>
    <x v="1142"/>
    <x v="2"/>
    <x v="79"/>
    <x v="1"/>
    <x v="24"/>
    <x v="3"/>
    <x v="288"/>
    <x v="72"/>
    <x v="0"/>
    <x v="0"/>
  </r>
  <r>
    <x v="1143"/>
    <x v="0"/>
    <x v="54"/>
    <x v="0"/>
    <x v="37"/>
    <x v="1"/>
    <x v="461"/>
    <x v="47"/>
    <x v="4"/>
    <x v="4"/>
  </r>
  <r>
    <x v="1144"/>
    <x v="0"/>
    <x v="86"/>
    <x v="1"/>
    <x v="54"/>
    <x v="1"/>
    <x v="214"/>
    <x v="79"/>
    <x v="5"/>
    <x v="5"/>
  </r>
  <r>
    <x v="1145"/>
    <x v="0"/>
    <x v="107"/>
    <x v="0"/>
    <x v="61"/>
    <x v="1"/>
    <x v="472"/>
    <x v="99"/>
    <x v="1"/>
    <x v="1"/>
  </r>
  <r>
    <x v="1145"/>
    <x v="1"/>
    <x v="38"/>
    <x v="0"/>
    <x v="26"/>
    <x v="0"/>
    <x v="153"/>
    <x v="34"/>
    <x v="0"/>
    <x v="0"/>
  </r>
  <r>
    <x v="1145"/>
    <x v="2"/>
    <x v="16"/>
    <x v="0"/>
    <x v="13"/>
    <x v="0"/>
    <x v="114"/>
    <x v="14"/>
    <x v="2"/>
    <x v="2"/>
  </r>
  <r>
    <x v="1146"/>
    <x v="0"/>
    <x v="90"/>
    <x v="0"/>
    <x v="43"/>
    <x v="0"/>
    <x v="212"/>
    <x v="83"/>
    <x v="0"/>
    <x v="0"/>
  </r>
  <r>
    <x v="1146"/>
    <x v="1"/>
    <x v="62"/>
    <x v="1"/>
    <x v="42"/>
    <x v="2"/>
    <x v="199"/>
    <x v="55"/>
    <x v="1"/>
    <x v="1"/>
  </r>
  <r>
    <x v="1147"/>
    <x v="0"/>
    <x v="90"/>
    <x v="0"/>
    <x v="43"/>
    <x v="1"/>
    <x v="348"/>
    <x v="83"/>
    <x v="0"/>
    <x v="0"/>
  </r>
  <r>
    <x v="1147"/>
    <x v="1"/>
    <x v="13"/>
    <x v="0"/>
    <x v="11"/>
    <x v="1"/>
    <x v="36"/>
    <x v="12"/>
    <x v="0"/>
    <x v="0"/>
  </r>
  <r>
    <x v="1147"/>
    <x v="2"/>
    <x v="104"/>
    <x v="1"/>
    <x v="62"/>
    <x v="2"/>
    <x v="316"/>
    <x v="96"/>
    <x v="0"/>
    <x v="0"/>
  </r>
  <r>
    <x v="1147"/>
    <x v="3"/>
    <x v="49"/>
    <x v="1"/>
    <x v="33"/>
    <x v="3"/>
    <x v="454"/>
    <x v="42"/>
    <x v="4"/>
    <x v="4"/>
  </r>
  <r>
    <x v="1148"/>
    <x v="0"/>
    <x v="72"/>
    <x v="1"/>
    <x v="26"/>
    <x v="1"/>
    <x v="184"/>
    <x v="65"/>
    <x v="4"/>
    <x v="4"/>
  </r>
  <r>
    <x v="1148"/>
    <x v="1"/>
    <x v="74"/>
    <x v="0"/>
    <x v="42"/>
    <x v="2"/>
    <x v="196"/>
    <x v="67"/>
    <x v="6"/>
    <x v="6"/>
  </r>
  <r>
    <x v="1148"/>
    <x v="2"/>
    <x v="71"/>
    <x v="0"/>
    <x v="23"/>
    <x v="2"/>
    <x v="292"/>
    <x v="64"/>
    <x v="6"/>
    <x v="6"/>
  </r>
  <r>
    <x v="1148"/>
    <x v="3"/>
    <x v="25"/>
    <x v="0"/>
    <x v="18"/>
    <x v="0"/>
    <x v="329"/>
    <x v="21"/>
    <x v="4"/>
    <x v="4"/>
  </r>
  <r>
    <x v="1148"/>
    <x v="4"/>
    <x v="49"/>
    <x v="0"/>
    <x v="33"/>
    <x v="3"/>
    <x v="398"/>
    <x v="42"/>
    <x v="4"/>
    <x v="4"/>
  </r>
  <r>
    <x v="1149"/>
    <x v="0"/>
    <x v="61"/>
    <x v="0"/>
    <x v="4"/>
    <x v="2"/>
    <x v="6"/>
    <x v="54"/>
    <x v="1"/>
    <x v="1"/>
  </r>
  <r>
    <x v="1149"/>
    <x v="1"/>
    <x v="87"/>
    <x v="0"/>
    <x v="29"/>
    <x v="2"/>
    <x v="277"/>
    <x v="80"/>
    <x v="4"/>
    <x v="4"/>
  </r>
  <r>
    <x v="1149"/>
    <x v="2"/>
    <x v="77"/>
    <x v="1"/>
    <x v="51"/>
    <x v="1"/>
    <x v="213"/>
    <x v="70"/>
    <x v="5"/>
    <x v="5"/>
  </r>
  <r>
    <x v="1149"/>
    <x v="3"/>
    <x v="20"/>
    <x v="1"/>
    <x v="11"/>
    <x v="3"/>
    <x v="23"/>
    <x v="15"/>
    <x v="0"/>
    <x v="0"/>
  </r>
  <r>
    <x v="1150"/>
    <x v="0"/>
    <x v="34"/>
    <x v="1"/>
    <x v="4"/>
    <x v="2"/>
    <x v="79"/>
    <x v="30"/>
    <x v="1"/>
    <x v="1"/>
  </r>
  <r>
    <x v="1151"/>
    <x v="0"/>
    <x v="71"/>
    <x v="0"/>
    <x v="23"/>
    <x v="1"/>
    <x v="193"/>
    <x v="64"/>
    <x v="6"/>
    <x v="6"/>
  </r>
  <r>
    <x v="1151"/>
    <x v="1"/>
    <x v="87"/>
    <x v="1"/>
    <x v="29"/>
    <x v="0"/>
    <x v="209"/>
    <x v="80"/>
    <x v="4"/>
    <x v="4"/>
  </r>
  <r>
    <x v="1151"/>
    <x v="2"/>
    <x v="24"/>
    <x v="0"/>
    <x v="8"/>
    <x v="2"/>
    <x v="101"/>
    <x v="9"/>
    <x v="0"/>
    <x v="0"/>
  </r>
  <r>
    <x v="1152"/>
    <x v="0"/>
    <x v="27"/>
    <x v="0"/>
    <x v="20"/>
    <x v="3"/>
    <x v="309"/>
    <x v="23"/>
    <x v="5"/>
    <x v="5"/>
  </r>
  <r>
    <x v="1152"/>
    <x v="1"/>
    <x v="18"/>
    <x v="1"/>
    <x v="14"/>
    <x v="2"/>
    <x v="124"/>
    <x v="16"/>
    <x v="1"/>
    <x v="1"/>
  </r>
  <r>
    <x v="1153"/>
    <x v="0"/>
    <x v="7"/>
    <x v="0"/>
    <x v="6"/>
    <x v="0"/>
    <x v="81"/>
    <x v="7"/>
    <x v="0"/>
    <x v="0"/>
  </r>
  <r>
    <x v="1153"/>
    <x v="1"/>
    <x v="91"/>
    <x v="0"/>
    <x v="57"/>
    <x v="1"/>
    <x v="456"/>
    <x v="84"/>
    <x v="3"/>
    <x v="3"/>
  </r>
  <r>
    <x v="1153"/>
    <x v="2"/>
    <x v="50"/>
    <x v="1"/>
    <x v="34"/>
    <x v="0"/>
    <x v="166"/>
    <x v="43"/>
    <x v="0"/>
    <x v="0"/>
  </r>
  <r>
    <x v="1154"/>
    <x v="0"/>
    <x v="39"/>
    <x v="1"/>
    <x v="19"/>
    <x v="2"/>
    <x v="150"/>
    <x v="22"/>
    <x v="0"/>
    <x v="0"/>
  </r>
  <r>
    <x v="1154"/>
    <x v="1"/>
    <x v="18"/>
    <x v="1"/>
    <x v="14"/>
    <x v="3"/>
    <x v="110"/>
    <x v="16"/>
    <x v="1"/>
    <x v="1"/>
  </r>
  <r>
    <x v="1154"/>
    <x v="2"/>
    <x v="100"/>
    <x v="0"/>
    <x v="61"/>
    <x v="1"/>
    <x v="472"/>
    <x v="92"/>
    <x v="1"/>
    <x v="1"/>
  </r>
  <r>
    <x v="1154"/>
    <x v="3"/>
    <x v="104"/>
    <x v="1"/>
    <x v="62"/>
    <x v="2"/>
    <x v="316"/>
    <x v="96"/>
    <x v="0"/>
    <x v="0"/>
  </r>
  <r>
    <x v="1155"/>
    <x v="0"/>
    <x v="103"/>
    <x v="1"/>
    <x v="38"/>
    <x v="2"/>
    <x v="462"/>
    <x v="95"/>
    <x v="5"/>
    <x v="5"/>
  </r>
  <r>
    <x v="1155"/>
    <x v="1"/>
    <x v="106"/>
    <x v="0"/>
    <x v="39"/>
    <x v="2"/>
    <x v="453"/>
    <x v="98"/>
    <x v="4"/>
    <x v="4"/>
  </r>
  <r>
    <x v="1156"/>
    <x v="0"/>
    <x v="0"/>
    <x v="0"/>
    <x v="0"/>
    <x v="3"/>
    <x v="12"/>
    <x v="0"/>
    <x v="0"/>
    <x v="0"/>
  </r>
  <r>
    <x v="1156"/>
    <x v="1"/>
    <x v="93"/>
    <x v="1"/>
    <x v="58"/>
    <x v="3"/>
    <x v="473"/>
    <x v="85"/>
    <x v="1"/>
    <x v="1"/>
  </r>
  <r>
    <x v="1156"/>
    <x v="2"/>
    <x v="88"/>
    <x v="1"/>
    <x v="55"/>
    <x v="0"/>
    <x v="406"/>
    <x v="81"/>
    <x v="1"/>
    <x v="1"/>
  </r>
  <r>
    <x v="1156"/>
    <x v="3"/>
    <x v="67"/>
    <x v="0"/>
    <x v="46"/>
    <x v="1"/>
    <x v="298"/>
    <x v="60"/>
    <x v="1"/>
    <x v="1"/>
  </r>
  <r>
    <x v="1157"/>
    <x v="0"/>
    <x v="43"/>
    <x v="1"/>
    <x v="15"/>
    <x v="3"/>
    <x v="50"/>
    <x v="31"/>
    <x v="0"/>
    <x v="0"/>
  </r>
  <r>
    <x v="1157"/>
    <x v="1"/>
    <x v="51"/>
    <x v="0"/>
    <x v="35"/>
    <x v="1"/>
    <x v="474"/>
    <x v="44"/>
    <x v="0"/>
    <x v="0"/>
  </r>
  <r>
    <x v="1158"/>
    <x v="0"/>
    <x v="10"/>
    <x v="1"/>
    <x v="8"/>
    <x v="3"/>
    <x v="97"/>
    <x v="9"/>
    <x v="0"/>
    <x v="0"/>
  </r>
  <r>
    <x v="1159"/>
    <x v="0"/>
    <x v="67"/>
    <x v="0"/>
    <x v="46"/>
    <x v="3"/>
    <x v="475"/>
    <x v="60"/>
    <x v="1"/>
    <x v="1"/>
  </r>
  <r>
    <x v="1159"/>
    <x v="1"/>
    <x v="11"/>
    <x v="0"/>
    <x v="9"/>
    <x v="0"/>
    <x v="141"/>
    <x v="10"/>
    <x v="3"/>
    <x v="3"/>
  </r>
  <r>
    <x v="1160"/>
    <x v="0"/>
    <x v="68"/>
    <x v="1"/>
    <x v="24"/>
    <x v="3"/>
    <x v="288"/>
    <x v="61"/>
    <x v="0"/>
    <x v="0"/>
  </r>
  <r>
    <x v="1160"/>
    <x v="1"/>
    <x v="83"/>
    <x v="0"/>
    <x v="8"/>
    <x v="1"/>
    <x v="77"/>
    <x v="76"/>
    <x v="1"/>
    <x v="1"/>
  </r>
  <r>
    <x v="1160"/>
    <x v="2"/>
    <x v="13"/>
    <x v="0"/>
    <x v="11"/>
    <x v="0"/>
    <x v="51"/>
    <x v="12"/>
    <x v="0"/>
    <x v="0"/>
  </r>
  <r>
    <x v="1160"/>
    <x v="3"/>
    <x v="61"/>
    <x v="1"/>
    <x v="4"/>
    <x v="3"/>
    <x v="52"/>
    <x v="54"/>
    <x v="1"/>
    <x v="1"/>
  </r>
  <r>
    <x v="1161"/>
    <x v="0"/>
    <x v="54"/>
    <x v="0"/>
    <x v="37"/>
    <x v="0"/>
    <x v="321"/>
    <x v="47"/>
    <x v="4"/>
    <x v="4"/>
  </r>
  <r>
    <x v="1161"/>
    <x v="1"/>
    <x v="95"/>
    <x v="1"/>
    <x v="23"/>
    <x v="0"/>
    <x v="377"/>
    <x v="87"/>
    <x v="1"/>
    <x v="1"/>
  </r>
  <r>
    <x v="1161"/>
    <x v="2"/>
    <x v="106"/>
    <x v="0"/>
    <x v="39"/>
    <x v="3"/>
    <x v="174"/>
    <x v="98"/>
    <x v="4"/>
    <x v="4"/>
  </r>
  <r>
    <x v="1161"/>
    <x v="3"/>
    <x v="67"/>
    <x v="0"/>
    <x v="46"/>
    <x v="2"/>
    <x v="423"/>
    <x v="60"/>
    <x v="1"/>
    <x v="1"/>
  </r>
  <r>
    <x v="1161"/>
    <x v="4"/>
    <x v="10"/>
    <x v="1"/>
    <x v="8"/>
    <x v="2"/>
    <x v="11"/>
    <x v="9"/>
    <x v="0"/>
    <x v="0"/>
  </r>
  <r>
    <x v="1162"/>
    <x v="0"/>
    <x v="65"/>
    <x v="1"/>
    <x v="25"/>
    <x v="2"/>
    <x v="371"/>
    <x v="58"/>
    <x v="2"/>
    <x v="2"/>
  </r>
  <r>
    <x v="1162"/>
    <x v="1"/>
    <x v="29"/>
    <x v="1"/>
    <x v="5"/>
    <x v="3"/>
    <x v="8"/>
    <x v="25"/>
    <x v="6"/>
    <x v="6"/>
  </r>
  <r>
    <x v="1163"/>
    <x v="0"/>
    <x v="1"/>
    <x v="0"/>
    <x v="1"/>
    <x v="0"/>
    <x v="34"/>
    <x v="1"/>
    <x v="1"/>
    <x v="1"/>
  </r>
  <r>
    <x v="1163"/>
    <x v="1"/>
    <x v="46"/>
    <x v="0"/>
    <x v="31"/>
    <x v="2"/>
    <x v="159"/>
    <x v="40"/>
    <x v="0"/>
    <x v="0"/>
  </r>
  <r>
    <x v="1163"/>
    <x v="2"/>
    <x v="27"/>
    <x v="1"/>
    <x v="20"/>
    <x v="2"/>
    <x v="346"/>
    <x v="23"/>
    <x v="5"/>
    <x v="5"/>
  </r>
  <r>
    <x v="1163"/>
    <x v="3"/>
    <x v="99"/>
    <x v="1"/>
    <x v="60"/>
    <x v="2"/>
    <x v="476"/>
    <x v="91"/>
    <x v="1"/>
    <x v="1"/>
  </r>
  <r>
    <x v="1164"/>
    <x v="0"/>
    <x v="105"/>
    <x v="1"/>
    <x v="63"/>
    <x v="1"/>
    <x v="306"/>
    <x v="97"/>
    <x v="0"/>
    <x v="0"/>
  </r>
  <r>
    <x v="1164"/>
    <x v="1"/>
    <x v="39"/>
    <x v="0"/>
    <x v="19"/>
    <x v="1"/>
    <x v="274"/>
    <x v="22"/>
    <x v="0"/>
    <x v="0"/>
  </r>
  <r>
    <x v="1165"/>
    <x v="0"/>
    <x v="27"/>
    <x v="1"/>
    <x v="20"/>
    <x v="1"/>
    <x v="373"/>
    <x v="23"/>
    <x v="5"/>
    <x v="5"/>
  </r>
  <r>
    <x v="1166"/>
    <x v="0"/>
    <x v="61"/>
    <x v="1"/>
    <x v="4"/>
    <x v="2"/>
    <x v="79"/>
    <x v="54"/>
    <x v="1"/>
    <x v="1"/>
  </r>
  <r>
    <x v="1166"/>
    <x v="1"/>
    <x v="89"/>
    <x v="1"/>
    <x v="56"/>
    <x v="3"/>
    <x v="444"/>
    <x v="82"/>
    <x v="0"/>
    <x v="0"/>
  </r>
  <r>
    <x v="1166"/>
    <x v="2"/>
    <x v="39"/>
    <x v="0"/>
    <x v="19"/>
    <x v="1"/>
    <x v="274"/>
    <x v="22"/>
    <x v="0"/>
    <x v="0"/>
  </r>
  <r>
    <x v="1167"/>
    <x v="0"/>
    <x v="19"/>
    <x v="1"/>
    <x v="15"/>
    <x v="3"/>
    <x v="50"/>
    <x v="17"/>
    <x v="4"/>
    <x v="4"/>
  </r>
  <r>
    <x v="1167"/>
    <x v="1"/>
    <x v="90"/>
    <x v="0"/>
    <x v="43"/>
    <x v="0"/>
    <x v="212"/>
    <x v="83"/>
    <x v="0"/>
    <x v="0"/>
  </r>
  <r>
    <x v="1167"/>
    <x v="2"/>
    <x v="80"/>
    <x v="0"/>
    <x v="53"/>
    <x v="1"/>
    <x v="477"/>
    <x v="73"/>
    <x v="6"/>
    <x v="6"/>
  </r>
  <r>
    <x v="1167"/>
    <x v="3"/>
    <x v="92"/>
    <x v="1"/>
    <x v="24"/>
    <x v="0"/>
    <x v="151"/>
    <x v="72"/>
    <x v="0"/>
    <x v="0"/>
  </r>
  <r>
    <x v="1167"/>
    <x v="4"/>
    <x v="12"/>
    <x v="1"/>
    <x v="10"/>
    <x v="2"/>
    <x v="94"/>
    <x v="11"/>
    <x v="0"/>
    <x v="0"/>
  </r>
  <r>
    <x v="1168"/>
    <x v="0"/>
    <x v="87"/>
    <x v="1"/>
    <x v="29"/>
    <x v="0"/>
    <x v="209"/>
    <x v="80"/>
    <x v="4"/>
    <x v="4"/>
  </r>
  <r>
    <x v="1168"/>
    <x v="1"/>
    <x v="80"/>
    <x v="0"/>
    <x v="53"/>
    <x v="2"/>
    <x v="365"/>
    <x v="73"/>
    <x v="6"/>
    <x v="6"/>
  </r>
  <r>
    <x v="1168"/>
    <x v="2"/>
    <x v="71"/>
    <x v="1"/>
    <x v="23"/>
    <x v="3"/>
    <x v="149"/>
    <x v="64"/>
    <x v="6"/>
    <x v="6"/>
  </r>
  <r>
    <x v="1168"/>
    <x v="3"/>
    <x v="89"/>
    <x v="1"/>
    <x v="56"/>
    <x v="0"/>
    <x v="436"/>
    <x v="82"/>
    <x v="0"/>
    <x v="0"/>
  </r>
  <r>
    <x v="1169"/>
    <x v="0"/>
    <x v="12"/>
    <x v="0"/>
    <x v="10"/>
    <x v="3"/>
    <x v="80"/>
    <x v="11"/>
    <x v="0"/>
    <x v="0"/>
  </r>
  <r>
    <x v="1169"/>
    <x v="1"/>
    <x v="42"/>
    <x v="1"/>
    <x v="28"/>
    <x v="2"/>
    <x v="181"/>
    <x v="37"/>
    <x v="1"/>
    <x v="1"/>
  </r>
  <r>
    <x v="1169"/>
    <x v="2"/>
    <x v="37"/>
    <x v="1"/>
    <x v="25"/>
    <x v="3"/>
    <x v="279"/>
    <x v="33"/>
    <x v="2"/>
    <x v="2"/>
  </r>
  <r>
    <x v="1170"/>
    <x v="0"/>
    <x v="49"/>
    <x v="1"/>
    <x v="33"/>
    <x v="0"/>
    <x v="291"/>
    <x v="42"/>
    <x v="4"/>
    <x v="4"/>
  </r>
  <r>
    <x v="1170"/>
    <x v="1"/>
    <x v="102"/>
    <x v="1"/>
    <x v="30"/>
    <x v="1"/>
    <x v="268"/>
    <x v="94"/>
    <x v="4"/>
    <x v="4"/>
  </r>
  <r>
    <x v="1170"/>
    <x v="2"/>
    <x v="2"/>
    <x v="1"/>
    <x v="2"/>
    <x v="1"/>
    <x v="46"/>
    <x v="2"/>
    <x v="2"/>
    <x v="2"/>
  </r>
  <r>
    <x v="1171"/>
    <x v="0"/>
    <x v="46"/>
    <x v="1"/>
    <x v="31"/>
    <x v="1"/>
    <x v="478"/>
    <x v="40"/>
    <x v="0"/>
    <x v="0"/>
  </r>
  <r>
    <x v="1171"/>
    <x v="1"/>
    <x v="77"/>
    <x v="0"/>
    <x v="51"/>
    <x v="0"/>
    <x v="230"/>
    <x v="70"/>
    <x v="5"/>
    <x v="5"/>
  </r>
  <r>
    <x v="1172"/>
    <x v="0"/>
    <x v="43"/>
    <x v="0"/>
    <x v="15"/>
    <x v="0"/>
    <x v="122"/>
    <x v="31"/>
    <x v="0"/>
    <x v="0"/>
  </r>
  <r>
    <x v="1172"/>
    <x v="1"/>
    <x v="7"/>
    <x v="0"/>
    <x v="6"/>
    <x v="1"/>
    <x v="9"/>
    <x v="7"/>
    <x v="0"/>
    <x v="0"/>
  </r>
  <r>
    <x v="1172"/>
    <x v="2"/>
    <x v="39"/>
    <x v="0"/>
    <x v="19"/>
    <x v="2"/>
    <x v="399"/>
    <x v="22"/>
    <x v="0"/>
    <x v="0"/>
  </r>
  <r>
    <x v="1172"/>
    <x v="3"/>
    <x v="27"/>
    <x v="1"/>
    <x v="20"/>
    <x v="0"/>
    <x v="238"/>
    <x v="23"/>
    <x v="5"/>
    <x v="5"/>
  </r>
  <r>
    <x v="1173"/>
    <x v="0"/>
    <x v="55"/>
    <x v="1"/>
    <x v="38"/>
    <x v="0"/>
    <x v="430"/>
    <x v="48"/>
    <x v="5"/>
    <x v="5"/>
  </r>
  <r>
    <x v="1173"/>
    <x v="1"/>
    <x v="18"/>
    <x v="0"/>
    <x v="14"/>
    <x v="1"/>
    <x v="29"/>
    <x v="16"/>
    <x v="1"/>
    <x v="1"/>
  </r>
  <r>
    <x v="1173"/>
    <x v="2"/>
    <x v="26"/>
    <x v="0"/>
    <x v="19"/>
    <x v="3"/>
    <x v="201"/>
    <x v="22"/>
    <x v="0"/>
    <x v="0"/>
  </r>
  <r>
    <x v="1174"/>
    <x v="0"/>
    <x v="71"/>
    <x v="1"/>
    <x v="23"/>
    <x v="1"/>
    <x v="179"/>
    <x v="64"/>
    <x v="6"/>
    <x v="6"/>
  </r>
  <r>
    <x v="1174"/>
    <x v="1"/>
    <x v="105"/>
    <x v="0"/>
    <x v="63"/>
    <x v="0"/>
    <x v="349"/>
    <x v="97"/>
    <x v="0"/>
    <x v="0"/>
  </r>
  <r>
    <x v="1174"/>
    <x v="2"/>
    <x v="0"/>
    <x v="0"/>
    <x v="0"/>
    <x v="2"/>
    <x v="7"/>
    <x v="0"/>
    <x v="0"/>
    <x v="0"/>
  </r>
  <r>
    <x v="1174"/>
    <x v="3"/>
    <x v="5"/>
    <x v="0"/>
    <x v="4"/>
    <x v="2"/>
    <x v="6"/>
    <x v="5"/>
    <x v="1"/>
    <x v="1"/>
  </r>
  <r>
    <x v="1174"/>
    <x v="4"/>
    <x v="11"/>
    <x v="0"/>
    <x v="9"/>
    <x v="2"/>
    <x v="121"/>
    <x v="10"/>
    <x v="3"/>
    <x v="3"/>
  </r>
  <r>
    <x v="1175"/>
    <x v="0"/>
    <x v="108"/>
    <x v="0"/>
    <x v="37"/>
    <x v="3"/>
    <x v="378"/>
    <x v="100"/>
    <x v="4"/>
    <x v="4"/>
  </r>
  <r>
    <x v="1176"/>
    <x v="0"/>
    <x v="37"/>
    <x v="1"/>
    <x v="25"/>
    <x v="1"/>
    <x v="182"/>
    <x v="33"/>
    <x v="2"/>
    <x v="2"/>
  </r>
  <r>
    <x v="1176"/>
    <x v="1"/>
    <x v="51"/>
    <x v="0"/>
    <x v="35"/>
    <x v="3"/>
    <x v="337"/>
    <x v="44"/>
    <x v="0"/>
    <x v="0"/>
  </r>
  <r>
    <x v="1177"/>
    <x v="0"/>
    <x v="109"/>
    <x v="0"/>
    <x v="64"/>
    <x v="1"/>
    <x v="383"/>
    <x v="101"/>
    <x v="1"/>
    <x v="1"/>
  </r>
  <r>
    <x v="1177"/>
    <x v="1"/>
    <x v="104"/>
    <x v="0"/>
    <x v="62"/>
    <x v="0"/>
    <x v="403"/>
    <x v="96"/>
    <x v="0"/>
    <x v="0"/>
  </r>
  <r>
    <x v="1177"/>
    <x v="2"/>
    <x v="75"/>
    <x v="0"/>
    <x v="19"/>
    <x v="2"/>
    <x v="399"/>
    <x v="68"/>
    <x v="5"/>
    <x v="5"/>
  </r>
  <r>
    <x v="1177"/>
    <x v="3"/>
    <x v="17"/>
    <x v="1"/>
    <x v="11"/>
    <x v="2"/>
    <x v="64"/>
    <x v="15"/>
    <x v="0"/>
    <x v="0"/>
  </r>
  <r>
    <x v="1178"/>
    <x v="0"/>
    <x v="101"/>
    <x v="1"/>
    <x v="30"/>
    <x v="2"/>
    <x v="211"/>
    <x v="93"/>
    <x v="4"/>
    <x v="4"/>
  </r>
  <r>
    <x v="1178"/>
    <x v="1"/>
    <x v="54"/>
    <x v="1"/>
    <x v="37"/>
    <x v="2"/>
    <x v="479"/>
    <x v="47"/>
    <x v="4"/>
    <x v="4"/>
  </r>
  <r>
    <x v="1178"/>
    <x v="2"/>
    <x v="57"/>
    <x v="1"/>
    <x v="14"/>
    <x v="0"/>
    <x v="117"/>
    <x v="50"/>
    <x v="1"/>
    <x v="1"/>
  </r>
  <r>
    <x v="1178"/>
    <x v="3"/>
    <x v="69"/>
    <x v="0"/>
    <x v="47"/>
    <x v="1"/>
    <x v="221"/>
    <x v="62"/>
    <x v="6"/>
    <x v="6"/>
  </r>
  <r>
    <x v="1179"/>
    <x v="0"/>
    <x v="82"/>
    <x v="1"/>
    <x v="34"/>
    <x v="1"/>
    <x v="381"/>
    <x v="75"/>
    <x v="0"/>
    <x v="0"/>
  </r>
  <r>
    <x v="1180"/>
    <x v="0"/>
    <x v="72"/>
    <x v="0"/>
    <x v="26"/>
    <x v="3"/>
    <x v="164"/>
    <x v="65"/>
    <x v="4"/>
    <x v="4"/>
  </r>
  <r>
    <x v="1181"/>
    <x v="0"/>
    <x v="100"/>
    <x v="0"/>
    <x v="61"/>
    <x v="3"/>
    <x v="326"/>
    <x v="92"/>
    <x v="1"/>
    <x v="1"/>
  </r>
  <r>
    <x v="1181"/>
    <x v="1"/>
    <x v="60"/>
    <x v="1"/>
    <x v="25"/>
    <x v="3"/>
    <x v="279"/>
    <x v="53"/>
    <x v="6"/>
    <x v="6"/>
  </r>
  <r>
    <x v="1182"/>
    <x v="0"/>
    <x v="65"/>
    <x v="0"/>
    <x v="25"/>
    <x v="0"/>
    <x v="152"/>
    <x v="58"/>
    <x v="2"/>
    <x v="2"/>
  </r>
  <r>
    <x v="1182"/>
    <x v="1"/>
    <x v="53"/>
    <x v="1"/>
    <x v="36"/>
    <x v="0"/>
    <x v="480"/>
    <x v="46"/>
    <x v="0"/>
    <x v="0"/>
  </r>
  <r>
    <x v="1182"/>
    <x v="2"/>
    <x v="18"/>
    <x v="1"/>
    <x v="14"/>
    <x v="2"/>
    <x v="124"/>
    <x v="16"/>
    <x v="1"/>
    <x v="1"/>
  </r>
  <r>
    <x v="1183"/>
    <x v="0"/>
    <x v="3"/>
    <x v="1"/>
    <x v="0"/>
    <x v="2"/>
    <x v="3"/>
    <x v="3"/>
    <x v="0"/>
    <x v="0"/>
  </r>
  <r>
    <x v="1183"/>
    <x v="1"/>
    <x v="68"/>
    <x v="0"/>
    <x v="24"/>
    <x v="2"/>
    <x v="205"/>
    <x v="61"/>
    <x v="0"/>
    <x v="0"/>
  </r>
  <r>
    <x v="1184"/>
    <x v="0"/>
    <x v="23"/>
    <x v="1"/>
    <x v="7"/>
    <x v="1"/>
    <x v="53"/>
    <x v="20"/>
    <x v="0"/>
    <x v="0"/>
  </r>
  <r>
    <x v="1184"/>
    <x v="1"/>
    <x v="20"/>
    <x v="0"/>
    <x v="11"/>
    <x v="1"/>
    <x v="36"/>
    <x v="15"/>
    <x v="0"/>
    <x v="0"/>
  </r>
  <r>
    <x v="1184"/>
    <x v="2"/>
    <x v="65"/>
    <x v="1"/>
    <x v="25"/>
    <x v="3"/>
    <x v="279"/>
    <x v="58"/>
    <x v="2"/>
    <x v="2"/>
  </r>
  <r>
    <x v="1184"/>
    <x v="3"/>
    <x v="53"/>
    <x v="0"/>
    <x v="36"/>
    <x v="0"/>
    <x v="169"/>
    <x v="46"/>
    <x v="0"/>
    <x v="0"/>
  </r>
  <r>
    <x v="1185"/>
    <x v="0"/>
    <x v="74"/>
    <x v="1"/>
    <x v="42"/>
    <x v="3"/>
    <x v="428"/>
    <x v="67"/>
    <x v="6"/>
    <x v="6"/>
  </r>
  <r>
    <x v="1185"/>
    <x v="1"/>
    <x v="60"/>
    <x v="0"/>
    <x v="25"/>
    <x v="1"/>
    <x v="222"/>
    <x v="53"/>
    <x v="6"/>
    <x v="6"/>
  </r>
  <r>
    <x v="1185"/>
    <x v="2"/>
    <x v="26"/>
    <x v="0"/>
    <x v="19"/>
    <x v="3"/>
    <x v="201"/>
    <x v="22"/>
    <x v="0"/>
    <x v="0"/>
  </r>
  <r>
    <x v="1185"/>
    <x v="3"/>
    <x v="97"/>
    <x v="0"/>
    <x v="4"/>
    <x v="0"/>
    <x v="90"/>
    <x v="89"/>
    <x v="1"/>
    <x v="1"/>
  </r>
  <r>
    <x v="1186"/>
    <x v="0"/>
    <x v="107"/>
    <x v="1"/>
    <x v="61"/>
    <x v="3"/>
    <x v="302"/>
    <x v="99"/>
    <x v="1"/>
    <x v="1"/>
  </r>
  <r>
    <x v="1186"/>
    <x v="1"/>
    <x v="47"/>
    <x v="0"/>
    <x v="32"/>
    <x v="1"/>
    <x v="457"/>
    <x v="41"/>
    <x v="0"/>
    <x v="0"/>
  </r>
  <r>
    <x v="1186"/>
    <x v="2"/>
    <x v="4"/>
    <x v="0"/>
    <x v="3"/>
    <x v="3"/>
    <x v="66"/>
    <x v="4"/>
    <x v="1"/>
    <x v="1"/>
  </r>
  <r>
    <x v="1186"/>
    <x v="3"/>
    <x v="29"/>
    <x v="1"/>
    <x v="5"/>
    <x v="3"/>
    <x v="8"/>
    <x v="25"/>
    <x v="6"/>
    <x v="6"/>
  </r>
  <r>
    <x v="1187"/>
    <x v="0"/>
    <x v="82"/>
    <x v="1"/>
    <x v="34"/>
    <x v="3"/>
    <x v="333"/>
    <x v="75"/>
    <x v="0"/>
    <x v="0"/>
  </r>
  <r>
    <x v="1187"/>
    <x v="1"/>
    <x v="87"/>
    <x v="1"/>
    <x v="29"/>
    <x v="0"/>
    <x v="209"/>
    <x v="80"/>
    <x v="4"/>
    <x v="4"/>
  </r>
  <r>
    <x v="1187"/>
    <x v="2"/>
    <x v="108"/>
    <x v="1"/>
    <x v="37"/>
    <x v="3"/>
    <x v="351"/>
    <x v="100"/>
    <x v="4"/>
    <x v="4"/>
  </r>
  <r>
    <x v="1188"/>
    <x v="0"/>
    <x v="66"/>
    <x v="0"/>
    <x v="45"/>
    <x v="1"/>
    <x v="310"/>
    <x v="59"/>
    <x v="6"/>
    <x v="6"/>
  </r>
  <r>
    <x v="1188"/>
    <x v="1"/>
    <x v="48"/>
    <x v="1"/>
    <x v="26"/>
    <x v="3"/>
    <x v="270"/>
    <x v="34"/>
    <x v="0"/>
    <x v="0"/>
  </r>
  <r>
    <x v="1188"/>
    <x v="2"/>
    <x v="95"/>
    <x v="1"/>
    <x v="23"/>
    <x v="3"/>
    <x v="149"/>
    <x v="87"/>
    <x v="1"/>
    <x v="1"/>
  </r>
  <r>
    <x v="1189"/>
    <x v="0"/>
    <x v="68"/>
    <x v="0"/>
    <x v="24"/>
    <x v="1"/>
    <x v="187"/>
    <x v="61"/>
    <x v="0"/>
    <x v="0"/>
  </r>
  <r>
    <x v="1190"/>
    <x v="0"/>
    <x v="95"/>
    <x v="1"/>
    <x v="23"/>
    <x v="3"/>
    <x v="149"/>
    <x v="87"/>
    <x v="1"/>
    <x v="1"/>
  </r>
  <r>
    <x v="1190"/>
    <x v="1"/>
    <x v="84"/>
    <x v="1"/>
    <x v="30"/>
    <x v="3"/>
    <x v="343"/>
    <x v="77"/>
    <x v="4"/>
    <x v="4"/>
  </r>
  <r>
    <x v="1190"/>
    <x v="2"/>
    <x v="96"/>
    <x v="0"/>
    <x v="26"/>
    <x v="1"/>
    <x v="255"/>
    <x v="88"/>
    <x v="4"/>
    <x v="4"/>
  </r>
  <r>
    <x v="1191"/>
    <x v="0"/>
    <x v="24"/>
    <x v="1"/>
    <x v="8"/>
    <x v="3"/>
    <x v="97"/>
    <x v="9"/>
    <x v="0"/>
    <x v="0"/>
  </r>
  <r>
    <x v="1191"/>
    <x v="1"/>
    <x v="54"/>
    <x v="1"/>
    <x v="37"/>
    <x v="1"/>
    <x v="170"/>
    <x v="47"/>
    <x v="4"/>
    <x v="4"/>
  </r>
  <r>
    <x v="1191"/>
    <x v="2"/>
    <x v="88"/>
    <x v="1"/>
    <x v="55"/>
    <x v="0"/>
    <x v="406"/>
    <x v="81"/>
    <x v="1"/>
    <x v="1"/>
  </r>
  <r>
    <x v="1192"/>
    <x v="0"/>
    <x v="56"/>
    <x v="1"/>
    <x v="39"/>
    <x v="2"/>
    <x v="219"/>
    <x v="49"/>
    <x v="4"/>
    <x v="4"/>
  </r>
  <r>
    <x v="1192"/>
    <x v="1"/>
    <x v="97"/>
    <x v="0"/>
    <x v="4"/>
    <x v="2"/>
    <x v="6"/>
    <x v="89"/>
    <x v="1"/>
    <x v="1"/>
  </r>
  <r>
    <x v="1193"/>
    <x v="0"/>
    <x v="68"/>
    <x v="0"/>
    <x v="24"/>
    <x v="2"/>
    <x v="205"/>
    <x v="61"/>
    <x v="0"/>
    <x v="0"/>
  </r>
  <r>
    <x v="1193"/>
    <x v="1"/>
    <x v="14"/>
    <x v="1"/>
    <x v="12"/>
    <x v="1"/>
    <x v="102"/>
    <x v="13"/>
    <x v="1"/>
    <x v="1"/>
  </r>
  <r>
    <x v="1193"/>
    <x v="2"/>
    <x v="86"/>
    <x v="1"/>
    <x v="54"/>
    <x v="3"/>
    <x v="360"/>
    <x v="79"/>
    <x v="5"/>
    <x v="5"/>
  </r>
  <r>
    <x v="1193"/>
    <x v="3"/>
    <x v="73"/>
    <x v="0"/>
    <x v="49"/>
    <x v="2"/>
    <x v="248"/>
    <x v="66"/>
    <x v="4"/>
    <x v="4"/>
  </r>
  <r>
    <x v="1194"/>
    <x v="0"/>
    <x v="58"/>
    <x v="0"/>
    <x v="40"/>
    <x v="1"/>
    <x v="435"/>
    <x v="51"/>
    <x v="6"/>
    <x v="6"/>
  </r>
  <r>
    <x v="1195"/>
    <x v="0"/>
    <x v="29"/>
    <x v="0"/>
    <x v="5"/>
    <x v="1"/>
    <x v="116"/>
    <x v="25"/>
    <x v="6"/>
    <x v="6"/>
  </r>
  <r>
    <x v="1196"/>
    <x v="0"/>
    <x v="17"/>
    <x v="0"/>
    <x v="11"/>
    <x v="1"/>
    <x v="36"/>
    <x v="15"/>
    <x v="0"/>
    <x v="0"/>
  </r>
  <r>
    <x v="1196"/>
    <x v="1"/>
    <x v="75"/>
    <x v="1"/>
    <x v="19"/>
    <x v="2"/>
    <x v="150"/>
    <x v="68"/>
    <x v="5"/>
    <x v="5"/>
  </r>
  <r>
    <x v="1196"/>
    <x v="2"/>
    <x v="11"/>
    <x v="1"/>
    <x v="9"/>
    <x v="2"/>
    <x v="126"/>
    <x v="10"/>
    <x v="3"/>
    <x v="3"/>
  </r>
  <r>
    <x v="1196"/>
    <x v="3"/>
    <x v="26"/>
    <x v="1"/>
    <x v="19"/>
    <x v="0"/>
    <x v="364"/>
    <x v="22"/>
    <x v="0"/>
    <x v="0"/>
  </r>
  <r>
    <x v="1197"/>
    <x v="0"/>
    <x v="86"/>
    <x v="0"/>
    <x v="54"/>
    <x v="2"/>
    <x v="391"/>
    <x v="79"/>
    <x v="5"/>
    <x v="5"/>
  </r>
  <r>
    <x v="1198"/>
    <x v="0"/>
    <x v="33"/>
    <x v="0"/>
    <x v="14"/>
    <x v="2"/>
    <x v="62"/>
    <x v="29"/>
    <x v="1"/>
    <x v="1"/>
  </r>
  <r>
    <x v="1198"/>
    <x v="1"/>
    <x v="49"/>
    <x v="1"/>
    <x v="33"/>
    <x v="1"/>
    <x v="481"/>
    <x v="42"/>
    <x v="4"/>
    <x v="4"/>
  </r>
  <r>
    <x v="1198"/>
    <x v="2"/>
    <x v="36"/>
    <x v="1"/>
    <x v="24"/>
    <x v="3"/>
    <x v="288"/>
    <x v="32"/>
    <x v="5"/>
    <x v="5"/>
  </r>
  <r>
    <x v="1199"/>
    <x v="0"/>
    <x v="41"/>
    <x v="1"/>
    <x v="27"/>
    <x v="0"/>
    <x v="194"/>
    <x v="36"/>
    <x v="1"/>
    <x v="1"/>
  </r>
  <r>
    <x v="1200"/>
    <x v="0"/>
    <x v="43"/>
    <x v="0"/>
    <x v="15"/>
    <x v="1"/>
    <x v="75"/>
    <x v="31"/>
    <x v="0"/>
    <x v="0"/>
  </r>
  <r>
    <x v="1200"/>
    <x v="1"/>
    <x v="17"/>
    <x v="0"/>
    <x v="11"/>
    <x v="2"/>
    <x v="18"/>
    <x v="15"/>
    <x v="0"/>
    <x v="0"/>
  </r>
  <r>
    <x v="1200"/>
    <x v="2"/>
    <x v="8"/>
    <x v="0"/>
    <x v="0"/>
    <x v="0"/>
    <x v="0"/>
    <x v="3"/>
    <x v="0"/>
    <x v="0"/>
  </r>
  <r>
    <x v="1200"/>
    <x v="3"/>
    <x v="7"/>
    <x v="1"/>
    <x v="6"/>
    <x v="2"/>
    <x v="27"/>
    <x v="7"/>
    <x v="0"/>
    <x v="0"/>
  </r>
  <r>
    <x v="1200"/>
    <x v="4"/>
    <x v="23"/>
    <x v="1"/>
    <x v="7"/>
    <x v="0"/>
    <x v="83"/>
    <x v="20"/>
    <x v="0"/>
    <x v="0"/>
  </r>
  <r>
    <x v="1201"/>
    <x v="0"/>
    <x v="73"/>
    <x v="1"/>
    <x v="49"/>
    <x v="2"/>
    <x v="452"/>
    <x v="66"/>
    <x v="4"/>
    <x v="4"/>
  </r>
  <r>
    <x v="1202"/>
    <x v="0"/>
    <x v="18"/>
    <x v="1"/>
    <x v="14"/>
    <x v="1"/>
    <x v="138"/>
    <x v="16"/>
    <x v="1"/>
    <x v="1"/>
  </r>
  <r>
    <x v="1202"/>
    <x v="1"/>
    <x v="66"/>
    <x v="0"/>
    <x v="45"/>
    <x v="2"/>
    <x v="433"/>
    <x v="59"/>
    <x v="6"/>
    <x v="6"/>
  </r>
  <r>
    <x v="1203"/>
    <x v="0"/>
    <x v="88"/>
    <x v="1"/>
    <x v="55"/>
    <x v="1"/>
    <x v="218"/>
    <x v="81"/>
    <x v="1"/>
    <x v="1"/>
  </r>
  <r>
    <x v="1204"/>
    <x v="0"/>
    <x v="86"/>
    <x v="1"/>
    <x v="54"/>
    <x v="0"/>
    <x v="350"/>
    <x v="79"/>
    <x v="5"/>
    <x v="5"/>
  </r>
  <r>
    <x v="1204"/>
    <x v="1"/>
    <x v="109"/>
    <x v="1"/>
    <x v="64"/>
    <x v="0"/>
    <x v="387"/>
    <x v="101"/>
    <x v="1"/>
    <x v="1"/>
  </r>
  <r>
    <x v="1204"/>
    <x v="2"/>
    <x v="68"/>
    <x v="0"/>
    <x v="24"/>
    <x v="2"/>
    <x v="205"/>
    <x v="61"/>
    <x v="0"/>
    <x v="0"/>
  </r>
  <r>
    <x v="1204"/>
    <x v="3"/>
    <x v="47"/>
    <x v="1"/>
    <x v="32"/>
    <x v="1"/>
    <x v="370"/>
    <x v="41"/>
    <x v="0"/>
    <x v="0"/>
  </r>
  <r>
    <x v="1204"/>
    <x v="4"/>
    <x v="102"/>
    <x v="0"/>
    <x v="30"/>
    <x v="3"/>
    <x v="276"/>
    <x v="94"/>
    <x v="4"/>
    <x v="4"/>
  </r>
  <r>
    <x v="1205"/>
    <x v="0"/>
    <x v="30"/>
    <x v="0"/>
    <x v="5"/>
    <x v="1"/>
    <x v="116"/>
    <x v="26"/>
    <x v="0"/>
    <x v="0"/>
  </r>
  <r>
    <x v="1205"/>
    <x v="1"/>
    <x v="61"/>
    <x v="0"/>
    <x v="4"/>
    <x v="0"/>
    <x v="90"/>
    <x v="54"/>
    <x v="1"/>
    <x v="1"/>
  </r>
  <r>
    <x v="1206"/>
    <x v="0"/>
    <x v="77"/>
    <x v="0"/>
    <x v="51"/>
    <x v="2"/>
    <x v="482"/>
    <x v="70"/>
    <x v="5"/>
    <x v="5"/>
  </r>
  <r>
    <x v="1206"/>
    <x v="1"/>
    <x v="27"/>
    <x v="0"/>
    <x v="20"/>
    <x v="3"/>
    <x v="309"/>
    <x v="23"/>
    <x v="5"/>
    <x v="5"/>
  </r>
  <r>
    <x v="1206"/>
    <x v="2"/>
    <x v="19"/>
    <x v="0"/>
    <x v="15"/>
    <x v="1"/>
    <x v="75"/>
    <x v="17"/>
    <x v="4"/>
    <x v="4"/>
  </r>
  <r>
    <x v="1207"/>
    <x v="0"/>
    <x v="10"/>
    <x v="0"/>
    <x v="8"/>
    <x v="0"/>
    <x v="57"/>
    <x v="9"/>
    <x v="0"/>
    <x v="0"/>
  </r>
  <r>
    <x v="1207"/>
    <x v="1"/>
    <x v="105"/>
    <x v="1"/>
    <x v="63"/>
    <x v="1"/>
    <x v="306"/>
    <x v="97"/>
    <x v="0"/>
    <x v="0"/>
  </r>
  <r>
    <x v="1207"/>
    <x v="2"/>
    <x v="106"/>
    <x v="1"/>
    <x v="39"/>
    <x v="0"/>
    <x v="355"/>
    <x v="98"/>
    <x v="4"/>
    <x v="4"/>
  </r>
  <r>
    <x v="1207"/>
    <x v="3"/>
    <x v="17"/>
    <x v="1"/>
    <x v="11"/>
    <x v="3"/>
    <x v="23"/>
    <x v="15"/>
    <x v="0"/>
    <x v="0"/>
  </r>
  <r>
    <x v="1207"/>
    <x v="4"/>
    <x v="108"/>
    <x v="0"/>
    <x v="37"/>
    <x v="1"/>
    <x v="461"/>
    <x v="100"/>
    <x v="4"/>
    <x v="4"/>
  </r>
  <r>
    <x v="1208"/>
    <x v="0"/>
    <x v="84"/>
    <x v="0"/>
    <x v="30"/>
    <x v="1"/>
    <x v="158"/>
    <x v="77"/>
    <x v="4"/>
    <x v="4"/>
  </r>
  <r>
    <x v="1208"/>
    <x v="1"/>
    <x v="44"/>
    <x v="0"/>
    <x v="29"/>
    <x v="2"/>
    <x v="277"/>
    <x v="38"/>
    <x v="4"/>
    <x v="4"/>
  </r>
  <r>
    <x v="1209"/>
    <x v="0"/>
    <x v="8"/>
    <x v="0"/>
    <x v="0"/>
    <x v="3"/>
    <x v="12"/>
    <x v="3"/>
    <x v="0"/>
    <x v="0"/>
  </r>
  <r>
    <x v="1209"/>
    <x v="1"/>
    <x v="18"/>
    <x v="1"/>
    <x v="14"/>
    <x v="1"/>
    <x v="138"/>
    <x v="16"/>
    <x v="1"/>
    <x v="1"/>
  </r>
  <r>
    <x v="1209"/>
    <x v="2"/>
    <x v="46"/>
    <x v="1"/>
    <x v="31"/>
    <x v="2"/>
    <x v="437"/>
    <x v="40"/>
    <x v="0"/>
    <x v="0"/>
  </r>
  <r>
    <x v="1209"/>
    <x v="3"/>
    <x v="73"/>
    <x v="0"/>
    <x v="49"/>
    <x v="3"/>
    <x v="198"/>
    <x v="66"/>
    <x v="4"/>
    <x v="4"/>
  </r>
  <r>
    <x v="1209"/>
    <x v="4"/>
    <x v="100"/>
    <x v="1"/>
    <x v="61"/>
    <x v="2"/>
    <x v="323"/>
    <x v="92"/>
    <x v="1"/>
    <x v="1"/>
  </r>
  <r>
    <x v="1210"/>
    <x v="0"/>
    <x v="12"/>
    <x v="1"/>
    <x v="10"/>
    <x v="0"/>
    <x v="48"/>
    <x v="11"/>
    <x v="0"/>
    <x v="0"/>
  </r>
  <r>
    <x v="1210"/>
    <x v="1"/>
    <x v="64"/>
    <x v="0"/>
    <x v="44"/>
    <x v="2"/>
    <x v="227"/>
    <x v="57"/>
    <x v="6"/>
    <x v="6"/>
  </r>
  <r>
    <x v="1210"/>
    <x v="2"/>
    <x v="102"/>
    <x v="0"/>
    <x v="30"/>
    <x v="0"/>
    <x v="269"/>
    <x v="94"/>
    <x v="4"/>
    <x v="4"/>
  </r>
  <r>
    <x v="1210"/>
    <x v="3"/>
    <x v="101"/>
    <x v="0"/>
    <x v="30"/>
    <x v="3"/>
    <x v="276"/>
    <x v="93"/>
    <x v="4"/>
    <x v="4"/>
  </r>
  <r>
    <x v="1210"/>
    <x v="4"/>
    <x v="75"/>
    <x v="1"/>
    <x v="19"/>
    <x v="0"/>
    <x v="364"/>
    <x v="68"/>
    <x v="5"/>
    <x v="5"/>
  </r>
  <r>
    <x v="1211"/>
    <x v="0"/>
    <x v="51"/>
    <x v="0"/>
    <x v="35"/>
    <x v="3"/>
    <x v="337"/>
    <x v="44"/>
    <x v="0"/>
    <x v="0"/>
  </r>
  <r>
    <x v="1211"/>
    <x v="1"/>
    <x v="88"/>
    <x v="1"/>
    <x v="55"/>
    <x v="1"/>
    <x v="218"/>
    <x v="81"/>
    <x v="1"/>
    <x v="1"/>
  </r>
  <r>
    <x v="1211"/>
    <x v="2"/>
    <x v="62"/>
    <x v="1"/>
    <x v="42"/>
    <x v="2"/>
    <x v="199"/>
    <x v="55"/>
    <x v="1"/>
    <x v="1"/>
  </r>
  <r>
    <x v="1211"/>
    <x v="3"/>
    <x v="39"/>
    <x v="1"/>
    <x v="19"/>
    <x v="1"/>
    <x v="154"/>
    <x v="22"/>
    <x v="0"/>
    <x v="0"/>
  </r>
  <r>
    <x v="1212"/>
    <x v="0"/>
    <x v="38"/>
    <x v="1"/>
    <x v="26"/>
    <x v="1"/>
    <x v="184"/>
    <x v="34"/>
    <x v="0"/>
    <x v="0"/>
  </r>
  <r>
    <x v="1212"/>
    <x v="1"/>
    <x v="46"/>
    <x v="0"/>
    <x v="31"/>
    <x v="1"/>
    <x v="280"/>
    <x v="40"/>
    <x v="0"/>
    <x v="0"/>
  </r>
  <r>
    <x v="1212"/>
    <x v="2"/>
    <x v="48"/>
    <x v="1"/>
    <x v="26"/>
    <x v="3"/>
    <x v="270"/>
    <x v="34"/>
    <x v="0"/>
    <x v="0"/>
  </r>
  <r>
    <x v="1212"/>
    <x v="3"/>
    <x v="12"/>
    <x v="0"/>
    <x v="10"/>
    <x v="2"/>
    <x v="119"/>
    <x v="11"/>
    <x v="0"/>
    <x v="0"/>
  </r>
  <r>
    <x v="1213"/>
    <x v="0"/>
    <x v="11"/>
    <x v="1"/>
    <x v="9"/>
    <x v="2"/>
    <x v="126"/>
    <x v="10"/>
    <x v="3"/>
    <x v="3"/>
  </r>
  <r>
    <x v="1213"/>
    <x v="1"/>
    <x v="14"/>
    <x v="0"/>
    <x v="12"/>
    <x v="0"/>
    <x v="137"/>
    <x v="13"/>
    <x v="1"/>
    <x v="1"/>
  </r>
  <r>
    <x v="1213"/>
    <x v="2"/>
    <x v="13"/>
    <x v="0"/>
    <x v="11"/>
    <x v="2"/>
    <x v="18"/>
    <x v="12"/>
    <x v="0"/>
    <x v="0"/>
  </r>
  <r>
    <x v="1213"/>
    <x v="3"/>
    <x v="104"/>
    <x v="1"/>
    <x v="62"/>
    <x v="3"/>
    <x v="345"/>
    <x v="96"/>
    <x v="0"/>
    <x v="0"/>
  </r>
  <r>
    <x v="1213"/>
    <x v="4"/>
    <x v="50"/>
    <x v="1"/>
    <x v="34"/>
    <x v="0"/>
    <x v="166"/>
    <x v="43"/>
    <x v="0"/>
    <x v="0"/>
  </r>
  <r>
    <x v="1214"/>
    <x v="0"/>
    <x v="30"/>
    <x v="1"/>
    <x v="5"/>
    <x v="3"/>
    <x v="8"/>
    <x v="26"/>
    <x v="0"/>
    <x v="0"/>
  </r>
  <r>
    <x v="1214"/>
    <x v="1"/>
    <x v="2"/>
    <x v="1"/>
    <x v="2"/>
    <x v="1"/>
    <x v="46"/>
    <x v="2"/>
    <x v="2"/>
    <x v="2"/>
  </r>
  <r>
    <x v="1215"/>
    <x v="0"/>
    <x v="38"/>
    <x v="1"/>
    <x v="26"/>
    <x v="3"/>
    <x v="270"/>
    <x v="34"/>
    <x v="0"/>
    <x v="0"/>
  </r>
  <r>
    <x v="1215"/>
    <x v="1"/>
    <x v="59"/>
    <x v="0"/>
    <x v="41"/>
    <x v="2"/>
    <x v="361"/>
    <x v="52"/>
    <x v="6"/>
    <x v="6"/>
  </r>
  <r>
    <x v="1215"/>
    <x v="2"/>
    <x v="23"/>
    <x v="0"/>
    <x v="7"/>
    <x v="0"/>
    <x v="59"/>
    <x v="20"/>
    <x v="0"/>
    <x v="0"/>
  </r>
  <r>
    <x v="1215"/>
    <x v="3"/>
    <x v="55"/>
    <x v="1"/>
    <x v="38"/>
    <x v="1"/>
    <x v="171"/>
    <x v="48"/>
    <x v="5"/>
    <x v="5"/>
  </r>
  <r>
    <x v="1215"/>
    <x v="4"/>
    <x v="52"/>
    <x v="0"/>
    <x v="28"/>
    <x v="3"/>
    <x v="168"/>
    <x v="45"/>
    <x v="1"/>
    <x v="1"/>
  </r>
  <r>
    <x v="1216"/>
    <x v="0"/>
    <x v="30"/>
    <x v="0"/>
    <x v="5"/>
    <x v="2"/>
    <x v="132"/>
    <x v="26"/>
    <x v="0"/>
    <x v="0"/>
  </r>
  <r>
    <x v="1216"/>
    <x v="1"/>
    <x v="26"/>
    <x v="1"/>
    <x v="19"/>
    <x v="2"/>
    <x v="150"/>
    <x v="22"/>
    <x v="0"/>
    <x v="0"/>
  </r>
  <r>
    <x v="1217"/>
    <x v="0"/>
    <x v="33"/>
    <x v="0"/>
    <x v="14"/>
    <x v="1"/>
    <x v="29"/>
    <x v="29"/>
    <x v="1"/>
    <x v="1"/>
  </r>
  <r>
    <x v="1217"/>
    <x v="1"/>
    <x v="48"/>
    <x v="1"/>
    <x v="26"/>
    <x v="2"/>
    <x v="162"/>
    <x v="34"/>
    <x v="0"/>
    <x v="0"/>
  </r>
  <r>
    <x v="1218"/>
    <x v="0"/>
    <x v="7"/>
    <x v="1"/>
    <x v="6"/>
    <x v="1"/>
    <x v="100"/>
    <x v="7"/>
    <x v="0"/>
    <x v="0"/>
  </r>
  <r>
    <x v="1218"/>
    <x v="1"/>
    <x v="37"/>
    <x v="1"/>
    <x v="25"/>
    <x v="3"/>
    <x v="279"/>
    <x v="33"/>
    <x v="2"/>
    <x v="2"/>
  </r>
  <r>
    <x v="1218"/>
    <x v="2"/>
    <x v="95"/>
    <x v="1"/>
    <x v="23"/>
    <x v="0"/>
    <x v="377"/>
    <x v="87"/>
    <x v="1"/>
    <x v="1"/>
  </r>
  <r>
    <x v="1219"/>
    <x v="0"/>
    <x v="42"/>
    <x v="1"/>
    <x v="28"/>
    <x v="3"/>
    <x v="418"/>
    <x v="37"/>
    <x v="1"/>
    <x v="1"/>
  </r>
  <r>
    <x v="1219"/>
    <x v="1"/>
    <x v="60"/>
    <x v="0"/>
    <x v="25"/>
    <x v="0"/>
    <x v="152"/>
    <x v="53"/>
    <x v="6"/>
    <x v="6"/>
  </r>
  <r>
    <x v="1219"/>
    <x v="2"/>
    <x v="25"/>
    <x v="1"/>
    <x v="18"/>
    <x v="0"/>
    <x v="144"/>
    <x v="21"/>
    <x v="4"/>
    <x v="4"/>
  </r>
  <r>
    <x v="1220"/>
    <x v="0"/>
    <x v="96"/>
    <x v="0"/>
    <x v="26"/>
    <x v="2"/>
    <x v="275"/>
    <x v="88"/>
    <x v="4"/>
    <x v="4"/>
  </r>
  <r>
    <x v="1220"/>
    <x v="1"/>
    <x v="89"/>
    <x v="1"/>
    <x v="56"/>
    <x v="2"/>
    <x v="220"/>
    <x v="82"/>
    <x v="0"/>
    <x v="0"/>
  </r>
  <r>
    <x v="1220"/>
    <x v="2"/>
    <x v="41"/>
    <x v="1"/>
    <x v="27"/>
    <x v="3"/>
    <x v="483"/>
    <x v="36"/>
    <x v="1"/>
    <x v="1"/>
  </r>
  <r>
    <x v="1220"/>
    <x v="3"/>
    <x v="83"/>
    <x v="1"/>
    <x v="8"/>
    <x v="3"/>
    <x v="97"/>
    <x v="76"/>
    <x v="1"/>
    <x v="1"/>
  </r>
  <r>
    <x v="1220"/>
    <x v="4"/>
    <x v="44"/>
    <x v="1"/>
    <x v="29"/>
    <x v="1"/>
    <x v="172"/>
    <x v="38"/>
    <x v="4"/>
    <x v="4"/>
  </r>
  <r>
    <x v="1221"/>
    <x v="0"/>
    <x v="44"/>
    <x v="0"/>
    <x v="29"/>
    <x v="0"/>
    <x v="344"/>
    <x v="38"/>
    <x v="4"/>
    <x v="4"/>
  </r>
  <r>
    <x v="1222"/>
    <x v="0"/>
    <x v="27"/>
    <x v="0"/>
    <x v="20"/>
    <x v="2"/>
    <x v="146"/>
    <x v="23"/>
    <x v="5"/>
    <x v="5"/>
  </r>
  <r>
    <x v="1223"/>
    <x v="0"/>
    <x v="37"/>
    <x v="0"/>
    <x v="25"/>
    <x v="1"/>
    <x v="222"/>
    <x v="33"/>
    <x v="2"/>
    <x v="2"/>
  </r>
  <r>
    <x v="1223"/>
    <x v="1"/>
    <x v="80"/>
    <x v="0"/>
    <x v="53"/>
    <x v="3"/>
    <x v="422"/>
    <x v="73"/>
    <x v="6"/>
    <x v="6"/>
  </r>
  <r>
    <x v="1223"/>
    <x v="2"/>
    <x v="75"/>
    <x v="0"/>
    <x v="19"/>
    <x v="2"/>
    <x v="399"/>
    <x v="68"/>
    <x v="5"/>
    <x v="5"/>
  </r>
  <r>
    <x v="1223"/>
    <x v="3"/>
    <x v="33"/>
    <x v="0"/>
    <x v="14"/>
    <x v="0"/>
    <x v="63"/>
    <x v="29"/>
    <x v="1"/>
    <x v="1"/>
  </r>
  <r>
    <x v="1224"/>
    <x v="0"/>
    <x v="89"/>
    <x v="0"/>
    <x v="56"/>
    <x v="3"/>
    <x v="369"/>
    <x v="82"/>
    <x v="0"/>
    <x v="0"/>
  </r>
  <r>
    <x v="1224"/>
    <x v="1"/>
    <x v="64"/>
    <x v="1"/>
    <x v="44"/>
    <x v="3"/>
    <x v="392"/>
    <x v="57"/>
    <x v="6"/>
    <x v="6"/>
  </r>
  <r>
    <x v="1224"/>
    <x v="2"/>
    <x v="18"/>
    <x v="1"/>
    <x v="14"/>
    <x v="3"/>
    <x v="110"/>
    <x v="16"/>
    <x v="1"/>
    <x v="1"/>
  </r>
  <r>
    <x v="1225"/>
    <x v="0"/>
    <x v="104"/>
    <x v="1"/>
    <x v="62"/>
    <x v="2"/>
    <x v="316"/>
    <x v="96"/>
    <x v="0"/>
    <x v="0"/>
  </r>
  <r>
    <x v="1225"/>
    <x v="1"/>
    <x v="70"/>
    <x v="0"/>
    <x v="48"/>
    <x v="0"/>
    <x v="415"/>
    <x v="63"/>
    <x v="4"/>
    <x v="4"/>
  </r>
  <r>
    <x v="1225"/>
    <x v="2"/>
    <x v="16"/>
    <x v="1"/>
    <x v="13"/>
    <x v="1"/>
    <x v="136"/>
    <x v="14"/>
    <x v="2"/>
    <x v="2"/>
  </r>
  <r>
    <x v="1225"/>
    <x v="3"/>
    <x v="80"/>
    <x v="0"/>
    <x v="53"/>
    <x v="1"/>
    <x v="477"/>
    <x v="73"/>
    <x v="6"/>
    <x v="6"/>
  </r>
  <r>
    <x v="1225"/>
    <x v="4"/>
    <x v="41"/>
    <x v="0"/>
    <x v="27"/>
    <x v="3"/>
    <x v="367"/>
    <x v="36"/>
    <x v="1"/>
    <x v="1"/>
  </r>
  <r>
    <x v="1226"/>
    <x v="0"/>
    <x v="45"/>
    <x v="1"/>
    <x v="30"/>
    <x v="0"/>
    <x v="266"/>
    <x v="39"/>
    <x v="4"/>
    <x v="4"/>
  </r>
  <r>
    <x v="1226"/>
    <x v="1"/>
    <x v="99"/>
    <x v="0"/>
    <x v="60"/>
    <x v="1"/>
    <x v="411"/>
    <x v="91"/>
    <x v="1"/>
    <x v="1"/>
  </r>
  <r>
    <x v="1226"/>
    <x v="2"/>
    <x v="8"/>
    <x v="0"/>
    <x v="0"/>
    <x v="2"/>
    <x v="7"/>
    <x v="3"/>
    <x v="0"/>
    <x v="0"/>
  </r>
  <r>
    <x v="1226"/>
    <x v="3"/>
    <x v="1"/>
    <x v="0"/>
    <x v="1"/>
    <x v="1"/>
    <x v="31"/>
    <x v="1"/>
    <x v="1"/>
    <x v="1"/>
  </r>
  <r>
    <x v="1226"/>
    <x v="4"/>
    <x v="41"/>
    <x v="1"/>
    <x v="27"/>
    <x v="0"/>
    <x v="194"/>
    <x v="36"/>
    <x v="1"/>
    <x v="1"/>
  </r>
  <r>
    <x v="1227"/>
    <x v="0"/>
    <x v="102"/>
    <x v="0"/>
    <x v="30"/>
    <x v="0"/>
    <x v="269"/>
    <x v="94"/>
    <x v="4"/>
    <x v="4"/>
  </r>
  <r>
    <x v="1227"/>
    <x v="1"/>
    <x v="66"/>
    <x v="1"/>
    <x v="45"/>
    <x v="0"/>
    <x v="234"/>
    <x v="59"/>
    <x v="6"/>
    <x v="6"/>
  </r>
  <r>
    <x v="1227"/>
    <x v="2"/>
    <x v="0"/>
    <x v="1"/>
    <x v="0"/>
    <x v="2"/>
    <x v="3"/>
    <x v="0"/>
    <x v="0"/>
    <x v="0"/>
  </r>
  <r>
    <x v="1228"/>
    <x v="0"/>
    <x v="107"/>
    <x v="1"/>
    <x v="61"/>
    <x v="1"/>
    <x v="317"/>
    <x v="99"/>
    <x v="1"/>
    <x v="1"/>
  </r>
  <r>
    <x v="1228"/>
    <x v="1"/>
    <x v="32"/>
    <x v="1"/>
    <x v="23"/>
    <x v="3"/>
    <x v="149"/>
    <x v="28"/>
    <x v="3"/>
    <x v="3"/>
  </r>
  <r>
    <x v="1229"/>
    <x v="0"/>
    <x v="33"/>
    <x v="1"/>
    <x v="14"/>
    <x v="3"/>
    <x v="110"/>
    <x v="29"/>
    <x v="1"/>
    <x v="1"/>
  </r>
  <r>
    <x v="1229"/>
    <x v="1"/>
    <x v="83"/>
    <x v="1"/>
    <x v="8"/>
    <x v="1"/>
    <x v="30"/>
    <x v="76"/>
    <x v="1"/>
    <x v="1"/>
  </r>
  <r>
    <x v="1230"/>
    <x v="0"/>
    <x v="85"/>
    <x v="1"/>
    <x v="0"/>
    <x v="2"/>
    <x v="3"/>
    <x v="78"/>
    <x v="0"/>
    <x v="0"/>
  </r>
  <r>
    <x v="1230"/>
    <x v="1"/>
    <x v="63"/>
    <x v="0"/>
    <x v="43"/>
    <x v="1"/>
    <x v="348"/>
    <x v="56"/>
    <x v="0"/>
    <x v="0"/>
  </r>
  <r>
    <x v="1231"/>
    <x v="0"/>
    <x v="4"/>
    <x v="1"/>
    <x v="3"/>
    <x v="1"/>
    <x v="127"/>
    <x v="4"/>
    <x v="1"/>
    <x v="1"/>
  </r>
  <r>
    <x v="1231"/>
    <x v="1"/>
    <x v="55"/>
    <x v="1"/>
    <x v="38"/>
    <x v="2"/>
    <x v="462"/>
    <x v="48"/>
    <x v="5"/>
    <x v="5"/>
  </r>
  <r>
    <x v="1231"/>
    <x v="2"/>
    <x v="18"/>
    <x v="1"/>
    <x v="14"/>
    <x v="0"/>
    <x v="117"/>
    <x v="16"/>
    <x v="1"/>
    <x v="1"/>
  </r>
  <r>
    <x v="1232"/>
    <x v="0"/>
    <x v="108"/>
    <x v="1"/>
    <x v="37"/>
    <x v="0"/>
    <x v="229"/>
    <x v="100"/>
    <x v="4"/>
    <x v="4"/>
  </r>
  <r>
    <x v="1232"/>
    <x v="1"/>
    <x v="32"/>
    <x v="1"/>
    <x v="23"/>
    <x v="3"/>
    <x v="149"/>
    <x v="28"/>
    <x v="3"/>
    <x v="3"/>
  </r>
  <r>
    <x v="1232"/>
    <x v="2"/>
    <x v="66"/>
    <x v="0"/>
    <x v="45"/>
    <x v="0"/>
    <x v="206"/>
    <x v="59"/>
    <x v="6"/>
    <x v="6"/>
  </r>
  <r>
    <x v="1233"/>
    <x v="0"/>
    <x v="28"/>
    <x v="1"/>
    <x v="21"/>
    <x v="1"/>
    <x v="354"/>
    <x v="24"/>
    <x v="6"/>
    <x v="6"/>
  </r>
  <r>
    <x v="1233"/>
    <x v="1"/>
    <x v="68"/>
    <x v="1"/>
    <x v="24"/>
    <x v="1"/>
    <x v="207"/>
    <x v="61"/>
    <x v="0"/>
    <x v="0"/>
  </r>
  <r>
    <x v="1234"/>
    <x v="0"/>
    <x v="14"/>
    <x v="0"/>
    <x v="12"/>
    <x v="3"/>
    <x v="40"/>
    <x v="13"/>
    <x v="1"/>
    <x v="1"/>
  </r>
  <r>
    <x v="1235"/>
    <x v="0"/>
    <x v="91"/>
    <x v="0"/>
    <x v="57"/>
    <x v="1"/>
    <x v="456"/>
    <x v="84"/>
    <x v="3"/>
    <x v="3"/>
  </r>
  <r>
    <x v="1235"/>
    <x v="1"/>
    <x v="33"/>
    <x v="1"/>
    <x v="14"/>
    <x v="2"/>
    <x v="124"/>
    <x v="29"/>
    <x v="1"/>
    <x v="1"/>
  </r>
  <r>
    <x v="1235"/>
    <x v="2"/>
    <x v="87"/>
    <x v="0"/>
    <x v="29"/>
    <x v="3"/>
    <x v="283"/>
    <x v="80"/>
    <x v="4"/>
    <x v="4"/>
  </r>
  <r>
    <x v="1236"/>
    <x v="0"/>
    <x v="19"/>
    <x v="0"/>
    <x v="15"/>
    <x v="3"/>
    <x v="37"/>
    <x v="17"/>
    <x v="4"/>
    <x v="4"/>
  </r>
  <r>
    <x v="1236"/>
    <x v="1"/>
    <x v="108"/>
    <x v="1"/>
    <x v="37"/>
    <x v="3"/>
    <x v="351"/>
    <x v="100"/>
    <x v="4"/>
    <x v="4"/>
  </r>
  <r>
    <x v="1236"/>
    <x v="2"/>
    <x v="43"/>
    <x v="1"/>
    <x v="15"/>
    <x v="0"/>
    <x v="33"/>
    <x v="31"/>
    <x v="0"/>
    <x v="0"/>
  </r>
  <r>
    <x v="1236"/>
    <x v="3"/>
    <x v="66"/>
    <x v="1"/>
    <x v="45"/>
    <x v="1"/>
    <x v="359"/>
    <x v="59"/>
    <x v="6"/>
    <x v="6"/>
  </r>
  <r>
    <x v="1236"/>
    <x v="4"/>
    <x v="22"/>
    <x v="0"/>
    <x v="17"/>
    <x v="1"/>
    <x v="88"/>
    <x v="19"/>
    <x v="5"/>
    <x v="5"/>
  </r>
  <r>
    <x v="1237"/>
    <x v="0"/>
    <x v="95"/>
    <x v="0"/>
    <x v="23"/>
    <x v="3"/>
    <x v="253"/>
    <x v="87"/>
    <x v="1"/>
    <x v="1"/>
  </r>
  <r>
    <x v="1237"/>
    <x v="1"/>
    <x v="15"/>
    <x v="0"/>
    <x v="11"/>
    <x v="3"/>
    <x v="21"/>
    <x v="12"/>
    <x v="0"/>
    <x v="0"/>
  </r>
  <r>
    <x v="1237"/>
    <x v="2"/>
    <x v="40"/>
    <x v="1"/>
    <x v="15"/>
    <x v="0"/>
    <x v="33"/>
    <x v="35"/>
    <x v="4"/>
    <x v="4"/>
  </r>
  <r>
    <x v="1237"/>
    <x v="3"/>
    <x v="70"/>
    <x v="0"/>
    <x v="48"/>
    <x v="3"/>
    <x v="439"/>
    <x v="63"/>
    <x v="4"/>
    <x v="4"/>
  </r>
  <r>
    <x v="1238"/>
    <x v="0"/>
    <x v="12"/>
    <x v="1"/>
    <x v="10"/>
    <x v="0"/>
    <x v="48"/>
    <x v="11"/>
    <x v="0"/>
    <x v="0"/>
  </r>
  <r>
    <x v="1238"/>
    <x v="1"/>
    <x v="87"/>
    <x v="0"/>
    <x v="29"/>
    <x v="3"/>
    <x v="283"/>
    <x v="80"/>
    <x v="4"/>
    <x v="4"/>
  </r>
  <r>
    <x v="1238"/>
    <x v="2"/>
    <x v="98"/>
    <x v="1"/>
    <x v="14"/>
    <x v="3"/>
    <x v="110"/>
    <x v="90"/>
    <x v="1"/>
    <x v="1"/>
  </r>
  <r>
    <x v="1238"/>
    <x v="3"/>
    <x v="107"/>
    <x v="0"/>
    <x v="61"/>
    <x v="2"/>
    <x v="459"/>
    <x v="99"/>
    <x v="1"/>
    <x v="1"/>
  </r>
  <r>
    <x v="1239"/>
    <x v="0"/>
    <x v="92"/>
    <x v="1"/>
    <x v="24"/>
    <x v="3"/>
    <x v="288"/>
    <x v="72"/>
    <x v="0"/>
    <x v="0"/>
  </r>
  <r>
    <x v="1239"/>
    <x v="1"/>
    <x v="19"/>
    <x v="1"/>
    <x v="15"/>
    <x v="2"/>
    <x v="89"/>
    <x v="17"/>
    <x v="4"/>
    <x v="4"/>
  </r>
  <r>
    <x v="1239"/>
    <x v="2"/>
    <x v="12"/>
    <x v="1"/>
    <x v="10"/>
    <x v="0"/>
    <x v="48"/>
    <x v="11"/>
    <x v="0"/>
    <x v="0"/>
  </r>
  <r>
    <x v="1239"/>
    <x v="3"/>
    <x v="104"/>
    <x v="1"/>
    <x v="62"/>
    <x v="2"/>
    <x v="316"/>
    <x v="96"/>
    <x v="0"/>
    <x v="0"/>
  </r>
  <r>
    <x v="1239"/>
    <x v="4"/>
    <x v="94"/>
    <x v="0"/>
    <x v="59"/>
    <x v="2"/>
    <x v="419"/>
    <x v="86"/>
    <x v="6"/>
    <x v="6"/>
  </r>
  <r>
    <x v="1240"/>
    <x v="0"/>
    <x v="51"/>
    <x v="0"/>
    <x v="35"/>
    <x v="2"/>
    <x v="167"/>
    <x v="44"/>
    <x v="0"/>
    <x v="0"/>
  </r>
  <r>
    <x v="1240"/>
    <x v="1"/>
    <x v="68"/>
    <x v="1"/>
    <x v="24"/>
    <x v="2"/>
    <x v="293"/>
    <x v="61"/>
    <x v="0"/>
    <x v="0"/>
  </r>
  <r>
    <x v="1241"/>
    <x v="0"/>
    <x v="49"/>
    <x v="0"/>
    <x v="33"/>
    <x v="2"/>
    <x v="186"/>
    <x v="42"/>
    <x v="4"/>
    <x v="4"/>
  </r>
  <r>
    <x v="1241"/>
    <x v="1"/>
    <x v="97"/>
    <x v="0"/>
    <x v="4"/>
    <x v="1"/>
    <x v="133"/>
    <x v="89"/>
    <x v="1"/>
    <x v="1"/>
  </r>
  <r>
    <x v="1241"/>
    <x v="2"/>
    <x v="2"/>
    <x v="0"/>
    <x v="2"/>
    <x v="1"/>
    <x v="43"/>
    <x v="2"/>
    <x v="2"/>
    <x v="2"/>
  </r>
  <r>
    <x v="1241"/>
    <x v="3"/>
    <x v="63"/>
    <x v="0"/>
    <x v="43"/>
    <x v="0"/>
    <x v="212"/>
    <x v="56"/>
    <x v="0"/>
    <x v="0"/>
  </r>
  <r>
    <x v="1242"/>
    <x v="0"/>
    <x v="99"/>
    <x v="0"/>
    <x v="60"/>
    <x v="1"/>
    <x v="411"/>
    <x v="91"/>
    <x v="1"/>
    <x v="1"/>
  </r>
  <r>
    <x v="1243"/>
    <x v="0"/>
    <x v="78"/>
    <x v="0"/>
    <x v="52"/>
    <x v="0"/>
    <x v="362"/>
    <x v="71"/>
    <x v="1"/>
    <x v="1"/>
  </r>
  <r>
    <x v="1243"/>
    <x v="1"/>
    <x v="83"/>
    <x v="1"/>
    <x v="8"/>
    <x v="1"/>
    <x v="30"/>
    <x v="76"/>
    <x v="1"/>
    <x v="1"/>
  </r>
  <r>
    <x v="1243"/>
    <x v="2"/>
    <x v="57"/>
    <x v="0"/>
    <x v="14"/>
    <x v="1"/>
    <x v="29"/>
    <x v="50"/>
    <x v="1"/>
    <x v="1"/>
  </r>
  <r>
    <x v="1243"/>
    <x v="3"/>
    <x v="88"/>
    <x v="1"/>
    <x v="55"/>
    <x v="3"/>
    <x v="438"/>
    <x v="81"/>
    <x v="1"/>
    <x v="1"/>
  </r>
  <r>
    <x v="1244"/>
    <x v="0"/>
    <x v="17"/>
    <x v="0"/>
    <x v="11"/>
    <x v="3"/>
    <x v="21"/>
    <x v="15"/>
    <x v="0"/>
    <x v="0"/>
  </r>
  <r>
    <x v="1245"/>
    <x v="0"/>
    <x v="46"/>
    <x v="1"/>
    <x v="31"/>
    <x v="0"/>
    <x v="484"/>
    <x v="40"/>
    <x v="0"/>
    <x v="0"/>
  </r>
  <r>
    <x v="1245"/>
    <x v="1"/>
    <x v="109"/>
    <x v="0"/>
    <x v="64"/>
    <x v="2"/>
    <x v="395"/>
    <x v="101"/>
    <x v="1"/>
    <x v="1"/>
  </r>
  <r>
    <x v="1245"/>
    <x v="2"/>
    <x v="78"/>
    <x v="1"/>
    <x v="52"/>
    <x v="1"/>
    <x v="272"/>
    <x v="71"/>
    <x v="1"/>
    <x v="1"/>
  </r>
  <r>
    <x v="1246"/>
    <x v="0"/>
    <x v="12"/>
    <x v="1"/>
    <x v="10"/>
    <x v="3"/>
    <x v="120"/>
    <x v="11"/>
    <x v="0"/>
    <x v="0"/>
  </r>
  <r>
    <x v="1246"/>
    <x v="1"/>
    <x v="76"/>
    <x v="1"/>
    <x v="50"/>
    <x v="3"/>
    <x v="429"/>
    <x v="69"/>
    <x v="1"/>
    <x v="1"/>
  </r>
  <r>
    <x v="1246"/>
    <x v="2"/>
    <x v="8"/>
    <x v="0"/>
    <x v="0"/>
    <x v="2"/>
    <x v="7"/>
    <x v="3"/>
    <x v="0"/>
    <x v="0"/>
  </r>
  <r>
    <x v="1247"/>
    <x v="0"/>
    <x v="49"/>
    <x v="1"/>
    <x v="33"/>
    <x v="2"/>
    <x v="163"/>
    <x v="42"/>
    <x v="4"/>
    <x v="4"/>
  </r>
  <r>
    <x v="1247"/>
    <x v="1"/>
    <x v="57"/>
    <x v="1"/>
    <x v="14"/>
    <x v="3"/>
    <x v="110"/>
    <x v="50"/>
    <x v="1"/>
    <x v="1"/>
  </r>
  <r>
    <x v="1247"/>
    <x v="2"/>
    <x v="102"/>
    <x v="0"/>
    <x v="30"/>
    <x v="3"/>
    <x v="276"/>
    <x v="94"/>
    <x v="4"/>
    <x v="4"/>
  </r>
  <r>
    <x v="1247"/>
    <x v="3"/>
    <x v="10"/>
    <x v="0"/>
    <x v="8"/>
    <x v="2"/>
    <x v="101"/>
    <x v="9"/>
    <x v="0"/>
    <x v="0"/>
  </r>
  <r>
    <x v="1248"/>
    <x v="0"/>
    <x v="37"/>
    <x v="0"/>
    <x v="25"/>
    <x v="2"/>
    <x v="413"/>
    <x v="33"/>
    <x v="2"/>
    <x v="2"/>
  </r>
  <r>
    <x v="1248"/>
    <x v="1"/>
    <x v="77"/>
    <x v="0"/>
    <x v="51"/>
    <x v="2"/>
    <x v="482"/>
    <x v="70"/>
    <x v="5"/>
    <x v="5"/>
  </r>
  <r>
    <x v="1248"/>
    <x v="2"/>
    <x v="32"/>
    <x v="0"/>
    <x v="23"/>
    <x v="0"/>
    <x v="223"/>
    <x v="28"/>
    <x v="3"/>
    <x v="3"/>
  </r>
  <r>
    <x v="1249"/>
    <x v="0"/>
    <x v="46"/>
    <x v="1"/>
    <x v="31"/>
    <x v="2"/>
    <x v="437"/>
    <x v="40"/>
    <x v="0"/>
    <x v="0"/>
  </r>
  <r>
    <x v="1249"/>
    <x v="1"/>
    <x v="82"/>
    <x v="1"/>
    <x v="34"/>
    <x v="3"/>
    <x v="333"/>
    <x v="75"/>
    <x v="0"/>
    <x v="0"/>
  </r>
  <r>
    <x v="1249"/>
    <x v="2"/>
    <x v="0"/>
    <x v="1"/>
    <x v="0"/>
    <x v="2"/>
    <x v="3"/>
    <x v="0"/>
    <x v="0"/>
    <x v="0"/>
  </r>
  <r>
    <x v="1249"/>
    <x v="3"/>
    <x v="18"/>
    <x v="1"/>
    <x v="14"/>
    <x v="3"/>
    <x v="110"/>
    <x v="16"/>
    <x v="1"/>
    <x v="1"/>
  </r>
  <r>
    <x v="1250"/>
    <x v="0"/>
    <x v="95"/>
    <x v="1"/>
    <x v="23"/>
    <x v="3"/>
    <x v="149"/>
    <x v="87"/>
    <x v="1"/>
    <x v="1"/>
  </r>
  <r>
    <x v="1250"/>
    <x v="1"/>
    <x v="28"/>
    <x v="0"/>
    <x v="21"/>
    <x v="1"/>
    <x v="226"/>
    <x v="24"/>
    <x v="6"/>
    <x v="6"/>
  </r>
  <r>
    <x v="1250"/>
    <x v="2"/>
    <x v="14"/>
    <x v="0"/>
    <x v="12"/>
    <x v="1"/>
    <x v="140"/>
    <x v="13"/>
    <x v="1"/>
    <x v="1"/>
  </r>
  <r>
    <x v="1251"/>
    <x v="0"/>
    <x v="47"/>
    <x v="0"/>
    <x v="32"/>
    <x v="0"/>
    <x v="197"/>
    <x v="41"/>
    <x v="0"/>
    <x v="0"/>
  </r>
  <r>
    <x v="1251"/>
    <x v="1"/>
    <x v="73"/>
    <x v="0"/>
    <x v="49"/>
    <x v="0"/>
    <x v="233"/>
    <x v="66"/>
    <x v="4"/>
    <x v="4"/>
  </r>
  <r>
    <x v="1251"/>
    <x v="2"/>
    <x v="94"/>
    <x v="1"/>
    <x v="59"/>
    <x v="2"/>
    <x v="485"/>
    <x v="86"/>
    <x v="6"/>
    <x v="6"/>
  </r>
  <r>
    <x v="1252"/>
    <x v="0"/>
    <x v="22"/>
    <x v="1"/>
    <x v="17"/>
    <x v="3"/>
    <x v="68"/>
    <x v="19"/>
    <x v="5"/>
    <x v="5"/>
  </r>
  <r>
    <x v="1252"/>
    <x v="1"/>
    <x v="20"/>
    <x v="0"/>
    <x v="11"/>
    <x v="1"/>
    <x v="36"/>
    <x v="15"/>
    <x v="0"/>
    <x v="0"/>
  </r>
  <r>
    <x v="1252"/>
    <x v="2"/>
    <x v="54"/>
    <x v="0"/>
    <x v="37"/>
    <x v="0"/>
    <x v="321"/>
    <x v="47"/>
    <x v="4"/>
    <x v="4"/>
  </r>
  <r>
    <x v="1253"/>
    <x v="0"/>
    <x v="53"/>
    <x v="0"/>
    <x v="36"/>
    <x v="0"/>
    <x v="169"/>
    <x v="46"/>
    <x v="0"/>
    <x v="0"/>
  </r>
  <r>
    <x v="1253"/>
    <x v="1"/>
    <x v="87"/>
    <x v="0"/>
    <x v="29"/>
    <x v="0"/>
    <x v="344"/>
    <x v="80"/>
    <x v="4"/>
    <x v="4"/>
  </r>
  <r>
    <x v="1254"/>
    <x v="0"/>
    <x v="52"/>
    <x v="1"/>
    <x v="28"/>
    <x v="0"/>
    <x v="426"/>
    <x v="45"/>
    <x v="1"/>
    <x v="1"/>
  </r>
  <r>
    <x v="1254"/>
    <x v="1"/>
    <x v="29"/>
    <x v="0"/>
    <x v="5"/>
    <x v="2"/>
    <x v="132"/>
    <x v="25"/>
    <x v="6"/>
    <x v="6"/>
  </r>
  <r>
    <x v="1254"/>
    <x v="2"/>
    <x v="15"/>
    <x v="1"/>
    <x v="11"/>
    <x v="0"/>
    <x v="78"/>
    <x v="12"/>
    <x v="0"/>
    <x v="0"/>
  </r>
  <r>
    <x v="1254"/>
    <x v="3"/>
    <x v="8"/>
    <x v="1"/>
    <x v="0"/>
    <x v="2"/>
    <x v="3"/>
    <x v="3"/>
    <x v="0"/>
    <x v="0"/>
  </r>
  <r>
    <x v="1254"/>
    <x v="4"/>
    <x v="90"/>
    <x v="0"/>
    <x v="43"/>
    <x v="2"/>
    <x v="178"/>
    <x v="83"/>
    <x v="0"/>
    <x v="0"/>
  </r>
  <r>
    <x v="1255"/>
    <x v="0"/>
    <x v="99"/>
    <x v="1"/>
    <x v="60"/>
    <x v="0"/>
    <x v="263"/>
    <x v="91"/>
    <x v="1"/>
    <x v="1"/>
  </r>
  <r>
    <x v="1255"/>
    <x v="1"/>
    <x v="96"/>
    <x v="0"/>
    <x v="26"/>
    <x v="3"/>
    <x v="164"/>
    <x v="88"/>
    <x v="4"/>
    <x v="4"/>
  </r>
  <r>
    <x v="1256"/>
    <x v="0"/>
    <x v="34"/>
    <x v="1"/>
    <x v="4"/>
    <x v="2"/>
    <x v="79"/>
    <x v="30"/>
    <x v="1"/>
    <x v="1"/>
  </r>
  <r>
    <x v="1256"/>
    <x v="1"/>
    <x v="32"/>
    <x v="0"/>
    <x v="23"/>
    <x v="2"/>
    <x v="292"/>
    <x v="28"/>
    <x v="3"/>
    <x v="3"/>
  </r>
  <r>
    <x v="1256"/>
    <x v="2"/>
    <x v="7"/>
    <x v="1"/>
    <x v="6"/>
    <x v="3"/>
    <x v="17"/>
    <x v="7"/>
    <x v="0"/>
    <x v="0"/>
  </r>
  <r>
    <x v="1256"/>
    <x v="3"/>
    <x v="67"/>
    <x v="0"/>
    <x v="46"/>
    <x v="2"/>
    <x v="423"/>
    <x v="60"/>
    <x v="1"/>
    <x v="1"/>
  </r>
  <r>
    <x v="1256"/>
    <x v="4"/>
    <x v="4"/>
    <x v="0"/>
    <x v="3"/>
    <x v="3"/>
    <x v="66"/>
    <x v="4"/>
    <x v="1"/>
    <x v="1"/>
  </r>
  <r>
    <x v="1257"/>
    <x v="0"/>
    <x v="49"/>
    <x v="1"/>
    <x v="33"/>
    <x v="3"/>
    <x v="454"/>
    <x v="42"/>
    <x v="4"/>
    <x v="4"/>
  </r>
  <r>
    <x v="1257"/>
    <x v="1"/>
    <x v="40"/>
    <x v="1"/>
    <x v="15"/>
    <x v="2"/>
    <x v="89"/>
    <x v="35"/>
    <x v="4"/>
    <x v="4"/>
  </r>
  <r>
    <x v="1258"/>
    <x v="0"/>
    <x v="91"/>
    <x v="0"/>
    <x v="57"/>
    <x v="3"/>
    <x v="407"/>
    <x v="84"/>
    <x v="3"/>
    <x v="3"/>
  </r>
  <r>
    <x v="1258"/>
    <x v="1"/>
    <x v="23"/>
    <x v="0"/>
    <x v="7"/>
    <x v="0"/>
    <x v="59"/>
    <x v="20"/>
    <x v="0"/>
    <x v="0"/>
  </r>
  <r>
    <x v="1259"/>
    <x v="0"/>
    <x v="1"/>
    <x v="0"/>
    <x v="1"/>
    <x v="3"/>
    <x v="112"/>
    <x v="1"/>
    <x v="1"/>
    <x v="1"/>
  </r>
  <r>
    <x v="1259"/>
    <x v="1"/>
    <x v="82"/>
    <x v="0"/>
    <x v="34"/>
    <x v="3"/>
    <x v="173"/>
    <x v="75"/>
    <x v="0"/>
    <x v="0"/>
  </r>
  <r>
    <x v="1260"/>
    <x v="0"/>
    <x v="30"/>
    <x v="0"/>
    <x v="5"/>
    <x v="0"/>
    <x v="56"/>
    <x v="26"/>
    <x v="0"/>
    <x v="0"/>
  </r>
  <r>
    <x v="1260"/>
    <x v="1"/>
    <x v="54"/>
    <x v="1"/>
    <x v="37"/>
    <x v="0"/>
    <x v="229"/>
    <x v="47"/>
    <x v="4"/>
    <x v="4"/>
  </r>
  <r>
    <x v="1260"/>
    <x v="2"/>
    <x v="96"/>
    <x v="0"/>
    <x v="26"/>
    <x v="2"/>
    <x v="275"/>
    <x v="88"/>
    <x v="4"/>
    <x v="4"/>
  </r>
  <r>
    <x v="1260"/>
    <x v="3"/>
    <x v="41"/>
    <x v="0"/>
    <x v="27"/>
    <x v="3"/>
    <x v="367"/>
    <x v="36"/>
    <x v="1"/>
    <x v="1"/>
  </r>
  <r>
    <x v="1261"/>
    <x v="0"/>
    <x v="88"/>
    <x v="0"/>
    <x v="55"/>
    <x v="1"/>
    <x v="375"/>
    <x v="81"/>
    <x v="1"/>
    <x v="1"/>
  </r>
  <r>
    <x v="1261"/>
    <x v="1"/>
    <x v="58"/>
    <x v="0"/>
    <x v="40"/>
    <x v="2"/>
    <x v="175"/>
    <x v="51"/>
    <x v="6"/>
    <x v="6"/>
  </r>
  <r>
    <x v="1261"/>
    <x v="2"/>
    <x v="52"/>
    <x v="1"/>
    <x v="28"/>
    <x v="1"/>
    <x v="156"/>
    <x v="45"/>
    <x v="1"/>
    <x v="1"/>
  </r>
  <r>
    <x v="1261"/>
    <x v="3"/>
    <x v="104"/>
    <x v="0"/>
    <x v="62"/>
    <x v="1"/>
    <x v="409"/>
    <x v="96"/>
    <x v="0"/>
    <x v="0"/>
  </r>
  <r>
    <x v="1262"/>
    <x v="0"/>
    <x v="78"/>
    <x v="0"/>
    <x v="52"/>
    <x v="0"/>
    <x v="362"/>
    <x v="71"/>
    <x v="1"/>
    <x v="1"/>
  </r>
  <r>
    <x v="1262"/>
    <x v="1"/>
    <x v="37"/>
    <x v="0"/>
    <x v="25"/>
    <x v="2"/>
    <x v="413"/>
    <x v="33"/>
    <x v="2"/>
    <x v="2"/>
  </r>
  <r>
    <x v="1262"/>
    <x v="2"/>
    <x v="23"/>
    <x v="1"/>
    <x v="7"/>
    <x v="3"/>
    <x v="106"/>
    <x v="20"/>
    <x v="0"/>
    <x v="0"/>
  </r>
  <r>
    <x v="1263"/>
    <x v="0"/>
    <x v="70"/>
    <x v="0"/>
    <x v="48"/>
    <x v="1"/>
    <x v="341"/>
    <x v="63"/>
    <x v="4"/>
    <x v="4"/>
  </r>
  <r>
    <x v="1263"/>
    <x v="1"/>
    <x v="104"/>
    <x v="1"/>
    <x v="62"/>
    <x v="1"/>
    <x v="278"/>
    <x v="96"/>
    <x v="0"/>
    <x v="0"/>
  </r>
  <r>
    <x v="1263"/>
    <x v="2"/>
    <x v="61"/>
    <x v="1"/>
    <x v="4"/>
    <x v="0"/>
    <x v="73"/>
    <x v="54"/>
    <x v="1"/>
    <x v="1"/>
  </r>
  <r>
    <x v="1263"/>
    <x v="3"/>
    <x v="58"/>
    <x v="0"/>
    <x v="40"/>
    <x v="2"/>
    <x v="175"/>
    <x v="51"/>
    <x v="6"/>
    <x v="6"/>
  </r>
  <r>
    <x v="1264"/>
    <x v="0"/>
    <x v="67"/>
    <x v="1"/>
    <x v="46"/>
    <x v="3"/>
    <x v="458"/>
    <x v="60"/>
    <x v="1"/>
    <x v="1"/>
  </r>
  <r>
    <x v="1264"/>
    <x v="1"/>
    <x v="31"/>
    <x v="1"/>
    <x v="22"/>
    <x v="1"/>
    <x v="486"/>
    <x v="27"/>
    <x v="0"/>
    <x v="0"/>
  </r>
  <r>
    <x v="1265"/>
    <x v="0"/>
    <x v="45"/>
    <x v="0"/>
    <x v="30"/>
    <x v="0"/>
    <x v="269"/>
    <x v="39"/>
    <x v="4"/>
    <x v="4"/>
  </r>
  <r>
    <x v="1265"/>
    <x v="1"/>
    <x v="74"/>
    <x v="0"/>
    <x v="42"/>
    <x v="0"/>
    <x v="224"/>
    <x v="67"/>
    <x v="6"/>
    <x v="6"/>
  </r>
  <r>
    <x v="1266"/>
    <x v="0"/>
    <x v="78"/>
    <x v="0"/>
    <x v="52"/>
    <x v="3"/>
    <x v="487"/>
    <x v="71"/>
    <x v="1"/>
    <x v="1"/>
  </r>
  <r>
    <x v="1266"/>
    <x v="1"/>
    <x v="97"/>
    <x v="0"/>
    <x v="4"/>
    <x v="1"/>
    <x v="133"/>
    <x v="89"/>
    <x v="1"/>
    <x v="1"/>
  </r>
  <r>
    <x v="1266"/>
    <x v="2"/>
    <x v="75"/>
    <x v="0"/>
    <x v="19"/>
    <x v="0"/>
    <x v="188"/>
    <x v="68"/>
    <x v="5"/>
    <x v="5"/>
  </r>
  <r>
    <x v="1266"/>
    <x v="3"/>
    <x v="43"/>
    <x v="0"/>
    <x v="15"/>
    <x v="2"/>
    <x v="115"/>
    <x v="31"/>
    <x v="0"/>
    <x v="0"/>
  </r>
  <r>
    <x v="1267"/>
    <x v="0"/>
    <x v="39"/>
    <x v="1"/>
    <x v="19"/>
    <x v="1"/>
    <x v="154"/>
    <x v="22"/>
    <x v="0"/>
    <x v="0"/>
  </r>
  <r>
    <x v="1267"/>
    <x v="1"/>
    <x v="108"/>
    <x v="1"/>
    <x v="37"/>
    <x v="1"/>
    <x v="170"/>
    <x v="100"/>
    <x v="4"/>
    <x v="4"/>
  </r>
  <r>
    <x v="1267"/>
    <x v="2"/>
    <x v="64"/>
    <x v="1"/>
    <x v="44"/>
    <x v="0"/>
    <x v="332"/>
    <x v="57"/>
    <x v="6"/>
    <x v="6"/>
  </r>
  <r>
    <x v="1267"/>
    <x v="3"/>
    <x v="96"/>
    <x v="0"/>
    <x v="26"/>
    <x v="1"/>
    <x v="255"/>
    <x v="88"/>
    <x v="4"/>
    <x v="4"/>
  </r>
  <r>
    <x v="1268"/>
    <x v="0"/>
    <x v="4"/>
    <x v="1"/>
    <x v="3"/>
    <x v="0"/>
    <x v="84"/>
    <x v="4"/>
    <x v="1"/>
    <x v="1"/>
  </r>
  <r>
    <x v="1268"/>
    <x v="1"/>
    <x v="14"/>
    <x v="0"/>
    <x v="12"/>
    <x v="0"/>
    <x v="137"/>
    <x v="13"/>
    <x v="1"/>
    <x v="1"/>
  </r>
  <r>
    <x v="1268"/>
    <x v="2"/>
    <x v="103"/>
    <x v="0"/>
    <x v="38"/>
    <x v="3"/>
    <x v="442"/>
    <x v="95"/>
    <x v="5"/>
    <x v="5"/>
  </r>
  <r>
    <x v="1269"/>
    <x v="0"/>
    <x v="59"/>
    <x v="0"/>
    <x v="41"/>
    <x v="0"/>
    <x v="334"/>
    <x v="52"/>
    <x v="6"/>
    <x v="6"/>
  </r>
  <r>
    <x v="1270"/>
    <x v="0"/>
    <x v="22"/>
    <x v="1"/>
    <x v="17"/>
    <x v="3"/>
    <x v="68"/>
    <x v="19"/>
    <x v="5"/>
    <x v="5"/>
  </r>
  <r>
    <x v="1270"/>
    <x v="1"/>
    <x v="69"/>
    <x v="1"/>
    <x v="47"/>
    <x v="1"/>
    <x v="390"/>
    <x v="62"/>
    <x v="6"/>
    <x v="6"/>
  </r>
  <r>
    <x v="1270"/>
    <x v="2"/>
    <x v="108"/>
    <x v="1"/>
    <x v="37"/>
    <x v="1"/>
    <x v="170"/>
    <x v="100"/>
    <x v="4"/>
    <x v="4"/>
  </r>
  <r>
    <x v="1270"/>
    <x v="3"/>
    <x v="33"/>
    <x v="1"/>
    <x v="14"/>
    <x v="1"/>
    <x v="138"/>
    <x v="29"/>
    <x v="1"/>
    <x v="1"/>
  </r>
  <r>
    <x v="1271"/>
    <x v="0"/>
    <x v="3"/>
    <x v="1"/>
    <x v="0"/>
    <x v="0"/>
    <x v="24"/>
    <x v="3"/>
    <x v="0"/>
    <x v="0"/>
  </r>
  <r>
    <x v="1271"/>
    <x v="1"/>
    <x v="68"/>
    <x v="1"/>
    <x v="24"/>
    <x v="3"/>
    <x v="288"/>
    <x v="61"/>
    <x v="0"/>
    <x v="0"/>
  </r>
  <r>
    <x v="1271"/>
    <x v="2"/>
    <x v="106"/>
    <x v="0"/>
    <x v="39"/>
    <x v="1"/>
    <x v="231"/>
    <x v="98"/>
    <x v="4"/>
    <x v="4"/>
  </r>
  <r>
    <x v="1272"/>
    <x v="0"/>
    <x v="43"/>
    <x v="1"/>
    <x v="15"/>
    <x v="1"/>
    <x v="69"/>
    <x v="31"/>
    <x v="0"/>
    <x v="0"/>
  </r>
  <r>
    <x v="1272"/>
    <x v="1"/>
    <x v="0"/>
    <x v="0"/>
    <x v="0"/>
    <x v="1"/>
    <x v="5"/>
    <x v="0"/>
    <x v="0"/>
    <x v="0"/>
  </r>
  <r>
    <x v="1272"/>
    <x v="2"/>
    <x v="71"/>
    <x v="0"/>
    <x v="23"/>
    <x v="0"/>
    <x v="223"/>
    <x v="64"/>
    <x v="6"/>
    <x v="6"/>
  </r>
  <r>
    <x v="1273"/>
    <x v="0"/>
    <x v="89"/>
    <x v="0"/>
    <x v="56"/>
    <x v="3"/>
    <x v="369"/>
    <x v="82"/>
    <x v="0"/>
    <x v="0"/>
  </r>
  <r>
    <x v="1274"/>
    <x v="0"/>
    <x v="71"/>
    <x v="0"/>
    <x v="23"/>
    <x v="1"/>
    <x v="193"/>
    <x v="64"/>
    <x v="6"/>
    <x v="6"/>
  </r>
  <r>
    <x v="1274"/>
    <x v="1"/>
    <x v="34"/>
    <x v="0"/>
    <x v="4"/>
    <x v="3"/>
    <x v="16"/>
    <x v="30"/>
    <x v="1"/>
    <x v="1"/>
  </r>
  <r>
    <x v="1275"/>
    <x v="0"/>
    <x v="9"/>
    <x v="1"/>
    <x v="7"/>
    <x v="0"/>
    <x v="83"/>
    <x v="8"/>
    <x v="0"/>
    <x v="0"/>
  </r>
  <r>
    <x v="1275"/>
    <x v="1"/>
    <x v="71"/>
    <x v="0"/>
    <x v="23"/>
    <x v="0"/>
    <x v="223"/>
    <x v="64"/>
    <x v="6"/>
    <x v="6"/>
  </r>
  <r>
    <x v="1275"/>
    <x v="2"/>
    <x v="41"/>
    <x v="0"/>
    <x v="27"/>
    <x v="2"/>
    <x v="258"/>
    <x v="36"/>
    <x v="1"/>
    <x v="1"/>
  </r>
  <r>
    <x v="1275"/>
    <x v="3"/>
    <x v="24"/>
    <x v="1"/>
    <x v="8"/>
    <x v="0"/>
    <x v="118"/>
    <x v="9"/>
    <x v="0"/>
    <x v="0"/>
  </r>
  <r>
    <x v="1275"/>
    <x v="4"/>
    <x v="46"/>
    <x v="1"/>
    <x v="31"/>
    <x v="0"/>
    <x v="484"/>
    <x v="40"/>
    <x v="0"/>
    <x v="0"/>
  </r>
  <r>
    <x v="1276"/>
    <x v="0"/>
    <x v="28"/>
    <x v="1"/>
    <x v="21"/>
    <x v="0"/>
    <x v="410"/>
    <x v="24"/>
    <x v="6"/>
    <x v="6"/>
  </r>
  <r>
    <x v="1276"/>
    <x v="1"/>
    <x v="101"/>
    <x v="1"/>
    <x v="30"/>
    <x v="2"/>
    <x v="211"/>
    <x v="93"/>
    <x v="4"/>
    <x v="4"/>
  </r>
  <r>
    <x v="1276"/>
    <x v="2"/>
    <x v="11"/>
    <x v="1"/>
    <x v="9"/>
    <x v="3"/>
    <x v="42"/>
    <x v="10"/>
    <x v="3"/>
    <x v="3"/>
  </r>
  <r>
    <x v="1276"/>
    <x v="3"/>
    <x v="4"/>
    <x v="0"/>
    <x v="3"/>
    <x v="3"/>
    <x v="66"/>
    <x v="4"/>
    <x v="1"/>
    <x v="1"/>
  </r>
  <r>
    <x v="1276"/>
    <x v="4"/>
    <x v="16"/>
    <x v="0"/>
    <x v="13"/>
    <x v="0"/>
    <x v="114"/>
    <x v="14"/>
    <x v="2"/>
    <x v="2"/>
  </r>
  <r>
    <x v="1277"/>
    <x v="0"/>
    <x v="27"/>
    <x v="1"/>
    <x v="20"/>
    <x v="3"/>
    <x v="488"/>
    <x v="23"/>
    <x v="5"/>
    <x v="5"/>
  </r>
  <r>
    <x v="1277"/>
    <x v="1"/>
    <x v="33"/>
    <x v="0"/>
    <x v="14"/>
    <x v="3"/>
    <x v="107"/>
    <x v="29"/>
    <x v="1"/>
    <x v="1"/>
  </r>
  <r>
    <x v="1278"/>
    <x v="0"/>
    <x v="11"/>
    <x v="1"/>
    <x v="9"/>
    <x v="2"/>
    <x v="126"/>
    <x v="10"/>
    <x v="3"/>
    <x v="3"/>
  </r>
  <r>
    <x v="1279"/>
    <x v="0"/>
    <x v="31"/>
    <x v="1"/>
    <x v="22"/>
    <x v="1"/>
    <x v="486"/>
    <x v="27"/>
    <x v="0"/>
    <x v="0"/>
  </r>
  <r>
    <x v="1279"/>
    <x v="1"/>
    <x v="51"/>
    <x v="0"/>
    <x v="35"/>
    <x v="2"/>
    <x v="167"/>
    <x v="44"/>
    <x v="0"/>
    <x v="0"/>
  </r>
  <r>
    <x v="1279"/>
    <x v="2"/>
    <x v="58"/>
    <x v="0"/>
    <x v="40"/>
    <x v="1"/>
    <x v="435"/>
    <x v="51"/>
    <x v="6"/>
    <x v="6"/>
  </r>
  <r>
    <x v="1279"/>
    <x v="3"/>
    <x v="65"/>
    <x v="0"/>
    <x v="25"/>
    <x v="0"/>
    <x v="152"/>
    <x v="58"/>
    <x v="2"/>
    <x v="2"/>
  </r>
  <r>
    <x v="1280"/>
    <x v="0"/>
    <x v="107"/>
    <x v="0"/>
    <x v="61"/>
    <x v="2"/>
    <x v="459"/>
    <x v="99"/>
    <x v="1"/>
    <x v="1"/>
  </r>
  <r>
    <x v="1280"/>
    <x v="1"/>
    <x v="60"/>
    <x v="1"/>
    <x v="25"/>
    <x v="2"/>
    <x v="371"/>
    <x v="53"/>
    <x v="6"/>
    <x v="6"/>
  </r>
  <r>
    <x v="1280"/>
    <x v="2"/>
    <x v="85"/>
    <x v="0"/>
    <x v="0"/>
    <x v="2"/>
    <x v="7"/>
    <x v="78"/>
    <x v="0"/>
    <x v="0"/>
  </r>
  <r>
    <x v="1281"/>
    <x v="0"/>
    <x v="103"/>
    <x v="0"/>
    <x v="38"/>
    <x v="2"/>
    <x v="318"/>
    <x v="95"/>
    <x v="5"/>
    <x v="5"/>
  </r>
  <r>
    <x v="1281"/>
    <x v="1"/>
    <x v="69"/>
    <x v="1"/>
    <x v="47"/>
    <x v="0"/>
    <x v="489"/>
    <x v="62"/>
    <x v="6"/>
    <x v="6"/>
  </r>
  <r>
    <x v="1282"/>
    <x v="0"/>
    <x v="32"/>
    <x v="1"/>
    <x v="23"/>
    <x v="2"/>
    <x v="244"/>
    <x v="28"/>
    <x v="3"/>
    <x v="3"/>
  </r>
  <r>
    <x v="1282"/>
    <x v="1"/>
    <x v="89"/>
    <x v="0"/>
    <x v="56"/>
    <x v="0"/>
    <x v="356"/>
    <x v="82"/>
    <x v="0"/>
    <x v="0"/>
  </r>
  <r>
    <x v="1282"/>
    <x v="2"/>
    <x v="14"/>
    <x v="0"/>
    <x v="12"/>
    <x v="3"/>
    <x v="40"/>
    <x v="13"/>
    <x v="1"/>
    <x v="1"/>
  </r>
  <r>
    <x v="1282"/>
    <x v="3"/>
    <x v="33"/>
    <x v="0"/>
    <x v="14"/>
    <x v="3"/>
    <x v="107"/>
    <x v="29"/>
    <x v="1"/>
    <x v="1"/>
  </r>
  <r>
    <x v="1282"/>
    <x v="4"/>
    <x v="16"/>
    <x v="0"/>
    <x v="13"/>
    <x v="0"/>
    <x v="114"/>
    <x v="14"/>
    <x v="2"/>
    <x v="2"/>
  </r>
  <r>
    <x v="1283"/>
    <x v="0"/>
    <x v="70"/>
    <x v="0"/>
    <x v="48"/>
    <x v="1"/>
    <x v="341"/>
    <x v="63"/>
    <x v="4"/>
    <x v="4"/>
  </r>
  <r>
    <x v="1283"/>
    <x v="1"/>
    <x v="1"/>
    <x v="0"/>
    <x v="1"/>
    <x v="2"/>
    <x v="22"/>
    <x v="1"/>
    <x v="1"/>
    <x v="1"/>
  </r>
  <r>
    <x v="1283"/>
    <x v="2"/>
    <x v="4"/>
    <x v="1"/>
    <x v="3"/>
    <x v="2"/>
    <x v="49"/>
    <x v="4"/>
    <x v="1"/>
    <x v="1"/>
  </r>
  <r>
    <x v="1284"/>
    <x v="0"/>
    <x v="46"/>
    <x v="1"/>
    <x v="31"/>
    <x v="1"/>
    <x v="478"/>
    <x v="40"/>
    <x v="0"/>
    <x v="0"/>
  </r>
  <r>
    <x v="1284"/>
    <x v="1"/>
    <x v="101"/>
    <x v="0"/>
    <x v="30"/>
    <x v="3"/>
    <x v="276"/>
    <x v="93"/>
    <x v="4"/>
    <x v="4"/>
  </r>
  <r>
    <x v="1284"/>
    <x v="2"/>
    <x v="79"/>
    <x v="1"/>
    <x v="24"/>
    <x v="0"/>
    <x v="151"/>
    <x v="72"/>
    <x v="0"/>
    <x v="0"/>
  </r>
  <r>
    <x v="1284"/>
    <x v="3"/>
    <x v="18"/>
    <x v="0"/>
    <x v="14"/>
    <x v="3"/>
    <x v="107"/>
    <x v="16"/>
    <x v="1"/>
    <x v="1"/>
  </r>
  <r>
    <x v="1285"/>
    <x v="0"/>
    <x v="36"/>
    <x v="1"/>
    <x v="24"/>
    <x v="0"/>
    <x v="151"/>
    <x v="32"/>
    <x v="5"/>
    <x v="5"/>
  </r>
  <r>
    <x v="1285"/>
    <x v="1"/>
    <x v="89"/>
    <x v="1"/>
    <x v="56"/>
    <x v="1"/>
    <x v="311"/>
    <x v="82"/>
    <x v="0"/>
    <x v="0"/>
  </r>
  <r>
    <x v="1285"/>
    <x v="2"/>
    <x v="108"/>
    <x v="0"/>
    <x v="37"/>
    <x v="1"/>
    <x v="461"/>
    <x v="100"/>
    <x v="4"/>
    <x v="4"/>
  </r>
  <r>
    <x v="1286"/>
    <x v="0"/>
    <x v="97"/>
    <x v="1"/>
    <x v="4"/>
    <x v="0"/>
    <x v="73"/>
    <x v="89"/>
    <x v="1"/>
    <x v="1"/>
  </r>
  <r>
    <x v="1286"/>
    <x v="1"/>
    <x v="37"/>
    <x v="1"/>
    <x v="25"/>
    <x v="3"/>
    <x v="279"/>
    <x v="33"/>
    <x v="2"/>
    <x v="2"/>
  </r>
  <r>
    <x v="1286"/>
    <x v="2"/>
    <x v="27"/>
    <x v="0"/>
    <x v="20"/>
    <x v="3"/>
    <x v="309"/>
    <x v="23"/>
    <x v="5"/>
    <x v="5"/>
  </r>
  <r>
    <x v="1286"/>
    <x v="3"/>
    <x v="96"/>
    <x v="1"/>
    <x v="26"/>
    <x v="2"/>
    <x v="162"/>
    <x v="88"/>
    <x v="4"/>
    <x v="4"/>
  </r>
  <r>
    <x v="1287"/>
    <x v="0"/>
    <x v="30"/>
    <x v="0"/>
    <x v="5"/>
    <x v="0"/>
    <x v="56"/>
    <x v="26"/>
    <x v="0"/>
    <x v="0"/>
  </r>
  <r>
    <x v="1287"/>
    <x v="1"/>
    <x v="38"/>
    <x v="1"/>
    <x v="26"/>
    <x v="0"/>
    <x v="195"/>
    <x v="34"/>
    <x v="0"/>
    <x v="0"/>
  </r>
  <r>
    <x v="1287"/>
    <x v="2"/>
    <x v="37"/>
    <x v="1"/>
    <x v="25"/>
    <x v="3"/>
    <x v="279"/>
    <x v="33"/>
    <x v="2"/>
    <x v="2"/>
  </r>
  <r>
    <x v="1287"/>
    <x v="3"/>
    <x v="7"/>
    <x v="1"/>
    <x v="6"/>
    <x v="1"/>
    <x v="100"/>
    <x v="7"/>
    <x v="0"/>
    <x v="0"/>
  </r>
  <r>
    <x v="1288"/>
    <x v="0"/>
    <x v="84"/>
    <x v="0"/>
    <x v="30"/>
    <x v="2"/>
    <x v="338"/>
    <x v="77"/>
    <x v="4"/>
    <x v="4"/>
  </r>
  <r>
    <x v="1288"/>
    <x v="1"/>
    <x v="5"/>
    <x v="0"/>
    <x v="4"/>
    <x v="3"/>
    <x v="16"/>
    <x v="5"/>
    <x v="1"/>
    <x v="1"/>
  </r>
  <r>
    <x v="1289"/>
    <x v="0"/>
    <x v="85"/>
    <x v="1"/>
    <x v="0"/>
    <x v="2"/>
    <x v="3"/>
    <x v="78"/>
    <x v="0"/>
    <x v="0"/>
  </r>
  <r>
    <x v="1289"/>
    <x v="1"/>
    <x v="107"/>
    <x v="0"/>
    <x v="61"/>
    <x v="2"/>
    <x v="459"/>
    <x v="99"/>
    <x v="1"/>
    <x v="1"/>
  </r>
  <r>
    <x v="1289"/>
    <x v="2"/>
    <x v="102"/>
    <x v="1"/>
    <x v="30"/>
    <x v="3"/>
    <x v="343"/>
    <x v="94"/>
    <x v="4"/>
    <x v="4"/>
  </r>
  <r>
    <x v="1290"/>
    <x v="0"/>
    <x v="94"/>
    <x v="0"/>
    <x v="59"/>
    <x v="3"/>
    <x v="490"/>
    <x v="86"/>
    <x v="6"/>
    <x v="6"/>
  </r>
  <r>
    <x v="1290"/>
    <x v="1"/>
    <x v="71"/>
    <x v="1"/>
    <x v="23"/>
    <x v="2"/>
    <x v="244"/>
    <x v="64"/>
    <x v="6"/>
    <x v="6"/>
  </r>
  <r>
    <x v="1291"/>
    <x v="0"/>
    <x v="63"/>
    <x v="0"/>
    <x v="43"/>
    <x v="1"/>
    <x v="348"/>
    <x v="56"/>
    <x v="0"/>
    <x v="0"/>
  </r>
  <r>
    <x v="1292"/>
    <x v="0"/>
    <x v="54"/>
    <x v="1"/>
    <x v="37"/>
    <x v="3"/>
    <x v="351"/>
    <x v="47"/>
    <x v="4"/>
    <x v="4"/>
  </r>
  <r>
    <x v="1292"/>
    <x v="1"/>
    <x v="51"/>
    <x v="1"/>
    <x v="35"/>
    <x v="2"/>
    <x v="405"/>
    <x v="44"/>
    <x v="0"/>
    <x v="0"/>
  </r>
  <r>
    <x v="1292"/>
    <x v="2"/>
    <x v="83"/>
    <x v="1"/>
    <x v="8"/>
    <x v="1"/>
    <x v="30"/>
    <x v="76"/>
    <x v="1"/>
    <x v="1"/>
  </r>
  <r>
    <x v="1293"/>
    <x v="0"/>
    <x v="43"/>
    <x v="1"/>
    <x v="15"/>
    <x v="2"/>
    <x v="89"/>
    <x v="31"/>
    <x v="0"/>
    <x v="0"/>
  </r>
  <r>
    <x v="1293"/>
    <x v="1"/>
    <x v="99"/>
    <x v="0"/>
    <x v="60"/>
    <x v="2"/>
    <x v="386"/>
    <x v="91"/>
    <x v="1"/>
    <x v="1"/>
  </r>
  <r>
    <x v="1294"/>
    <x v="0"/>
    <x v="21"/>
    <x v="1"/>
    <x v="16"/>
    <x v="0"/>
    <x v="95"/>
    <x v="18"/>
    <x v="1"/>
    <x v="1"/>
  </r>
  <r>
    <x v="1294"/>
    <x v="1"/>
    <x v="32"/>
    <x v="0"/>
    <x v="23"/>
    <x v="0"/>
    <x v="223"/>
    <x v="28"/>
    <x v="3"/>
    <x v="3"/>
  </r>
  <r>
    <x v="1294"/>
    <x v="2"/>
    <x v="58"/>
    <x v="0"/>
    <x v="40"/>
    <x v="2"/>
    <x v="175"/>
    <x v="51"/>
    <x v="6"/>
    <x v="6"/>
  </r>
  <r>
    <x v="1295"/>
    <x v="0"/>
    <x v="22"/>
    <x v="1"/>
    <x v="17"/>
    <x v="2"/>
    <x v="41"/>
    <x v="19"/>
    <x v="5"/>
    <x v="5"/>
  </r>
  <r>
    <x v="1295"/>
    <x v="1"/>
    <x v="45"/>
    <x v="0"/>
    <x v="30"/>
    <x v="3"/>
    <x v="276"/>
    <x v="39"/>
    <x v="4"/>
    <x v="4"/>
  </r>
  <r>
    <x v="1295"/>
    <x v="2"/>
    <x v="3"/>
    <x v="0"/>
    <x v="0"/>
    <x v="2"/>
    <x v="7"/>
    <x v="3"/>
    <x v="0"/>
    <x v="0"/>
  </r>
  <r>
    <x v="1295"/>
    <x v="3"/>
    <x v="6"/>
    <x v="1"/>
    <x v="5"/>
    <x v="3"/>
    <x v="8"/>
    <x v="6"/>
    <x v="1"/>
    <x v="1"/>
  </r>
  <r>
    <x v="1296"/>
    <x v="0"/>
    <x v="77"/>
    <x v="1"/>
    <x v="51"/>
    <x v="1"/>
    <x v="213"/>
    <x v="70"/>
    <x v="5"/>
    <x v="5"/>
  </r>
  <r>
    <x v="1296"/>
    <x v="1"/>
    <x v="52"/>
    <x v="0"/>
    <x v="28"/>
    <x v="2"/>
    <x v="357"/>
    <x v="45"/>
    <x v="1"/>
    <x v="1"/>
  </r>
  <r>
    <x v="1296"/>
    <x v="2"/>
    <x v="80"/>
    <x v="1"/>
    <x v="53"/>
    <x v="2"/>
    <x v="443"/>
    <x v="73"/>
    <x v="6"/>
    <x v="6"/>
  </r>
  <r>
    <x v="1297"/>
    <x v="0"/>
    <x v="64"/>
    <x v="0"/>
    <x v="44"/>
    <x v="2"/>
    <x v="227"/>
    <x v="57"/>
    <x v="6"/>
    <x v="6"/>
  </r>
  <r>
    <x v="1297"/>
    <x v="1"/>
    <x v="55"/>
    <x v="1"/>
    <x v="38"/>
    <x v="1"/>
    <x v="171"/>
    <x v="48"/>
    <x v="5"/>
    <x v="5"/>
  </r>
  <r>
    <x v="1298"/>
    <x v="0"/>
    <x v="15"/>
    <x v="1"/>
    <x v="11"/>
    <x v="3"/>
    <x v="23"/>
    <x v="12"/>
    <x v="0"/>
    <x v="0"/>
  </r>
  <r>
    <x v="1298"/>
    <x v="1"/>
    <x v="70"/>
    <x v="0"/>
    <x v="48"/>
    <x v="2"/>
    <x v="327"/>
    <x v="63"/>
    <x v="4"/>
    <x v="4"/>
  </r>
  <r>
    <x v="1298"/>
    <x v="2"/>
    <x v="85"/>
    <x v="0"/>
    <x v="0"/>
    <x v="2"/>
    <x v="7"/>
    <x v="78"/>
    <x v="0"/>
    <x v="0"/>
  </r>
  <r>
    <x v="1298"/>
    <x v="3"/>
    <x v="58"/>
    <x v="1"/>
    <x v="40"/>
    <x v="0"/>
    <x v="308"/>
    <x v="51"/>
    <x v="6"/>
    <x v="6"/>
  </r>
  <r>
    <x v="1299"/>
    <x v="0"/>
    <x v="70"/>
    <x v="1"/>
    <x v="48"/>
    <x v="1"/>
    <x v="257"/>
    <x v="63"/>
    <x v="4"/>
    <x v="4"/>
  </r>
  <r>
    <x v="1299"/>
    <x v="1"/>
    <x v="71"/>
    <x v="1"/>
    <x v="23"/>
    <x v="2"/>
    <x v="244"/>
    <x v="64"/>
    <x v="6"/>
    <x v="6"/>
  </r>
  <r>
    <x v="1300"/>
    <x v="0"/>
    <x v="78"/>
    <x v="1"/>
    <x v="52"/>
    <x v="0"/>
    <x v="250"/>
    <x v="71"/>
    <x v="1"/>
    <x v="1"/>
  </r>
  <r>
    <x v="1300"/>
    <x v="1"/>
    <x v="86"/>
    <x v="1"/>
    <x v="54"/>
    <x v="3"/>
    <x v="360"/>
    <x v="79"/>
    <x v="5"/>
    <x v="5"/>
  </r>
  <r>
    <x v="1300"/>
    <x v="2"/>
    <x v="1"/>
    <x v="0"/>
    <x v="1"/>
    <x v="0"/>
    <x v="34"/>
    <x v="1"/>
    <x v="1"/>
    <x v="1"/>
  </r>
  <r>
    <x v="1301"/>
    <x v="0"/>
    <x v="83"/>
    <x v="0"/>
    <x v="8"/>
    <x v="2"/>
    <x v="101"/>
    <x v="76"/>
    <x v="1"/>
    <x v="1"/>
  </r>
  <r>
    <x v="1301"/>
    <x v="1"/>
    <x v="0"/>
    <x v="1"/>
    <x v="0"/>
    <x v="3"/>
    <x v="28"/>
    <x v="0"/>
    <x v="0"/>
    <x v="0"/>
  </r>
  <r>
    <x v="1301"/>
    <x v="2"/>
    <x v="28"/>
    <x v="1"/>
    <x v="21"/>
    <x v="1"/>
    <x v="354"/>
    <x v="24"/>
    <x v="6"/>
    <x v="6"/>
  </r>
  <r>
    <x v="1302"/>
    <x v="0"/>
    <x v="81"/>
    <x v="0"/>
    <x v="29"/>
    <x v="3"/>
    <x v="283"/>
    <x v="74"/>
    <x v="4"/>
    <x v="4"/>
  </r>
  <r>
    <x v="1302"/>
    <x v="1"/>
    <x v="65"/>
    <x v="1"/>
    <x v="25"/>
    <x v="0"/>
    <x v="165"/>
    <x v="58"/>
    <x v="2"/>
    <x v="2"/>
  </r>
  <r>
    <x v="1302"/>
    <x v="2"/>
    <x v="75"/>
    <x v="0"/>
    <x v="19"/>
    <x v="3"/>
    <x v="201"/>
    <x v="68"/>
    <x v="5"/>
    <x v="5"/>
  </r>
  <r>
    <x v="1302"/>
    <x v="3"/>
    <x v="30"/>
    <x v="0"/>
    <x v="5"/>
    <x v="3"/>
    <x v="92"/>
    <x v="26"/>
    <x v="0"/>
    <x v="0"/>
  </r>
  <r>
    <x v="1302"/>
    <x v="4"/>
    <x v="24"/>
    <x v="1"/>
    <x v="8"/>
    <x v="3"/>
    <x v="97"/>
    <x v="9"/>
    <x v="0"/>
    <x v="0"/>
  </r>
  <r>
    <x v="1303"/>
    <x v="0"/>
    <x v="53"/>
    <x v="0"/>
    <x v="36"/>
    <x v="2"/>
    <x v="294"/>
    <x v="46"/>
    <x v="0"/>
    <x v="0"/>
  </r>
  <r>
    <x v="1303"/>
    <x v="1"/>
    <x v="40"/>
    <x v="1"/>
    <x v="15"/>
    <x v="2"/>
    <x v="89"/>
    <x v="35"/>
    <x v="4"/>
    <x v="4"/>
  </r>
  <r>
    <x v="1303"/>
    <x v="2"/>
    <x v="48"/>
    <x v="0"/>
    <x v="26"/>
    <x v="0"/>
    <x v="153"/>
    <x v="34"/>
    <x v="0"/>
    <x v="0"/>
  </r>
  <r>
    <x v="1303"/>
    <x v="3"/>
    <x v="7"/>
    <x v="0"/>
    <x v="6"/>
    <x v="2"/>
    <x v="113"/>
    <x v="7"/>
    <x v="0"/>
    <x v="0"/>
  </r>
  <r>
    <x v="1304"/>
    <x v="0"/>
    <x v="25"/>
    <x v="0"/>
    <x v="18"/>
    <x v="0"/>
    <x v="329"/>
    <x v="21"/>
    <x v="4"/>
    <x v="4"/>
  </r>
  <r>
    <x v="1304"/>
    <x v="1"/>
    <x v="11"/>
    <x v="0"/>
    <x v="9"/>
    <x v="1"/>
    <x v="45"/>
    <x v="10"/>
    <x v="3"/>
    <x v="3"/>
  </r>
  <r>
    <x v="1304"/>
    <x v="2"/>
    <x v="16"/>
    <x v="0"/>
    <x v="13"/>
    <x v="2"/>
    <x v="26"/>
    <x v="14"/>
    <x v="2"/>
    <x v="2"/>
  </r>
  <r>
    <x v="1304"/>
    <x v="3"/>
    <x v="87"/>
    <x v="1"/>
    <x v="29"/>
    <x v="2"/>
    <x v="215"/>
    <x v="80"/>
    <x v="4"/>
    <x v="4"/>
  </r>
  <r>
    <x v="1305"/>
    <x v="0"/>
    <x v="27"/>
    <x v="1"/>
    <x v="20"/>
    <x v="2"/>
    <x v="346"/>
    <x v="23"/>
    <x v="5"/>
    <x v="5"/>
  </r>
  <r>
    <x v="1305"/>
    <x v="1"/>
    <x v="89"/>
    <x v="1"/>
    <x v="56"/>
    <x v="1"/>
    <x v="311"/>
    <x v="82"/>
    <x v="0"/>
    <x v="0"/>
  </r>
  <r>
    <x v="1305"/>
    <x v="2"/>
    <x v="78"/>
    <x v="0"/>
    <x v="52"/>
    <x v="0"/>
    <x v="362"/>
    <x v="71"/>
    <x v="1"/>
    <x v="1"/>
  </r>
  <r>
    <x v="1305"/>
    <x v="3"/>
    <x v="41"/>
    <x v="0"/>
    <x v="27"/>
    <x v="0"/>
    <x v="319"/>
    <x v="36"/>
    <x v="1"/>
    <x v="1"/>
  </r>
  <r>
    <x v="1305"/>
    <x v="4"/>
    <x v="11"/>
    <x v="1"/>
    <x v="9"/>
    <x v="1"/>
    <x v="14"/>
    <x v="10"/>
    <x v="3"/>
    <x v="3"/>
  </r>
  <r>
    <x v="1306"/>
    <x v="0"/>
    <x v="81"/>
    <x v="1"/>
    <x v="29"/>
    <x v="1"/>
    <x v="172"/>
    <x v="74"/>
    <x v="4"/>
    <x v="4"/>
  </r>
  <r>
    <x v="1306"/>
    <x v="1"/>
    <x v="29"/>
    <x v="1"/>
    <x v="5"/>
    <x v="0"/>
    <x v="39"/>
    <x v="25"/>
    <x v="6"/>
    <x v="6"/>
  </r>
  <r>
    <x v="1306"/>
    <x v="2"/>
    <x v="79"/>
    <x v="1"/>
    <x v="24"/>
    <x v="0"/>
    <x v="151"/>
    <x v="72"/>
    <x v="0"/>
    <x v="0"/>
  </r>
  <r>
    <x v="1307"/>
    <x v="0"/>
    <x v="59"/>
    <x v="0"/>
    <x v="41"/>
    <x v="2"/>
    <x v="361"/>
    <x v="52"/>
    <x v="6"/>
    <x v="6"/>
  </r>
  <r>
    <x v="1307"/>
    <x v="1"/>
    <x v="79"/>
    <x v="0"/>
    <x v="24"/>
    <x v="0"/>
    <x v="307"/>
    <x v="72"/>
    <x v="0"/>
    <x v="0"/>
  </r>
  <r>
    <x v="1307"/>
    <x v="2"/>
    <x v="15"/>
    <x v="1"/>
    <x v="11"/>
    <x v="1"/>
    <x v="35"/>
    <x v="12"/>
    <x v="0"/>
    <x v="0"/>
  </r>
  <r>
    <x v="1307"/>
    <x v="3"/>
    <x v="28"/>
    <x v="0"/>
    <x v="21"/>
    <x v="0"/>
    <x v="147"/>
    <x v="24"/>
    <x v="6"/>
    <x v="6"/>
  </r>
  <r>
    <x v="1307"/>
    <x v="4"/>
    <x v="33"/>
    <x v="0"/>
    <x v="14"/>
    <x v="1"/>
    <x v="29"/>
    <x v="29"/>
    <x v="1"/>
    <x v="1"/>
  </r>
  <r>
    <x v="1308"/>
    <x v="0"/>
    <x v="105"/>
    <x v="0"/>
    <x v="63"/>
    <x v="2"/>
    <x v="313"/>
    <x v="97"/>
    <x v="0"/>
    <x v="0"/>
  </r>
  <r>
    <x v="1308"/>
    <x v="1"/>
    <x v="108"/>
    <x v="1"/>
    <x v="37"/>
    <x v="0"/>
    <x v="229"/>
    <x v="100"/>
    <x v="4"/>
    <x v="4"/>
  </r>
  <r>
    <x v="1309"/>
    <x v="0"/>
    <x v="64"/>
    <x v="0"/>
    <x v="44"/>
    <x v="0"/>
    <x v="235"/>
    <x v="57"/>
    <x v="6"/>
    <x v="6"/>
  </r>
  <r>
    <x v="1309"/>
    <x v="1"/>
    <x v="104"/>
    <x v="1"/>
    <x v="62"/>
    <x v="0"/>
    <x v="491"/>
    <x v="96"/>
    <x v="0"/>
    <x v="0"/>
  </r>
  <r>
    <x v="1309"/>
    <x v="2"/>
    <x v="16"/>
    <x v="1"/>
    <x v="13"/>
    <x v="3"/>
    <x v="104"/>
    <x v="14"/>
    <x v="2"/>
    <x v="2"/>
  </r>
  <r>
    <x v="1309"/>
    <x v="3"/>
    <x v="59"/>
    <x v="0"/>
    <x v="41"/>
    <x v="0"/>
    <x v="334"/>
    <x v="52"/>
    <x v="6"/>
    <x v="6"/>
  </r>
  <r>
    <x v="1310"/>
    <x v="0"/>
    <x v="79"/>
    <x v="0"/>
    <x v="24"/>
    <x v="3"/>
    <x v="325"/>
    <x v="72"/>
    <x v="0"/>
    <x v="0"/>
  </r>
  <r>
    <x v="1310"/>
    <x v="1"/>
    <x v="78"/>
    <x v="1"/>
    <x v="52"/>
    <x v="1"/>
    <x v="272"/>
    <x v="71"/>
    <x v="1"/>
    <x v="1"/>
  </r>
  <r>
    <x v="1310"/>
    <x v="2"/>
    <x v="97"/>
    <x v="1"/>
    <x v="4"/>
    <x v="3"/>
    <x v="52"/>
    <x v="89"/>
    <x v="1"/>
    <x v="1"/>
  </r>
  <r>
    <x v="1310"/>
    <x v="3"/>
    <x v="41"/>
    <x v="0"/>
    <x v="27"/>
    <x v="3"/>
    <x v="367"/>
    <x v="36"/>
    <x v="1"/>
    <x v="1"/>
  </r>
  <r>
    <x v="1311"/>
    <x v="0"/>
    <x v="50"/>
    <x v="1"/>
    <x v="34"/>
    <x v="2"/>
    <x v="251"/>
    <x v="43"/>
    <x v="0"/>
    <x v="0"/>
  </r>
  <r>
    <x v="1311"/>
    <x v="1"/>
    <x v="15"/>
    <x v="0"/>
    <x v="11"/>
    <x v="0"/>
    <x v="51"/>
    <x v="12"/>
    <x v="0"/>
    <x v="0"/>
  </r>
  <r>
    <x v="1311"/>
    <x v="2"/>
    <x v="0"/>
    <x v="0"/>
    <x v="0"/>
    <x v="1"/>
    <x v="5"/>
    <x v="0"/>
    <x v="0"/>
    <x v="0"/>
  </r>
  <r>
    <x v="1312"/>
    <x v="0"/>
    <x v="85"/>
    <x v="0"/>
    <x v="0"/>
    <x v="0"/>
    <x v="0"/>
    <x v="78"/>
    <x v="0"/>
    <x v="0"/>
  </r>
  <r>
    <x v="1312"/>
    <x v="1"/>
    <x v="57"/>
    <x v="0"/>
    <x v="14"/>
    <x v="0"/>
    <x v="63"/>
    <x v="50"/>
    <x v="1"/>
    <x v="1"/>
  </r>
  <r>
    <x v="1312"/>
    <x v="2"/>
    <x v="79"/>
    <x v="0"/>
    <x v="24"/>
    <x v="1"/>
    <x v="187"/>
    <x v="72"/>
    <x v="0"/>
    <x v="0"/>
  </r>
  <r>
    <x v="1313"/>
    <x v="0"/>
    <x v="58"/>
    <x v="0"/>
    <x v="40"/>
    <x v="1"/>
    <x v="435"/>
    <x v="51"/>
    <x v="6"/>
    <x v="6"/>
  </r>
  <r>
    <x v="1313"/>
    <x v="1"/>
    <x v="31"/>
    <x v="1"/>
    <x v="22"/>
    <x v="2"/>
    <x v="262"/>
    <x v="27"/>
    <x v="0"/>
    <x v="0"/>
  </r>
  <r>
    <x v="1313"/>
    <x v="2"/>
    <x v="49"/>
    <x v="0"/>
    <x v="33"/>
    <x v="3"/>
    <x v="398"/>
    <x v="42"/>
    <x v="4"/>
    <x v="4"/>
  </r>
  <r>
    <x v="1314"/>
    <x v="0"/>
    <x v="77"/>
    <x v="1"/>
    <x v="51"/>
    <x v="1"/>
    <x v="213"/>
    <x v="70"/>
    <x v="5"/>
    <x v="5"/>
  </r>
  <r>
    <x v="1314"/>
    <x v="1"/>
    <x v="67"/>
    <x v="0"/>
    <x v="46"/>
    <x v="2"/>
    <x v="423"/>
    <x v="60"/>
    <x v="1"/>
    <x v="1"/>
  </r>
  <r>
    <x v="1314"/>
    <x v="2"/>
    <x v="24"/>
    <x v="0"/>
    <x v="8"/>
    <x v="3"/>
    <x v="98"/>
    <x v="9"/>
    <x v="0"/>
    <x v="0"/>
  </r>
  <r>
    <x v="1314"/>
    <x v="3"/>
    <x v="8"/>
    <x v="0"/>
    <x v="0"/>
    <x v="1"/>
    <x v="5"/>
    <x v="3"/>
    <x v="0"/>
    <x v="0"/>
  </r>
  <r>
    <x v="1314"/>
    <x v="4"/>
    <x v="3"/>
    <x v="1"/>
    <x v="0"/>
    <x v="0"/>
    <x v="24"/>
    <x v="3"/>
    <x v="0"/>
    <x v="0"/>
  </r>
  <r>
    <x v="1315"/>
    <x v="0"/>
    <x v="35"/>
    <x v="1"/>
    <x v="15"/>
    <x v="3"/>
    <x v="50"/>
    <x v="31"/>
    <x v="0"/>
    <x v="0"/>
  </r>
  <r>
    <x v="1315"/>
    <x v="1"/>
    <x v="45"/>
    <x v="0"/>
    <x v="30"/>
    <x v="3"/>
    <x v="276"/>
    <x v="39"/>
    <x v="4"/>
    <x v="4"/>
  </r>
  <r>
    <x v="1316"/>
    <x v="0"/>
    <x v="90"/>
    <x v="0"/>
    <x v="43"/>
    <x v="3"/>
    <x v="388"/>
    <x v="83"/>
    <x v="0"/>
    <x v="0"/>
  </r>
  <r>
    <x v="1317"/>
    <x v="0"/>
    <x v="90"/>
    <x v="1"/>
    <x v="43"/>
    <x v="0"/>
    <x v="247"/>
    <x v="83"/>
    <x v="0"/>
    <x v="0"/>
  </r>
  <r>
    <x v="1317"/>
    <x v="1"/>
    <x v="37"/>
    <x v="1"/>
    <x v="25"/>
    <x v="0"/>
    <x v="165"/>
    <x v="33"/>
    <x v="2"/>
    <x v="2"/>
  </r>
  <r>
    <x v="1317"/>
    <x v="2"/>
    <x v="103"/>
    <x v="0"/>
    <x v="38"/>
    <x v="0"/>
    <x v="314"/>
    <x v="95"/>
    <x v="5"/>
    <x v="5"/>
  </r>
  <r>
    <x v="1317"/>
    <x v="3"/>
    <x v="102"/>
    <x v="0"/>
    <x v="30"/>
    <x v="1"/>
    <x v="158"/>
    <x v="94"/>
    <x v="4"/>
    <x v="4"/>
  </r>
  <r>
    <x v="1318"/>
    <x v="0"/>
    <x v="85"/>
    <x v="0"/>
    <x v="0"/>
    <x v="1"/>
    <x v="5"/>
    <x v="78"/>
    <x v="0"/>
    <x v="0"/>
  </r>
  <r>
    <x v="1318"/>
    <x v="1"/>
    <x v="87"/>
    <x v="0"/>
    <x v="29"/>
    <x v="0"/>
    <x v="344"/>
    <x v="80"/>
    <x v="4"/>
    <x v="4"/>
  </r>
  <r>
    <x v="1319"/>
    <x v="0"/>
    <x v="77"/>
    <x v="0"/>
    <x v="51"/>
    <x v="3"/>
    <x v="249"/>
    <x v="70"/>
    <x v="5"/>
    <x v="5"/>
  </r>
  <r>
    <x v="1319"/>
    <x v="1"/>
    <x v="101"/>
    <x v="0"/>
    <x v="30"/>
    <x v="2"/>
    <x v="338"/>
    <x v="93"/>
    <x v="4"/>
    <x v="4"/>
  </r>
  <r>
    <x v="1319"/>
    <x v="2"/>
    <x v="40"/>
    <x v="1"/>
    <x v="15"/>
    <x v="0"/>
    <x v="33"/>
    <x v="35"/>
    <x v="4"/>
    <x v="4"/>
  </r>
  <r>
    <x v="1320"/>
    <x v="0"/>
    <x v="98"/>
    <x v="0"/>
    <x v="14"/>
    <x v="3"/>
    <x v="107"/>
    <x v="90"/>
    <x v="1"/>
    <x v="1"/>
  </r>
  <r>
    <x v="1320"/>
    <x v="1"/>
    <x v="92"/>
    <x v="0"/>
    <x v="24"/>
    <x v="3"/>
    <x v="325"/>
    <x v="72"/>
    <x v="0"/>
    <x v="0"/>
  </r>
  <r>
    <x v="1320"/>
    <x v="2"/>
    <x v="16"/>
    <x v="1"/>
    <x v="13"/>
    <x v="3"/>
    <x v="104"/>
    <x v="14"/>
    <x v="2"/>
    <x v="2"/>
  </r>
  <r>
    <x v="1321"/>
    <x v="0"/>
    <x v="76"/>
    <x v="1"/>
    <x v="50"/>
    <x v="2"/>
    <x v="449"/>
    <x v="69"/>
    <x v="1"/>
    <x v="1"/>
  </r>
  <r>
    <x v="1321"/>
    <x v="1"/>
    <x v="77"/>
    <x v="1"/>
    <x v="51"/>
    <x v="2"/>
    <x v="455"/>
    <x v="70"/>
    <x v="5"/>
    <x v="5"/>
  </r>
  <r>
    <x v="1322"/>
    <x v="0"/>
    <x v="97"/>
    <x v="1"/>
    <x v="4"/>
    <x v="1"/>
    <x v="13"/>
    <x v="89"/>
    <x v="1"/>
    <x v="1"/>
  </r>
  <r>
    <x v="1322"/>
    <x v="1"/>
    <x v="0"/>
    <x v="0"/>
    <x v="0"/>
    <x v="2"/>
    <x v="7"/>
    <x v="0"/>
    <x v="0"/>
    <x v="0"/>
  </r>
  <r>
    <x v="1322"/>
    <x v="2"/>
    <x v="63"/>
    <x v="0"/>
    <x v="43"/>
    <x v="2"/>
    <x v="178"/>
    <x v="56"/>
    <x v="0"/>
    <x v="0"/>
  </r>
  <r>
    <x v="1323"/>
    <x v="0"/>
    <x v="82"/>
    <x v="0"/>
    <x v="34"/>
    <x v="3"/>
    <x v="173"/>
    <x v="75"/>
    <x v="0"/>
    <x v="0"/>
  </r>
  <r>
    <x v="1323"/>
    <x v="1"/>
    <x v="110"/>
    <x v="1"/>
    <x v="50"/>
    <x v="0"/>
    <x v="312"/>
    <x v="102"/>
    <x v="1"/>
    <x v="1"/>
  </r>
  <r>
    <x v="1323"/>
    <x v="2"/>
    <x v="111"/>
    <x v="0"/>
    <x v="65"/>
    <x v="3"/>
    <x v="492"/>
    <x v="103"/>
    <x v="0"/>
    <x v="0"/>
  </r>
  <r>
    <x v="1323"/>
    <x v="3"/>
    <x v="5"/>
    <x v="0"/>
    <x v="4"/>
    <x v="0"/>
    <x v="90"/>
    <x v="5"/>
    <x v="1"/>
    <x v="1"/>
  </r>
  <r>
    <x v="1324"/>
    <x v="0"/>
    <x v="112"/>
    <x v="0"/>
    <x v="9"/>
    <x v="2"/>
    <x v="121"/>
    <x v="104"/>
    <x v="1"/>
    <x v="1"/>
  </r>
  <r>
    <x v="1324"/>
    <x v="1"/>
    <x v="113"/>
    <x v="0"/>
    <x v="65"/>
    <x v="2"/>
    <x v="493"/>
    <x v="105"/>
    <x v="0"/>
    <x v="0"/>
  </r>
  <r>
    <x v="1324"/>
    <x v="2"/>
    <x v="114"/>
    <x v="0"/>
    <x v="9"/>
    <x v="3"/>
    <x v="128"/>
    <x v="106"/>
    <x v="2"/>
    <x v="2"/>
  </r>
  <r>
    <x v="1324"/>
    <x v="3"/>
    <x v="76"/>
    <x v="0"/>
    <x v="50"/>
    <x v="1"/>
    <x v="202"/>
    <x v="69"/>
    <x v="1"/>
    <x v="1"/>
  </r>
  <r>
    <x v="1325"/>
    <x v="0"/>
    <x v="115"/>
    <x v="1"/>
    <x v="66"/>
    <x v="1"/>
    <x v="494"/>
    <x v="107"/>
    <x v="3"/>
    <x v="3"/>
  </r>
  <r>
    <x v="1325"/>
    <x v="1"/>
    <x v="116"/>
    <x v="1"/>
    <x v="67"/>
    <x v="1"/>
    <x v="495"/>
    <x v="108"/>
    <x v="4"/>
    <x v="4"/>
  </r>
  <r>
    <x v="1326"/>
    <x v="0"/>
    <x v="117"/>
    <x v="1"/>
    <x v="68"/>
    <x v="1"/>
    <x v="496"/>
    <x v="109"/>
    <x v="6"/>
    <x v="6"/>
  </r>
  <r>
    <x v="1326"/>
    <x v="1"/>
    <x v="111"/>
    <x v="1"/>
    <x v="65"/>
    <x v="3"/>
    <x v="497"/>
    <x v="103"/>
    <x v="0"/>
    <x v="0"/>
  </r>
  <r>
    <x v="1326"/>
    <x v="2"/>
    <x v="74"/>
    <x v="1"/>
    <x v="42"/>
    <x v="3"/>
    <x v="428"/>
    <x v="67"/>
    <x v="6"/>
    <x v="6"/>
  </r>
  <r>
    <x v="1326"/>
    <x v="3"/>
    <x v="118"/>
    <x v="0"/>
    <x v="69"/>
    <x v="0"/>
    <x v="498"/>
    <x v="110"/>
    <x v="6"/>
    <x v="6"/>
  </r>
  <r>
    <x v="1327"/>
    <x v="0"/>
    <x v="119"/>
    <x v="0"/>
    <x v="5"/>
    <x v="1"/>
    <x v="116"/>
    <x v="111"/>
    <x v="0"/>
    <x v="0"/>
  </r>
  <r>
    <x v="1327"/>
    <x v="1"/>
    <x v="120"/>
    <x v="1"/>
    <x v="69"/>
    <x v="3"/>
    <x v="499"/>
    <x v="112"/>
    <x v="1"/>
    <x v="1"/>
  </r>
  <r>
    <x v="1327"/>
    <x v="2"/>
    <x v="121"/>
    <x v="0"/>
    <x v="70"/>
    <x v="1"/>
    <x v="500"/>
    <x v="113"/>
    <x v="0"/>
    <x v="0"/>
  </r>
  <r>
    <x v="1327"/>
    <x v="3"/>
    <x v="122"/>
    <x v="0"/>
    <x v="5"/>
    <x v="3"/>
    <x v="92"/>
    <x v="111"/>
    <x v="0"/>
    <x v="0"/>
  </r>
  <r>
    <x v="1327"/>
    <x v="4"/>
    <x v="123"/>
    <x v="0"/>
    <x v="0"/>
    <x v="3"/>
    <x v="12"/>
    <x v="114"/>
    <x v="0"/>
    <x v="0"/>
  </r>
  <r>
    <x v="1328"/>
    <x v="0"/>
    <x v="124"/>
    <x v="0"/>
    <x v="56"/>
    <x v="1"/>
    <x v="297"/>
    <x v="115"/>
    <x v="6"/>
    <x v="6"/>
  </r>
  <r>
    <x v="1328"/>
    <x v="1"/>
    <x v="92"/>
    <x v="0"/>
    <x v="24"/>
    <x v="2"/>
    <x v="205"/>
    <x v="72"/>
    <x v="0"/>
    <x v="0"/>
  </r>
  <r>
    <x v="1328"/>
    <x v="2"/>
    <x v="66"/>
    <x v="0"/>
    <x v="45"/>
    <x v="1"/>
    <x v="310"/>
    <x v="59"/>
    <x v="6"/>
    <x v="6"/>
  </r>
  <r>
    <x v="1328"/>
    <x v="3"/>
    <x v="125"/>
    <x v="1"/>
    <x v="70"/>
    <x v="0"/>
    <x v="501"/>
    <x v="116"/>
    <x v="4"/>
    <x v="4"/>
  </r>
  <r>
    <x v="1328"/>
    <x v="4"/>
    <x v="17"/>
    <x v="0"/>
    <x v="11"/>
    <x v="3"/>
    <x v="21"/>
    <x v="15"/>
    <x v="0"/>
    <x v="0"/>
  </r>
  <r>
    <x v="1329"/>
    <x v="0"/>
    <x v="126"/>
    <x v="0"/>
    <x v="71"/>
    <x v="0"/>
    <x v="502"/>
    <x v="117"/>
    <x v="0"/>
    <x v="0"/>
  </r>
  <r>
    <x v="1329"/>
    <x v="1"/>
    <x v="127"/>
    <x v="1"/>
    <x v="72"/>
    <x v="2"/>
    <x v="503"/>
    <x v="118"/>
    <x v="0"/>
    <x v="0"/>
  </r>
  <r>
    <x v="1329"/>
    <x v="2"/>
    <x v="128"/>
    <x v="1"/>
    <x v="73"/>
    <x v="0"/>
    <x v="504"/>
    <x v="119"/>
    <x v="0"/>
    <x v="0"/>
  </r>
  <r>
    <x v="1329"/>
    <x v="3"/>
    <x v="48"/>
    <x v="1"/>
    <x v="26"/>
    <x v="2"/>
    <x v="162"/>
    <x v="34"/>
    <x v="0"/>
    <x v="0"/>
  </r>
  <r>
    <x v="1329"/>
    <x v="4"/>
    <x v="129"/>
    <x v="0"/>
    <x v="74"/>
    <x v="3"/>
    <x v="505"/>
    <x v="120"/>
    <x v="4"/>
    <x v="4"/>
  </r>
  <r>
    <x v="1330"/>
    <x v="0"/>
    <x v="130"/>
    <x v="0"/>
    <x v="44"/>
    <x v="2"/>
    <x v="227"/>
    <x v="121"/>
    <x v="3"/>
    <x v="3"/>
  </r>
  <r>
    <x v="1330"/>
    <x v="1"/>
    <x v="131"/>
    <x v="0"/>
    <x v="75"/>
    <x v="2"/>
    <x v="506"/>
    <x v="122"/>
    <x v="4"/>
    <x v="4"/>
  </r>
  <r>
    <x v="1330"/>
    <x v="2"/>
    <x v="132"/>
    <x v="1"/>
    <x v="1"/>
    <x v="3"/>
    <x v="96"/>
    <x v="123"/>
    <x v="6"/>
    <x v="6"/>
  </r>
  <r>
    <x v="1330"/>
    <x v="3"/>
    <x v="133"/>
    <x v="0"/>
    <x v="62"/>
    <x v="0"/>
    <x v="403"/>
    <x v="124"/>
    <x v="0"/>
    <x v="0"/>
  </r>
  <r>
    <x v="1331"/>
    <x v="0"/>
    <x v="134"/>
    <x v="0"/>
    <x v="75"/>
    <x v="0"/>
    <x v="507"/>
    <x v="125"/>
    <x v="4"/>
    <x v="4"/>
  </r>
  <r>
    <x v="1331"/>
    <x v="1"/>
    <x v="101"/>
    <x v="1"/>
    <x v="30"/>
    <x v="2"/>
    <x v="211"/>
    <x v="93"/>
    <x v="4"/>
    <x v="4"/>
  </r>
  <r>
    <x v="1331"/>
    <x v="2"/>
    <x v="135"/>
    <x v="1"/>
    <x v="69"/>
    <x v="1"/>
    <x v="508"/>
    <x v="126"/>
    <x v="6"/>
    <x v="6"/>
  </r>
  <r>
    <x v="1331"/>
    <x v="3"/>
    <x v="136"/>
    <x v="0"/>
    <x v="74"/>
    <x v="3"/>
    <x v="505"/>
    <x v="127"/>
    <x v="4"/>
    <x v="4"/>
  </r>
  <r>
    <x v="1332"/>
    <x v="0"/>
    <x v="137"/>
    <x v="1"/>
    <x v="23"/>
    <x v="2"/>
    <x v="244"/>
    <x v="128"/>
    <x v="3"/>
    <x v="3"/>
  </r>
  <r>
    <x v="1332"/>
    <x v="1"/>
    <x v="138"/>
    <x v="1"/>
    <x v="72"/>
    <x v="3"/>
    <x v="509"/>
    <x v="129"/>
    <x v="0"/>
    <x v="0"/>
  </r>
  <r>
    <x v="1332"/>
    <x v="2"/>
    <x v="40"/>
    <x v="1"/>
    <x v="15"/>
    <x v="3"/>
    <x v="50"/>
    <x v="35"/>
    <x v="4"/>
    <x v="4"/>
  </r>
  <r>
    <x v="1332"/>
    <x v="3"/>
    <x v="10"/>
    <x v="0"/>
    <x v="8"/>
    <x v="2"/>
    <x v="101"/>
    <x v="9"/>
    <x v="0"/>
    <x v="0"/>
  </r>
  <r>
    <x v="1332"/>
    <x v="4"/>
    <x v="46"/>
    <x v="0"/>
    <x v="31"/>
    <x v="3"/>
    <x v="295"/>
    <x v="40"/>
    <x v="0"/>
    <x v="0"/>
  </r>
  <r>
    <x v="1333"/>
    <x v="0"/>
    <x v="139"/>
    <x v="1"/>
    <x v="23"/>
    <x v="2"/>
    <x v="244"/>
    <x v="130"/>
    <x v="3"/>
    <x v="3"/>
  </r>
  <r>
    <x v="1333"/>
    <x v="1"/>
    <x v="140"/>
    <x v="1"/>
    <x v="76"/>
    <x v="1"/>
    <x v="510"/>
    <x v="131"/>
    <x v="6"/>
    <x v="6"/>
  </r>
  <r>
    <x v="1333"/>
    <x v="2"/>
    <x v="73"/>
    <x v="1"/>
    <x v="49"/>
    <x v="3"/>
    <x v="511"/>
    <x v="66"/>
    <x v="4"/>
    <x v="4"/>
  </r>
  <r>
    <x v="1333"/>
    <x v="3"/>
    <x v="17"/>
    <x v="0"/>
    <x v="11"/>
    <x v="2"/>
    <x v="18"/>
    <x v="15"/>
    <x v="0"/>
    <x v="0"/>
  </r>
  <r>
    <x v="1333"/>
    <x v="4"/>
    <x v="41"/>
    <x v="0"/>
    <x v="27"/>
    <x v="2"/>
    <x v="258"/>
    <x v="36"/>
    <x v="1"/>
    <x v="1"/>
  </r>
  <r>
    <x v="1334"/>
    <x v="0"/>
    <x v="141"/>
    <x v="1"/>
    <x v="77"/>
    <x v="2"/>
    <x v="512"/>
    <x v="132"/>
    <x v="1"/>
    <x v="1"/>
  </r>
  <r>
    <x v="1335"/>
    <x v="0"/>
    <x v="61"/>
    <x v="1"/>
    <x v="4"/>
    <x v="0"/>
    <x v="73"/>
    <x v="54"/>
    <x v="1"/>
    <x v="1"/>
  </r>
  <r>
    <x v="1335"/>
    <x v="1"/>
    <x v="142"/>
    <x v="0"/>
    <x v="53"/>
    <x v="2"/>
    <x v="365"/>
    <x v="133"/>
    <x v="6"/>
    <x v="6"/>
  </r>
  <r>
    <x v="1335"/>
    <x v="2"/>
    <x v="20"/>
    <x v="1"/>
    <x v="11"/>
    <x v="1"/>
    <x v="35"/>
    <x v="15"/>
    <x v="0"/>
    <x v="0"/>
  </r>
  <r>
    <x v="1335"/>
    <x v="3"/>
    <x v="143"/>
    <x v="0"/>
    <x v="12"/>
    <x v="3"/>
    <x v="40"/>
    <x v="134"/>
    <x v="2"/>
    <x v="2"/>
  </r>
  <r>
    <x v="1335"/>
    <x v="4"/>
    <x v="144"/>
    <x v="0"/>
    <x v="66"/>
    <x v="3"/>
    <x v="513"/>
    <x v="135"/>
    <x v="3"/>
    <x v="3"/>
  </r>
  <r>
    <x v="1336"/>
    <x v="0"/>
    <x v="145"/>
    <x v="0"/>
    <x v="23"/>
    <x v="3"/>
    <x v="253"/>
    <x v="136"/>
    <x v="6"/>
    <x v="6"/>
  </r>
  <r>
    <x v="1337"/>
    <x v="0"/>
    <x v="146"/>
    <x v="1"/>
    <x v="53"/>
    <x v="1"/>
    <x v="208"/>
    <x v="137"/>
    <x v="6"/>
    <x v="6"/>
  </r>
  <r>
    <x v="1338"/>
    <x v="0"/>
    <x v="147"/>
    <x v="0"/>
    <x v="41"/>
    <x v="1"/>
    <x v="339"/>
    <x v="138"/>
    <x v="6"/>
    <x v="6"/>
  </r>
  <r>
    <x v="1339"/>
    <x v="0"/>
    <x v="130"/>
    <x v="0"/>
    <x v="44"/>
    <x v="0"/>
    <x v="235"/>
    <x v="121"/>
    <x v="3"/>
    <x v="3"/>
  </r>
  <r>
    <x v="1339"/>
    <x v="1"/>
    <x v="102"/>
    <x v="1"/>
    <x v="30"/>
    <x v="0"/>
    <x v="266"/>
    <x v="94"/>
    <x v="4"/>
    <x v="4"/>
  </r>
  <r>
    <x v="1339"/>
    <x v="2"/>
    <x v="148"/>
    <x v="1"/>
    <x v="78"/>
    <x v="2"/>
    <x v="514"/>
    <x v="139"/>
    <x v="0"/>
    <x v="0"/>
  </r>
  <r>
    <x v="1340"/>
    <x v="0"/>
    <x v="149"/>
    <x v="1"/>
    <x v="5"/>
    <x v="1"/>
    <x v="130"/>
    <x v="140"/>
    <x v="0"/>
    <x v="0"/>
  </r>
  <r>
    <x v="1340"/>
    <x v="1"/>
    <x v="28"/>
    <x v="1"/>
    <x v="21"/>
    <x v="0"/>
    <x v="410"/>
    <x v="24"/>
    <x v="6"/>
    <x v="6"/>
  </r>
  <r>
    <x v="1340"/>
    <x v="2"/>
    <x v="150"/>
    <x v="1"/>
    <x v="65"/>
    <x v="2"/>
    <x v="515"/>
    <x v="141"/>
    <x v="0"/>
    <x v="0"/>
  </r>
  <r>
    <x v="1340"/>
    <x v="3"/>
    <x v="82"/>
    <x v="1"/>
    <x v="34"/>
    <x v="2"/>
    <x v="251"/>
    <x v="75"/>
    <x v="0"/>
    <x v="0"/>
  </r>
  <r>
    <x v="1341"/>
    <x v="0"/>
    <x v="91"/>
    <x v="0"/>
    <x v="57"/>
    <x v="2"/>
    <x v="335"/>
    <x v="84"/>
    <x v="3"/>
    <x v="3"/>
  </r>
  <r>
    <x v="1341"/>
    <x v="1"/>
    <x v="151"/>
    <x v="0"/>
    <x v="30"/>
    <x v="2"/>
    <x v="338"/>
    <x v="142"/>
    <x v="4"/>
    <x v="4"/>
  </r>
  <r>
    <x v="1342"/>
    <x v="0"/>
    <x v="152"/>
    <x v="0"/>
    <x v="79"/>
    <x v="2"/>
    <x v="516"/>
    <x v="143"/>
    <x v="0"/>
    <x v="0"/>
  </r>
  <r>
    <x v="1342"/>
    <x v="1"/>
    <x v="40"/>
    <x v="0"/>
    <x v="15"/>
    <x v="2"/>
    <x v="115"/>
    <x v="35"/>
    <x v="4"/>
    <x v="4"/>
  </r>
  <r>
    <x v="1342"/>
    <x v="2"/>
    <x v="153"/>
    <x v="1"/>
    <x v="25"/>
    <x v="0"/>
    <x v="165"/>
    <x v="144"/>
    <x v="6"/>
    <x v="6"/>
  </r>
  <r>
    <x v="1342"/>
    <x v="3"/>
    <x v="105"/>
    <x v="1"/>
    <x v="63"/>
    <x v="0"/>
    <x v="384"/>
    <x v="97"/>
    <x v="0"/>
    <x v="0"/>
  </r>
  <r>
    <x v="1342"/>
    <x v="4"/>
    <x v="154"/>
    <x v="0"/>
    <x v="80"/>
    <x v="3"/>
    <x v="517"/>
    <x v="145"/>
    <x v="2"/>
    <x v="2"/>
  </r>
  <r>
    <x v="1343"/>
    <x v="0"/>
    <x v="104"/>
    <x v="1"/>
    <x v="62"/>
    <x v="1"/>
    <x v="278"/>
    <x v="96"/>
    <x v="0"/>
    <x v="0"/>
  </r>
  <r>
    <x v="1343"/>
    <x v="1"/>
    <x v="27"/>
    <x v="1"/>
    <x v="20"/>
    <x v="0"/>
    <x v="238"/>
    <x v="23"/>
    <x v="5"/>
    <x v="5"/>
  </r>
  <r>
    <x v="1343"/>
    <x v="2"/>
    <x v="5"/>
    <x v="0"/>
    <x v="4"/>
    <x v="1"/>
    <x v="133"/>
    <x v="5"/>
    <x v="1"/>
    <x v="1"/>
  </r>
  <r>
    <x v="1343"/>
    <x v="3"/>
    <x v="32"/>
    <x v="0"/>
    <x v="23"/>
    <x v="1"/>
    <x v="193"/>
    <x v="28"/>
    <x v="3"/>
    <x v="3"/>
  </r>
  <r>
    <x v="1344"/>
    <x v="0"/>
    <x v="95"/>
    <x v="1"/>
    <x v="23"/>
    <x v="0"/>
    <x v="377"/>
    <x v="87"/>
    <x v="1"/>
    <x v="1"/>
  </r>
  <r>
    <x v="1344"/>
    <x v="1"/>
    <x v="155"/>
    <x v="1"/>
    <x v="41"/>
    <x v="2"/>
    <x v="176"/>
    <x v="146"/>
    <x v="6"/>
    <x v="6"/>
  </r>
  <r>
    <x v="1344"/>
    <x v="2"/>
    <x v="156"/>
    <x v="1"/>
    <x v="2"/>
    <x v="0"/>
    <x v="54"/>
    <x v="147"/>
    <x v="6"/>
    <x v="6"/>
  </r>
  <r>
    <x v="1344"/>
    <x v="3"/>
    <x v="6"/>
    <x v="1"/>
    <x v="5"/>
    <x v="0"/>
    <x v="39"/>
    <x v="6"/>
    <x v="1"/>
    <x v="1"/>
  </r>
  <r>
    <x v="1345"/>
    <x v="0"/>
    <x v="157"/>
    <x v="1"/>
    <x v="42"/>
    <x v="2"/>
    <x v="199"/>
    <x v="148"/>
    <x v="1"/>
    <x v="1"/>
  </r>
  <r>
    <x v="1345"/>
    <x v="1"/>
    <x v="158"/>
    <x v="0"/>
    <x v="76"/>
    <x v="2"/>
    <x v="518"/>
    <x v="149"/>
    <x v="6"/>
    <x v="6"/>
  </r>
  <r>
    <x v="1345"/>
    <x v="2"/>
    <x v="9"/>
    <x v="1"/>
    <x v="7"/>
    <x v="2"/>
    <x v="32"/>
    <x v="8"/>
    <x v="0"/>
    <x v="0"/>
  </r>
  <r>
    <x v="1345"/>
    <x v="3"/>
    <x v="159"/>
    <x v="0"/>
    <x v="5"/>
    <x v="3"/>
    <x v="92"/>
    <x v="150"/>
    <x v="0"/>
    <x v="0"/>
  </r>
  <r>
    <x v="1345"/>
    <x v="4"/>
    <x v="160"/>
    <x v="1"/>
    <x v="81"/>
    <x v="0"/>
    <x v="519"/>
    <x v="151"/>
    <x v="4"/>
    <x v="4"/>
  </r>
  <r>
    <x v="1346"/>
    <x v="0"/>
    <x v="52"/>
    <x v="1"/>
    <x v="28"/>
    <x v="1"/>
    <x v="156"/>
    <x v="45"/>
    <x v="1"/>
    <x v="1"/>
  </r>
  <r>
    <x v="1346"/>
    <x v="1"/>
    <x v="29"/>
    <x v="0"/>
    <x v="5"/>
    <x v="2"/>
    <x v="132"/>
    <x v="25"/>
    <x v="6"/>
    <x v="6"/>
  </r>
  <r>
    <x v="1347"/>
    <x v="0"/>
    <x v="139"/>
    <x v="0"/>
    <x v="23"/>
    <x v="2"/>
    <x v="292"/>
    <x v="130"/>
    <x v="3"/>
    <x v="3"/>
  </r>
  <r>
    <x v="1347"/>
    <x v="1"/>
    <x v="161"/>
    <x v="0"/>
    <x v="21"/>
    <x v="2"/>
    <x v="347"/>
    <x v="152"/>
    <x v="6"/>
    <x v="6"/>
  </r>
  <r>
    <x v="1347"/>
    <x v="2"/>
    <x v="71"/>
    <x v="1"/>
    <x v="23"/>
    <x v="3"/>
    <x v="149"/>
    <x v="64"/>
    <x v="6"/>
    <x v="6"/>
  </r>
  <r>
    <x v="1347"/>
    <x v="3"/>
    <x v="162"/>
    <x v="0"/>
    <x v="1"/>
    <x v="1"/>
    <x v="31"/>
    <x v="153"/>
    <x v="6"/>
    <x v="6"/>
  </r>
  <r>
    <x v="1348"/>
    <x v="0"/>
    <x v="141"/>
    <x v="1"/>
    <x v="77"/>
    <x v="2"/>
    <x v="512"/>
    <x v="132"/>
    <x v="1"/>
    <x v="1"/>
  </r>
  <r>
    <x v="1348"/>
    <x v="1"/>
    <x v="137"/>
    <x v="1"/>
    <x v="23"/>
    <x v="1"/>
    <x v="179"/>
    <x v="128"/>
    <x v="3"/>
    <x v="3"/>
  </r>
  <r>
    <x v="1348"/>
    <x v="2"/>
    <x v="163"/>
    <x v="1"/>
    <x v="2"/>
    <x v="0"/>
    <x v="54"/>
    <x v="154"/>
    <x v="6"/>
    <x v="6"/>
  </r>
  <r>
    <x v="1348"/>
    <x v="3"/>
    <x v="153"/>
    <x v="0"/>
    <x v="25"/>
    <x v="0"/>
    <x v="152"/>
    <x v="144"/>
    <x v="6"/>
    <x v="6"/>
  </r>
  <r>
    <x v="1349"/>
    <x v="0"/>
    <x v="164"/>
    <x v="0"/>
    <x v="5"/>
    <x v="3"/>
    <x v="92"/>
    <x v="155"/>
    <x v="0"/>
    <x v="0"/>
  </r>
  <r>
    <x v="1349"/>
    <x v="1"/>
    <x v="165"/>
    <x v="0"/>
    <x v="44"/>
    <x v="1"/>
    <x v="520"/>
    <x v="156"/>
    <x v="3"/>
    <x v="3"/>
  </r>
  <r>
    <x v="1349"/>
    <x v="2"/>
    <x v="130"/>
    <x v="0"/>
    <x v="44"/>
    <x v="1"/>
    <x v="520"/>
    <x v="121"/>
    <x v="3"/>
    <x v="3"/>
  </r>
  <r>
    <x v="1349"/>
    <x v="3"/>
    <x v="166"/>
    <x v="0"/>
    <x v="27"/>
    <x v="2"/>
    <x v="258"/>
    <x v="157"/>
    <x v="6"/>
    <x v="6"/>
  </r>
  <r>
    <x v="1349"/>
    <x v="4"/>
    <x v="17"/>
    <x v="1"/>
    <x v="11"/>
    <x v="0"/>
    <x v="78"/>
    <x v="15"/>
    <x v="0"/>
    <x v="0"/>
  </r>
  <r>
    <x v="1350"/>
    <x v="0"/>
    <x v="167"/>
    <x v="1"/>
    <x v="74"/>
    <x v="0"/>
    <x v="521"/>
    <x v="158"/>
    <x v="4"/>
    <x v="4"/>
  </r>
  <r>
    <x v="1350"/>
    <x v="1"/>
    <x v="168"/>
    <x v="0"/>
    <x v="42"/>
    <x v="3"/>
    <x v="404"/>
    <x v="159"/>
    <x v="1"/>
    <x v="1"/>
  </r>
  <r>
    <x v="1351"/>
    <x v="0"/>
    <x v="169"/>
    <x v="0"/>
    <x v="1"/>
    <x v="0"/>
    <x v="34"/>
    <x v="160"/>
    <x v="1"/>
    <x v="1"/>
  </r>
  <r>
    <x v="1351"/>
    <x v="1"/>
    <x v="58"/>
    <x v="1"/>
    <x v="40"/>
    <x v="3"/>
    <x v="431"/>
    <x v="51"/>
    <x v="6"/>
    <x v="6"/>
  </r>
  <r>
    <x v="1351"/>
    <x v="2"/>
    <x v="129"/>
    <x v="1"/>
    <x v="74"/>
    <x v="3"/>
    <x v="522"/>
    <x v="120"/>
    <x v="4"/>
    <x v="4"/>
  </r>
  <r>
    <x v="1351"/>
    <x v="3"/>
    <x v="106"/>
    <x v="1"/>
    <x v="39"/>
    <x v="0"/>
    <x v="355"/>
    <x v="98"/>
    <x v="4"/>
    <x v="4"/>
  </r>
  <r>
    <x v="1351"/>
    <x v="4"/>
    <x v="96"/>
    <x v="0"/>
    <x v="26"/>
    <x v="2"/>
    <x v="275"/>
    <x v="88"/>
    <x v="4"/>
    <x v="4"/>
  </r>
  <r>
    <x v="1352"/>
    <x v="0"/>
    <x v="92"/>
    <x v="1"/>
    <x v="24"/>
    <x v="2"/>
    <x v="293"/>
    <x v="72"/>
    <x v="0"/>
    <x v="0"/>
  </r>
  <r>
    <x v="1352"/>
    <x v="1"/>
    <x v="170"/>
    <x v="0"/>
    <x v="82"/>
    <x v="1"/>
    <x v="523"/>
    <x v="161"/>
    <x v="0"/>
    <x v="0"/>
  </r>
  <r>
    <x v="1352"/>
    <x v="2"/>
    <x v="133"/>
    <x v="0"/>
    <x v="62"/>
    <x v="0"/>
    <x v="403"/>
    <x v="124"/>
    <x v="0"/>
    <x v="0"/>
  </r>
  <r>
    <x v="1352"/>
    <x v="3"/>
    <x v="106"/>
    <x v="1"/>
    <x v="39"/>
    <x v="2"/>
    <x v="219"/>
    <x v="98"/>
    <x v="4"/>
    <x v="4"/>
  </r>
  <r>
    <x v="1353"/>
    <x v="0"/>
    <x v="171"/>
    <x v="1"/>
    <x v="5"/>
    <x v="1"/>
    <x v="130"/>
    <x v="162"/>
    <x v="6"/>
    <x v="6"/>
  </r>
  <r>
    <x v="1354"/>
    <x v="0"/>
    <x v="167"/>
    <x v="0"/>
    <x v="74"/>
    <x v="3"/>
    <x v="505"/>
    <x v="158"/>
    <x v="4"/>
    <x v="4"/>
  </r>
  <r>
    <x v="1354"/>
    <x v="1"/>
    <x v="130"/>
    <x v="0"/>
    <x v="44"/>
    <x v="1"/>
    <x v="520"/>
    <x v="121"/>
    <x v="3"/>
    <x v="3"/>
  </r>
  <r>
    <x v="1354"/>
    <x v="2"/>
    <x v="172"/>
    <x v="0"/>
    <x v="83"/>
    <x v="0"/>
    <x v="524"/>
    <x v="163"/>
    <x v="6"/>
    <x v="6"/>
  </r>
  <r>
    <x v="1354"/>
    <x v="3"/>
    <x v="173"/>
    <x v="1"/>
    <x v="19"/>
    <x v="3"/>
    <x v="145"/>
    <x v="164"/>
    <x v="5"/>
    <x v="5"/>
  </r>
  <r>
    <x v="1355"/>
    <x v="0"/>
    <x v="174"/>
    <x v="0"/>
    <x v="44"/>
    <x v="2"/>
    <x v="227"/>
    <x v="156"/>
    <x v="3"/>
    <x v="3"/>
  </r>
  <r>
    <x v="1355"/>
    <x v="1"/>
    <x v="175"/>
    <x v="1"/>
    <x v="9"/>
    <x v="3"/>
    <x v="42"/>
    <x v="165"/>
    <x v="3"/>
    <x v="3"/>
  </r>
  <r>
    <x v="1355"/>
    <x v="2"/>
    <x v="176"/>
    <x v="1"/>
    <x v="70"/>
    <x v="3"/>
    <x v="525"/>
    <x v="166"/>
    <x v="4"/>
    <x v="4"/>
  </r>
  <r>
    <x v="1356"/>
    <x v="0"/>
    <x v="132"/>
    <x v="1"/>
    <x v="1"/>
    <x v="0"/>
    <x v="82"/>
    <x v="123"/>
    <x v="6"/>
    <x v="6"/>
  </r>
  <r>
    <x v="1356"/>
    <x v="1"/>
    <x v="91"/>
    <x v="0"/>
    <x v="57"/>
    <x v="0"/>
    <x v="254"/>
    <x v="84"/>
    <x v="3"/>
    <x v="3"/>
  </r>
  <r>
    <x v="1356"/>
    <x v="2"/>
    <x v="177"/>
    <x v="0"/>
    <x v="69"/>
    <x v="0"/>
    <x v="498"/>
    <x v="167"/>
    <x v="1"/>
    <x v="1"/>
  </r>
  <r>
    <x v="1357"/>
    <x v="0"/>
    <x v="113"/>
    <x v="1"/>
    <x v="65"/>
    <x v="0"/>
    <x v="526"/>
    <x v="105"/>
    <x v="0"/>
    <x v="0"/>
  </r>
  <r>
    <x v="1358"/>
    <x v="0"/>
    <x v="129"/>
    <x v="0"/>
    <x v="74"/>
    <x v="2"/>
    <x v="527"/>
    <x v="120"/>
    <x v="4"/>
    <x v="4"/>
  </r>
  <r>
    <x v="1358"/>
    <x v="1"/>
    <x v="90"/>
    <x v="0"/>
    <x v="43"/>
    <x v="2"/>
    <x v="178"/>
    <x v="83"/>
    <x v="0"/>
    <x v="0"/>
  </r>
  <r>
    <x v="1359"/>
    <x v="0"/>
    <x v="93"/>
    <x v="0"/>
    <x v="58"/>
    <x v="2"/>
    <x v="528"/>
    <x v="85"/>
    <x v="1"/>
    <x v="1"/>
  </r>
  <r>
    <x v="1360"/>
    <x v="0"/>
    <x v="178"/>
    <x v="1"/>
    <x v="5"/>
    <x v="1"/>
    <x v="130"/>
    <x v="168"/>
    <x v="0"/>
    <x v="0"/>
  </r>
  <r>
    <x v="1360"/>
    <x v="1"/>
    <x v="145"/>
    <x v="0"/>
    <x v="23"/>
    <x v="2"/>
    <x v="292"/>
    <x v="136"/>
    <x v="6"/>
    <x v="6"/>
  </r>
  <r>
    <x v="1360"/>
    <x v="2"/>
    <x v="179"/>
    <x v="1"/>
    <x v="84"/>
    <x v="0"/>
    <x v="529"/>
    <x v="169"/>
    <x v="6"/>
    <x v="6"/>
  </r>
  <r>
    <x v="1361"/>
    <x v="0"/>
    <x v="97"/>
    <x v="1"/>
    <x v="4"/>
    <x v="0"/>
    <x v="73"/>
    <x v="89"/>
    <x v="1"/>
    <x v="1"/>
  </r>
  <r>
    <x v="1361"/>
    <x v="1"/>
    <x v="180"/>
    <x v="1"/>
    <x v="85"/>
    <x v="1"/>
    <x v="530"/>
    <x v="170"/>
    <x v="3"/>
    <x v="3"/>
  </r>
  <r>
    <x v="1361"/>
    <x v="2"/>
    <x v="4"/>
    <x v="1"/>
    <x v="3"/>
    <x v="0"/>
    <x v="84"/>
    <x v="4"/>
    <x v="1"/>
    <x v="1"/>
  </r>
  <r>
    <x v="1362"/>
    <x v="0"/>
    <x v="82"/>
    <x v="1"/>
    <x v="34"/>
    <x v="3"/>
    <x v="333"/>
    <x v="75"/>
    <x v="0"/>
    <x v="0"/>
  </r>
  <r>
    <x v="1363"/>
    <x v="0"/>
    <x v="46"/>
    <x v="0"/>
    <x v="31"/>
    <x v="1"/>
    <x v="280"/>
    <x v="40"/>
    <x v="0"/>
    <x v="0"/>
  </r>
  <r>
    <x v="1363"/>
    <x v="1"/>
    <x v="181"/>
    <x v="1"/>
    <x v="86"/>
    <x v="3"/>
    <x v="531"/>
    <x v="171"/>
    <x v="6"/>
    <x v="6"/>
  </r>
  <r>
    <x v="1363"/>
    <x v="2"/>
    <x v="182"/>
    <x v="0"/>
    <x v="50"/>
    <x v="3"/>
    <x v="336"/>
    <x v="172"/>
    <x v="6"/>
    <x v="6"/>
  </r>
  <r>
    <x v="1363"/>
    <x v="3"/>
    <x v="55"/>
    <x v="0"/>
    <x v="38"/>
    <x v="1"/>
    <x v="271"/>
    <x v="48"/>
    <x v="5"/>
    <x v="5"/>
  </r>
  <r>
    <x v="1364"/>
    <x v="0"/>
    <x v="183"/>
    <x v="0"/>
    <x v="68"/>
    <x v="1"/>
    <x v="532"/>
    <x v="173"/>
    <x v="6"/>
    <x v="6"/>
  </r>
  <r>
    <x v="1364"/>
    <x v="1"/>
    <x v="71"/>
    <x v="0"/>
    <x v="23"/>
    <x v="1"/>
    <x v="193"/>
    <x v="64"/>
    <x v="6"/>
    <x v="6"/>
  </r>
  <r>
    <x v="1364"/>
    <x v="2"/>
    <x v="184"/>
    <x v="0"/>
    <x v="5"/>
    <x v="2"/>
    <x v="132"/>
    <x v="174"/>
    <x v="0"/>
    <x v="0"/>
  </r>
  <r>
    <x v="1365"/>
    <x v="0"/>
    <x v="185"/>
    <x v="0"/>
    <x v="41"/>
    <x v="3"/>
    <x v="533"/>
    <x v="175"/>
    <x v="1"/>
    <x v="1"/>
  </r>
  <r>
    <x v="1365"/>
    <x v="1"/>
    <x v="186"/>
    <x v="1"/>
    <x v="87"/>
    <x v="0"/>
    <x v="534"/>
    <x v="176"/>
    <x v="1"/>
    <x v="1"/>
  </r>
  <r>
    <x v="1365"/>
    <x v="2"/>
    <x v="187"/>
    <x v="0"/>
    <x v="25"/>
    <x v="1"/>
    <x v="222"/>
    <x v="177"/>
    <x v="3"/>
    <x v="3"/>
  </r>
  <r>
    <x v="1366"/>
    <x v="0"/>
    <x v="188"/>
    <x v="0"/>
    <x v="42"/>
    <x v="3"/>
    <x v="404"/>
    <x v="178"/>
    <x v="1"/>
    <x v="1"/>
  </r>
  <r>
    <x v="1366"/>
    <x v="1"/>
    <x v="189"/>
    <x v="1"/>
    <x v="88"/>
    <x v="0"/>
    <x v="535"/>
    <x v="179"/>
    <x v="1"/>
    <x v="1"/>
  </r>
  <r>
    <x v="1366"/>
    <x v="2"/>
    <x v="190"/>
    <x v="0"/>
    <x v="89"/>
    <x v="1"/>
    <x v="536"/>
    <x v="180"/>
    <x v="1"/>
    <x v="1"/>
  </r>
  <r>
    <x v="1366"/>
    <x v="3"/>
    <x v="24"/>
    <x v="1"/>
    <x v="8"/>
    <x v="2"/>
    <x v="11"/>
    <x v="9"/>
    <x v="0"/>
    <x v="0"/>
  </r>
  <r>
    <x v="1367"/>
    <x v="0"/>
    <x v="82"/>
    <x v="0"/>
    <x v="34"/>
    <x v="3"/>
    <x v="173"/>
    <x v="75"/>
    <x v="0"/>
    <x v="0"/>
  </r>
  <r>
    <x v="1367"/>
    <x v="1"/>
    <x v="191"/>
    <x v="1"/>
    <x v="26"/>
    <x v="1"/>
    <x v="184"/>
    <x v="181"/>
    <x v="1"/>
    <x v="1"/>
  </r>
  <r>
    <x v="1367"/>
    <x v="2"/>
    <x v="192"/>
    <x v="0"/>
    <x v="76"/>
    <x v="0"/>
    <x v="537"/>
    <x v="182"/>
    <x v="3"/>
    <x v="3"/>
  </r>
  <r>
    <x v="1368"/>
    <x v="0"/>
    <x v="193"/>
    <x v="1"/>
    <x v="11"/>
    <x v="2"/>
    <x v="64"/>
    <x v="183"/>
    <x v="0"/>
    <x v="0"/>
  </r>
  <r>
    <x v="1369"/>
    <x v="0"/>
    <x v="14"/>
    <x v="0"/>
    <x v="12"/>
    <x v="1"/>
    <x v="140"/>
    <x v="13"/>
    <x v="1"/>
    <x v="1"/>
  </r>
  <r>
    <x v="1369"/>
    <x v="1"/>
    <x v="84"/>
    <x v="1"/>
    <x v="30"/>
    <x v="3"/>
    <x v="343"/>
    <x v="77"/>
    <x v="4"/>
    <x v="4"/>
  </r>
  <r>
    <x v="1369"/>
    <x v="2"/>
    <x v="194"/>
    <x v="1"/>
    <x v="1"/>
    <x v="0"/>
    <x v="82"/>
    <x v="184"/>
    <x v="2"/>
    <x v="2"/>
  </r>
  <r>
    <x v="1369"/>
    <x v="3"/>
    <x v="157"/>
    <x v="0"/>
    <x v="42"/>
    <x v="3"/>
    <x v="404"/>
    <x v="148"/>
    <x v="1"/>
    <x v="1"/>
  </r>
  <r>
    <x v="1370"/>
    <x v="0"/>
    <x v="195"/>
    <x v="1"/>
    <x v="10"/>
    <x v="1"/>
    <x v="109"/>
    <x v="185"/>
    <x v="0"/>
    <x v="0"/>
  </r>
  <r>
    <x v="1370"/>
    <x v="1"/>
    <x v="1"/>
    <x v="1"/>
    <x v="1"/>
    <x v="0"/>
    <x v="82"/>
    <x v="1"/>
    <x v="1"/>
    <x v="1"/>
  </r>
  <r>
    <x v="1371"/>
    <x v="0"/>
    <x v="178"/>
    <x v="0"/>
    <x v="5"/>
    <x v="1"/>
    <x v="116"/>
    <x v="168"/>
    <x v="0"/>
    <x v="0"/>
  </r>
  <r>
    <x v="1371"/>
    <x v="1"/>
    <x v="125"/>
    <x v="1"/>
    <x v="70"/>
    <x v="0"/>
    <x v="501"/>
    <x v="116"/>
    <x v="4"/>
    <x v="4"/>
  </r>
  <r>
    <x v="1372"/>
    <x v="0"/>
    <x v="65"/>
    <x v="0"/>
    <x v="25"/>
    <x v="3"/>
    <x v="315"/>
    <x v="58"/>
    <x v="2"/>
    <x v="2"/>
  </r>
  <r>
    <x v="1373"/>
    <x v="0"/>
    <x v="196"/>
    <x v="1"/>
    <x v="90"/>
    <x v="2"/>
    <x v="538"/>
    <x v="186"/>
    <x v="6"/>
    <x v="6"/>
  </r>
  <r>
    <x v="1373"/>
    <x v="1"/>
    <x v="177"/>
    <x v="1"/>
    <x v="69"/>
    <x v="1"/>
    <x v="508"/>
    <x v="167"/>
    <x v="1"/>
    <x v="1"/>
  </r>
  <r>
    <x v="1374"/>
    <x v="0"/>
    <x v="162"/>
    <x v="1"/>
    <x v="1"/>
    <x v="2"/>
    <x v="134"/>
    <x v="153"/>
    <x v="6"/>
    <x v="6"/>
  </r>
  <r>
    <x v="1374"/>
    <x v="1"/>
    <x v="197"/>
    <x v="0"/>
    <x v="50"/>
    <x v="0"/>
    <x v="324"/>
    <x v="187"/>
    <x v="6"/>
    <x v="6"/>
  </r>
  <r>
    <x v="1375"/>
    <x v="0"/>
    <x v="21"/>
    <x v="0"/>
    <x v="16"/>
    <x v="1"/>
    <x v="105"/>
    <x v="18"/>
    <x v="1"/>
    <x v="1"/>
  </r>
  <r>
    <x v="1376"/>
    <x v="0"/>
    <x v="145"/>
    <x v="1"/>
    <x v="23"/>
    <x v="2"/>
    <x v="244"/>
    <x v="136"/>
    <x v="6"/>
    <x v="6"/>
  </r>
  <r>
    <x v="1376"/>
    <x v="1"/>
    <x v="177"/>
    <x v="0"/>
    <x v="69"/>
    <x v="2"/>
    <x v="539"/>
    <x v="167"/>
    <x v="1"/>
    <x v="1"/>
  </r>
  <r>
    <x v="1376"/>
    <x v="2"/>
    <x v="74"/>
    <x v="0"/>
    <x v="42"/>
    <x v="1"/>
    <x v="245"/>
    <x v="67"/>
    <x v="6"/>
    <x v="6"/>
  </r>
  <r>
    <x v="1376"/>
    <x v="3"/>
    <x v="198"/>
    <x v="1"/>
    <x v="25"/>
    <x v="1"/>
    <x v="182"/>
    <x v="188"/>
    <x v="3"/>
    <x v="3"/>
  </r>
  <r>
    <x v="1377"/>
    <x v="0"/>
    <x v="81"/>
    <x v="1"/>
    <x v="29"/>
    <x v="1"/>
    <x v="172"/>
    <x v="74"/>
    <x v="4"/>
    <x v="4"/>
  </r>
  <r>
    <x v="1377"/>
    <x v="1"/>
    <x v="199"/>
    <x v="1"/>
    <x v="41"/>
    <x v="1"/>
    <x v="540"/>
    <x v="189"/>
    <x v="1"/>
    <x v="1"/>
  </r>
  <r>
    <x v="1377"/>
    <x v="2"/>
    <x v="6"/>
    <x v="1"/>
    <x v="5"/>
    <x v="0"/>
    <x v="39"/>
    <x v="6"/>
    <x v="1"/>
    <x v="1"/>
  </r>
  <r>
    <x v="1377"/>
    <x v="3"/>
    <x v="55"/>
    <x v="0"/>
    <x v="38"/>
    <x v="1"/>
    <x v="271"/>
    <x v="48"/>
    <x v="5"/>
    <x v="5"/>
  </r>
  <r>
    <x v="1377"/>
    <x v="4"/>
    <x v="120"/>
    <x v="1"/>
    <x v="69"/>
    <x v="0"/>
    <x v="541"/>
    <x v="112"/>
    <x v="1"/>
    <x v="1"/>
  </r>
  <r>
    <x v="1378"/>
    <x v="0"/>
    <x v="12"/>
    <x v="0"/>
    <x v="10"/>
    <x v="3"/>
    <x v="80"/>
    <x v="11"/>
    <x v="0"/>
    <x v="0"/>
  </r>
  <r>
    <x v="1378"/>
    <x v="1"/>
    <x v="200"/>
    <x v="0"/>
    <x v="4"/>
    <x v="3"/>
    <x v="16"/>
    <x v="190"/>
    <x v="1"/>
    <x v="1"/>
  </r>
  <r>
    <x v="1378"/>
    <x v="2"/>
    <x v="160"/>
    <x v="1"/>
    <x v="81"/>
    <x v="3"/>
    <x v="542"/>
    <x v="151"/>
    <x v="4"/>
    <x v="4"/>
  </r>
  <r>
    <x v="1379"/>
    <x v="0"/>
    <x v="201"/>
    <x v="1"/>
    <x v="65"/>
    <x v="3"/>
    <x v="497"/>
    <x v="191"/>
    <x v="0"/>
    <x v="0"/>
  </r>
  <r>
    <x v="1379"/>
    <x v="1"/>
    <x v="202"/>
    <x v="1"/>
    <x v="73"/>
    <x v="1"/>
    <x v="543"/>
    <x v="192"/>
    <x v="0"/>
    <x v="0"/>
  </r>
  <r>
    <x v="1380"/>
    <x v="0"/>
    <x v="203"/>
    <x v="1"/>
    <x v="91"/>
    <x v="0"/>
    <x v="544"/>
    <x v="193"/>
    <x v="4"/>
    <x v="4"/>
  </r>
  <r>
    <x v="1380"/>
    <x v="1"/>
    <x v="204"/>
    <x v="1"/>
    <x v="65"/>
    <x v="3"/>
    <x v="497"/>
    <x v="194"/>
    <x v="0"/>
    <x v="0"/>
  </r>
  <r>
    <x v="1381"/>
    <x v="0"/>
    <x v="126"/>
    <x v="0"/>
    <x v="71"/>
    <x v="0"/>
    <x v="502"/>
    <x v="117"/>
    <x v="0"/>
    <x v="0"/>
  </r>
  <r>
    <x v="1381"/>
    <x v="1"/>
    <x v="89"/>
    <x v="1"/>
    <x v="56"/>
    <x v="2"/>
    <x v="220"/>
    <x v="82"/>
    <x v="0"/>
    <x v="0"/>
  </r>
  <r>
    <x v="1381"/>
    <x v="2"/>
    <x v="205"/>
    <x v="0"/>
    <x v="92"/>
    <x v="3"/>
    <x v="545"/>
    <x v="195"/>
    <x v="0"/>
    <x v="0"/>
  </r>
  <r>
    <x v="1381"/>
    <x v="3"/>
    <x v="206"/>
    <x v="0"/>
    <x v="42"/>
    <x v="1"/>
    <x v="245"/>
    <x v="196"/>
    <x v="1"/>
    <x v="1"/>
  </r>
  <r>
    <x v="1381"/>
    <x v="4"/>
    <x v="207"/>
    <x v="0"/>
    <x v="5"/>
    <x v="0"/>
    <x v="56"/>
    <x v="168"/>
    <x v="0"/>
    <x v="0"/>
  </r>
  <r>
    <x v="1382"/>
    <x v="0"/>
    <x v="198"/>
    <x v="1"/>
    <x v="25"/>
    <x v="0"/>
    <x v="165"/>
    <x v="188"/>
    <x v="3"/>
    <x v="3"/>
  </r>
  <r>
    <x v="1382"/>
    <x v="1"/>
    <x v="105"/>
    <x v="1"/>
    <x v="63"/>
    <x v="2"/>
    <x v="380"/>
    <x v="97"/>
    <x v="0"/>
    <x v="0"/>
  </r>
  <r>
    <x v="1383"/>
    <x v="0"/>
    <x v="33"/>
    <x v="0"/>
    <x v="14"/>
    <x v="1"/>
    <x v="29"/>
    <x v="29"/>
    <x v="1"/>
    <x v="1"/>
  </r>
  <r>
    <x v="1383"/>
    <x v="1"/>
    <x v="199"/>
    <x v="1"/>
    <x v="41"/>
    <x v="3"/>
    <x v="216"/>
    <x v="189"/>
    <x v="1"/>
    <x v="1"/>
  </r>
  <r>
    <x v="1383"/>
    <x v="2"/>
    <x v="84"/>
    <x v="0"/>
    <x v="30"/>
    <x v="3"/>
    <x v="276"/>
    <x v="77"/>
    <x v="4"/>
    <x v="4"/>
  </r>
  <r>
    <x v="1383"/>
    <x v="3"/>
    <x v="44"/>
    <x v="0"/>
    <x v="29"/>
    <x v="2"/>
    <x v="277"/>
    <x v="38"/>
    <x v="4"/>
    <x v="4"/>
  </r>
  <r>
    <x v="1384"/>
    <x v="0"/>
    <x v="24"/>
    <x v="1"/>
    <x v="8"/>
    <x v="2"/>
    <x v="11"/>
    <x v="9"/>
    <x v="0"/>
    <x v="0"/>
  </r>
  <r>
    <x v="1384"/>
    <x v="1"/>
    <x v="132"/>
    <x v="0"/>
    <x v="1"/>
    <x v="1"/>
    <x v="31"/>
    <x v="123"/>
    <x v="6"/>
    <x v="6"/>
  </r>
  <r>
    <x v="1384"/>
    <x v="2"/>
    <x v="62"/>
    <x v="1"/>
    <x v="42"/>
    <x v="3"/>
    <x v="428"/>
    <x v="55"/>
    <x v="1"/>
    <x v="1"/>
  </r>
  <r>
    <x v="1384"/>
    <x v="3"/>
    <x v="206"/>
    <x v="0"/>
    <x v="42"/>
    <x v="2"/>
    <x v="196"/>
    <x v="196"/>
    <x v="1"/>
    <x v="1"/>
  </r>
  <r>
    <x v="1385"/>
    <x v="0"/>
    <x v="208"/>
    <x v="0"/>
    <x v="75"/>
    <x v="0"/>
    <x v="507"/>
    <x v="197"/>
    <x v="4"/>
    <x v="4"/>
  </r>
  <r>
    <x v="1385"/>
    <x v="1"/>
    <x v="209"/>
    <x v="0"/>
    <x v="33"/>
    <x v="3"/>
    <x v="398"/>
    <x v="198"/>
    <x v="4"/>
    <x v="4"/>
  </r>
  <r>
    <x v="1385"/>
    <x v="2"/>
    <x v="210"/>
    <x v="0"/>
    <x v="65"/>
    <x v="3"/>
    <x v="492"/>
    <x v="191"/>
    <x v="0"/>
    <x v="0"/>
  </r>
  <r>
    <x v="1385"/>
    <x v="3"/>
    <x v="158"/>
    <x v="0"/>
    <x v="76"/>
    <x v="1"/>
    <x v="546"/>
    <x v="149"/>
    <x v="6"/>
    <x v="6"/>
  </r>
  <r>
    <x v="1386"/>
    <x v="0"/>
    <x v="26"/>
    <x v="0"/>
    <x v="19"/>
    <x v="3"/>
    <x v="201"/>
    <x v="22"/>
    <x v="0"/>
    <x v="0"/>
  </r>
  <r>
    <x v="1387"/>
    <x v="0"/>
    <x v="211"/>
    <x v="0"/>
    <x v="9"/>
    <x v="3"/>
    <x v="128"/>
    <x v="199"/>
    <x v="3"/>
    <x v="3"/>
  </r>
  <r>
    <x v="1388"/>
    <x v="0"/>
    <x v="25"/>
    <x v="1"/>
    <x v="18"/>
    <x v="3"/>
    <x v="446"/>
    <x v="21"/>
    <x v="4"/>
    <x v="4"/>
  </r>
  <r>
    <x v="1388"/>
    <x v="1"/>
    <x v="212"/>
    <x v="1"/>
    <x v="41"/>
    <x v="2"/>
    <x v="176"/>
    <x v="200"/>
    <x v="6"/>
    <x v="6"/>
  </r>
  <r>
    <x v="1388"/>
    <x v="2"/>
    <x v="213"/>
    <x v="0"/>
    <x v="70"/>
    <x v="1"/>
    <x v="500"/>
    <x v="201"/>
    <x v="0"/>
    <x v="0"/>
  </r>
  <r>
    <x v="1389"/>
    <x v="0"/>
    <x v="67"/>
    <x v="1"/>
    <x v="46"/>
    <x v="2"/>
    <x v="185"/>
    <x v="60"/>
    <x v="1"/>
    <x v="1"/>
  </r>
  <r>
    <x v="1389"/>
    <x v="1"/>
    <x v="97"/>
    <x v="1"/>
    <x v="4"/>
    <x v="2"/>
    <x v="79"/>
    <x v="89"/>
    <x v="1"/>
    <x v="1"/>
  </r>
  <r>
    <x v="1389"/>
    <x v="2"/>
    <x v="210"/>
    <x v="0"/>
    <x v="65"/>
    <x v="3"/>
    <x v="492"/>
    <x v="191"/>
    <x v="0"/>
    <x v="0"/>
  </r>
  <r>
    <x v="1389"/>
    <x v="3"/>
    <x v="77"/>
    <x v="0"/>
    <x v="51"/>
    <x v="2"/>
    <x v="482"/>
    <x v="70"/>
    <x v="5"/>
    <x v="5"/>
  </r>
  <r>
    <x v="1389"/>
    <x v="4"/>
    <x v="162"/>
    <x v="1"/>
    <x v="1"/>
    <x v="3"/>
    <x v="96"/>
    <x v="153"/>
    <x v="6"/>
    <x v="6"/>
  </r>
  <r>
    <x v="1390"/>
    <x v="0"/>
    <x v="195"/>
    <x v="1"/>
    <x v="10"/>
    <x v="1"/>
    <x v="109"/>
    <x v="185"/>
    <x v="0"/>
    <x v="0"/>
  </r>
  <r>
    <x v="1390"/>
    <x v="1"/>
    <x v="214"/>
    <x v="1"/>
    <x v="70"/>
    <x v="0"/>
    <x v="501"/>
    <x v="202"/>
    <x v="4"/>
    <x v="4"/>
  </r>
  <r>
    <x v="1390"/>
    <x v="2"/>
    <x v="215"/>
    <x v="0"/>
    <x v="75"/>
    <x v="0"/>
    <x v="507"/>
    <x v="203"/>
    <x v="4"/>
    <x v="4"/>
  </r>
  <r>
    <x v="1391"/>
    <x v="0"/>
    <x v="108"/>
    <x v="1"/>
    <x v="37"/>
    <x v="0"/>
    <x v="229"/>
    <x v="100"/>
    <x v="4"/>
    <x v="4"/>
  </r>
  <r>
    <x v="1391"/>
    <x v="1"/>
    <x v="216"/>
    <x v="1"/>
    <x v="65"/>
    <x v="2"/>
    <x v="515"/>
    <x v="204"/>
    <x v="0"/>
    <x v="0"/>
  </r>
  <r>
    <x v="1392"/>
    <x v="0"/>
    <x v="102"/>
    <x v="0"/>
    <x v="30"/>
    <x v="1"/>
    <x v="158"/>
    <x v="94"/>
    <x v="4"/>
    <x v="4"/>
  </r>
  <r>
    <x v="1392"/>
    <x v="1"/>
    <x v="90"/>
    <x v="0"/>
    <x v="43"/>
    <x v="1"/>
    <x v="348"/>
    <x v="83"/>
    <x v="0"/>
    <x v="0"/>
  </r>
  <r>
    <x v="1392"/>
    <x v="2"/>
    <x v="42"/>
    <x v="1"/>
    <x v="28"/>
    <x v="2"/>
    <x v="181"/>
    <x v="37"/>
    <x v="1"/>
    <x v="1"/>
  </r>
  <r>
    <x v="1392"/>
    <x v="3"/>
    <x v="217"/>
    <x v="1"/>
    <x v="93"/>
    <x v="2"/>
    <x v="547"/>
    <x v="205"/>
    <x v="4"/>
    <x v="4"/>
  </r>
  <r>
    <x v="1393"/>
    <x v="0"/>
    <x v="218"/>
    <x v="1"/>
    <x v="50"/>
    <x v="2"/>
    <x v="449"/>
    <x v="206"/>
    <x v="6"/>
    <x v="6"/>
  </r>
  <r>
    <x v="1394"/>
    <x v="0"/>
    <x v="180"/>
    <x v="0"/>
    <x v="85"/>
    <x v="0"/>
    <x v="548"/>
    <x v="170"/>
    <x v="3"/>
    <x v="3"/>
  </r>
  <r>
    <x v="1394"/>
    <x v="1"/>
    <x v="74"/>
    <x v="1"/>
    <x v="42"/>
    <x v="3"/>
    <x v="428"/>
    <x v="67"/>
    <x v="6"/>
    <x v="6"/>
  </r>
  <r>
    <x v="1394"/>
    <x v="2"/>
    <x v="118"/>
    <x v="1"/>
    <x v="69"/>
    <x v="0"/>
    <x v="541"/>
    <x v="110"/>
    <x v="6"/>
    <x v="6"/>
  </r>
  <r>
    <x v="1394"/>
    <x v="3"/>
    <x v="219"/>
    <x v="0"/>
    <x v="72"/>
    <x v="3"/>
    <x v="549"/>
    <x v="129"/>
    <x v="0"/>
    <x v="0"/>
  </r>
  <r>
    <x v="1395"/>
    <x v="0"/>
    <x v="94"/>
    <x v="0"/>
    <x v="59"/>
    <x v="2"/>
    <x v="419"/>
    <x v="86"/>
    <x v="6"/>
    <x v="6"/>
  </r>
  <r>
    <x v="1395"/>
    <x v="1"/>
    <x v="196"/>
    <x v="0"/>
    <x v="90"/>
    <x v="0"/>
    <x v="550"/>
    <x v="186"/>
    <x v="6"/>
    <x v="6"/>
  </r>
  <r>
    <x v="1396"/>
    <x v="0"/>
    <x v="220"/>
    <x v="1"/>
    <x v="14"/>
    <x v="3"/>
    <x v="110"/>
    <x v="207"/>
    <x v="1"/>
    <x v="1"/>
  </r>
  <r>
    <x v="1396"/>
    <x v="1"/>
    <x v="112"/>
    <x v="0"/>
    <x v="9"/>
    <x v="1"/>
    <x v="45"/>
    <x v="104"/>
    <x v="1"/>
    <x v="1"/>
  </r>
  <r>
    <x v="1396"/>
    <x v="2"/>
    <x v="14"/>
    <x v="0"/>
    <x v="12"/>
    <x v="2"/>
    <x v="55"/>
    <x v="13"/>
    <x v="1"/>
    <x v="1"/>
  </r>
  <r>
    <x v="1396"/>
    <x v="3"/>
    <x v="159"/>
    <x v="0"/>
    <x v="5"/>
    <x v="2"/>
    <x v="132"/>
    <x v="150"/>
    <x v="0"/>
    <x v="0"/>
  </r>
  <r>
    <x v="1396"/>
    <x v="4"/>
    <x v="46"/>
    <x v="1"/>
    <x v="31"/>
    <x v="3"/>
    <x v="300"/>
    <x v="40"/>
    <x v="0"/>
    <x v="0"/>
  </r>
  <r>
    <x v="1397"/>
    <x v="0"/>
    <x v="79"/>
    <x v="1"/>
    <x v="24"/>
    <x v="2"/>
    <x v="293"/>
    <x v="72"/>
    <x v="0"/>
    <x v="0"/>
  </r>
  <r>
    <x v="1397"/>
    <x v="1"/>
    <x v="29"/>
    <x v="0"/>
    <x v="5"/>
    <x v="0"/>
    <x v="56"/>
    <x v="25"/>
    <x v="6"/>
    <x v="6"/>
  </r>
  <r>
    <x v="1398"/>
    <x v="0"/>
    <x v="221"/>
    <x v="1"/>
    <x v="2"/>
    <x v="0"/>
    <x v="54"/>
    <x v="154"/>
    <x v="6"/>
    <x v="6"/>
  </r>
  <r>
    <x v="1398"/>
    <x v="1"/>
    <x v="222"/>
    <x v="0"/>
    <x v="71"/>
    <x v="2"/>
    <x v="551"/>
    <x v="208"/>
    <x v="0"/>
    <x v="0"/>
  </r>
  <r>
    <x v="1398"/>
    <x v="2"/>
    <x v="220"/>
    <x v="1"/>
    <x v="14"/>
    <x v="1"/>
    <x v="138"/>
    <x v="207"/>
    <x v="1"/>
    <x v="1"/>
  </r>
  <r>
    <x v="1398"/>
    <x v="3"/>
    <x v="76"/>
    <x v="0"/>
    <x v="50"/>
    <x v="2"/>
    <x v="261"/>
    <x v="69"/>
    <x v="1"/>
    <x v="1"/>
  </r>
  <r>
    <x v="1399"/>
    <x v="0"/>
    <x v="24"/>
    <x v="1"/>
    <x v="8"/>
    <x v="0"/>
    <x v="118"/>
    <x v="9"/>
    <x v="0"/>
    <x v="0"/>
  </r>
  <r>
    <x v="1399"/>
    <x v="1"/>
    <x v="223"/>
    <x v="1"/>
    <x v="94"/>
    <x v="0"/>
    <x v="552"/>
    <x v="209"/>
    <x v="0"/>
    <x v="0"/>
  </r>
  <r>
    <x v="1399"/>
    <x v="2"/>
    <x v="224"/>
    <x v="0"/>
    <x v="91"/>
    <x v="3"/>
    <x v="553"/>
    <x v="210"/>
    <x v="4"/>
    <x v="4"/>
  </r>
  <r>
    <x v="1399"/>
    <x v="3"/>
    <x v="45"/>
    <x v="0"/>
    <x v="30"/>
    <x v="1"/>
    <x v="158"/>
    <x v="39"/>
    <x v="4"/>
    <x v="4"/>
  </r>
  <r>
    <x v="1400"/>
    <x v="0"/>
    <x v="225"/>
    <x v="0"/>
    <x v="55"/>
    <x v="1"/>
    <x v="375"/>
    <x v="211"/>
    <x v="1"/>
    <x v="1"/>
  </r>
  <r>
    <x v="1400"/>
    <x v="1"/>
    <x v="128"/>
    <x v="0"/>
    <x v="73"/>
    <x v="2"/>
    <x v="554"/>
    <x v="119"/>
    <x v="0"/>
    <x v="0"/>
  </r>
  <r>
    <x v="1400"/>
    <x v="2"/>
    <x v="226"/>
    <x v="1"/>
    <x v="5"/>
    <x v="0"/>
    <x v="39"/>
    <x v="155"/>
    <x v="0"/>
    <x v="0"/>
  </r>
  <r>
    <x v="1401"/>
    <x v="0"/>
    <x v="227"/>
    <x v="1"/>
    <x v="66"/>
    <x v="0"/>
    <x v="555"/>
    <x v="212"/>
    <x v="3"/>
    <x v="3"/>
  </r>
  <r>
    <x v="1401"/>
    <x v="1"/>
    <x v="76"/>
    <x v="1"/>
    <x v="50"/>
    <x v="2"/>
    <x v="449"/>
    <x v="69"/>
    <x v="1"/>
    <x v="1"/>
  </r>
  <r>
    <x v="1401"/>
    <x v="2"/>
    <x v="139"/>
    <x v="0"/>
    <x v="23"/>
    <x v="2"/>
    <x v="292"/>
    <x v="130"/>
    <x v="3"/>
    <x v="3"/>
  </r>
  <r>
    <x v="1401"/>
    <x v="3"/>
    <x v="228"/>
    <x v="0"/>
    <x v="95"/>
    <x v="1"/>
    <x v="556"/>
    <x v="213"/>
    <x v="4"/>
    <x v="4"/>
  </r>
  <r>
    <x v="1402"/>
    <x v="0"/>
    <x v="101"/>
    <x v="1"/>
    <x v="30"/>
    <x v="3"/>
    <x v="343"/>
    <x v="93"/>
    <x v="4"/>
    <x v="4"/>
  </r>
  <r>
    <x v="1403"/>
    <x v="0"/>
    <x v="225"/>
    <x v="1"/>
    <x v="55"/>
    <x v="2"/>
    <x v="557"/>
    <x v="211"/>
    <x v="1"/>
    <x v="1"/>
  </r>
  <r>
    <x v="1403"/>
    <x v="1"/>
    <x v="229"/>
    <x v="0"/>
    <x v="11"/>
    <x v="3"/>
    <x v="21"/>
    <x v="214"/>
    <x v="0"/>
    <x v="0"/>
  </r>
  <r>
    <x v="1403"/>
    <x v="2"/>
    <x v="230"/>
    <x v="1"/>
    <x v="66"/>
    <x v="0"/>
    <x v="555"/>
    <x v="215"/>
    <x v="3"/>
    <x v="3"/>
  </r>
  <r>
    <x v="1404"/>
    <x v="0"/>
    <x v="231"/>
    <x v="1"/>
    <x v="9"/>
    <x v="3"/>
    <x v="42"/>
    <x v="216"/>
    <x v="6"/>
    <x v="6"/>
  </r>
  <r>
    <x v="1405"/>
    <x v="0"/>
    <x v="128"/>
    <x v="1"/>
    <x v="73"/>
    <x v="2"/>
    <x v="558"/>
    <x v="119"/>
    <x v="0"/>
    <x v="0"/>
  </r>
  <r>
    <x v="1405"/>
    <x v="1"/>
    <x v="191"/>
    <x v="0"/>
    <x v="26"/>
    <x v="3"/>
    <x v="164"/>
    <x v="181"/>
    <x v="1"/>
    <x v="1"/>
  </r>
  <r>
    <x v="1406"/>
    <x v="0"/>
    <x v="133"/>
    <x v="0"/>
    <x v="62"/>
    <x v="2"/>
    <x v="559"/>
    <x v="124"/>
    <x v="0"/>
    <x v="0"/>
  </r>
  <r>
    <x v="1406"/>
    <x v="1"/>
    <x v="107"/>
    <x v="1"/>
    <x v="61"/>
    <x v="3"/>
    <x v="302"/>
    <x v="99"/>
    <x v="1"/>
    <x v="1"/>
  </r>
  <r>
    <x v="1406"/>
    <x v="2"/>
    <x v="232"/>
    <x v="0"/>
    <x v="96"/>
    <x v="3"/>
    <x v="560"/>
    <x v="217"/>
    <x v="4"/>
    <x v="4"/>
  </r>
  <r>
    <x v="1406"/>
    <x v="3"/>
    <x v="100"/>
    <x v="0"/>
    <x v="61"/>
    <x v="0"/>
    <x v="265"/>
    <x v="92"/>
    <x v="1"/>
    <x v="1"/>
  </r>
  <r>
    <x v="1407"/>
    <x v="0"/>
    <x v="19"/>
    <x v="1"/>
    <x v="15"/>
    <x v="0"/>
    <x v="33"/>
    <x v="17"/>
    <x v="4"/>
    <x v="4"/>
  </r>
  <r>
    <x v="1407"/>
    <x v="1"/>
    <x v="171"/>
    <x v="0"/>
    <x v="5"/>
    <x v="0"/>
    <x v="56"/>
    <x v="162"/>
    <x v="6"/>
    <x v="6"/>
  </r>
  <r>
    <x v="1407"/>
    <x v="2"/>
    <x v="233"/>
    <x v="0"/>
    <x v="97"/>
    <x v="1"/>
    <x v="561"/>
    <x v="218"/>
    <x v="1"/>
    <x v="1"/>
  </r>
  <r>
    <x v="1407"/>
    <x v="3"/>
    <x v="234"/>
    <x v="1"/>
    <x v="88"/>
    <x v="0"/>
    <x v="535"/>
    <x v="219"/>
    <x v="1"/>
    <x v="1"/>
  </r>
  <r>
    <x v="1408"/>
    <x v="0"/>
    <x v="235"/>
    <x v="1"/>
    <x v="65"/>
    <x v="1"/>
    <x v="562"/>
    <x v="220"/>
    <x v="0"/>
    <x v="0"/>
  </r>
  <r>
    <x v="1408"/>
    <x v="1"/>
    <x v="236"/>
    <x v="0"/>
    <x v="98"/>
    <x v="1"/>
    <x v="563"/>
    <x v="221"/>
    <x v="6"/>
    <x v="6"/>
  </r>
  <r>
    <x v="1408"/>
    <x v="2"/>
    <x v="212"/>
    <x v="1"/>
    <x v="41"/>
    <x v="2"/>
    <x v="176"/>
    <x v="200"/>
    <x v="6"/>
    <x v="6"/>
  </r>
  <r>
    <x v="1408"/>
    <x v="3"/>
    <x v="237"/>
    <x v="0"/>
    <x v="95"/>
    <x v="2"/>
    <x v="564"/>
    <x v="222"/>
    <x v="4"/>
    <x v="4"/>
  </r>
  <r>
    <x v="1408"/>
    <x v="4"/>
    <x v="238"/>
    <x v="0"/>
    <x v="11"/>
    <x v="3"/>
    <x v="21"/>
    <x v="223"/>
    <x v="0"/>
    <x v="0"/>
  </r>
  <r>
    <x v="1409"/>
    <x v="0"/>
    <x v="137"/>
    <x v="1"/>
    <x v="23"/>
    <x v="3"/>
    <x v="149"/>
    <x v="128"/>
    <x v="3"/>
    <x v="3"/>
  </r>
  <r>
    <x v="1409"/>
    <x v="1"/>
    <x v="139"/>
    <x v="1"/>
    <x v="23"/>
    <x v="0"/>
    <x v="377"/>
    <x v="130"/>
    <x v="3"/>
    <x v="3"/>
  </r>
  <r>
    <x v="1409"/>
    <x v="2"/>
    <x v="138"/>
    <x v="0"/>
    <x v="72"/>
    <x v="3"/>
    <x v="549"/>
    <x v="129"/>
    <x v="0"/>
    <x v="0"/>
  </r>
  <r>
    <x v="1410"/>
    <x v="0"/>
    <x v="11"/>
    <x v="0"/>
    <x v="9"/>
    <x v="3"/>
    <x v="128"/>
    <x v="10"/>
    <x v="3"/>
    <x v="3"/>
  </r>
  <r>
    <x v="1410"/>
    <x v="1"/>
    <x v="239"/>
    <x v="1"/>
    <x v="5"/>
    <x v="0"/>
    <x v="39"/>
    <x v="224"/>
    <x v="0"/>
    <x v="0"/>
  </r>
  <r>
    <x v="1411"/>
    <x v="0"/>
    <x v="118"/>
    <x v="1"/>
    <x v="69"/>
    <x v="1"/>
    <x v="508"/>
    <x v="110"/>
    <x v="6"/>
    <x v="6"/>
  </r>
  <r>
    <x v="1411"/>
    <x v="1"/>
    <x v="52"/>
    <x v="0"/>
    <x v="28"/>
    <x v="3"/>
    <x v="168"/>
    <x v="45"/>
    <x v="1"/>
    <x v="1"/>
  </r>
  <r>
    <x v="1411"/>
    <x v="2"/>
    <x v="36"/>
    <x v="1"/>
    <x v="24"/>
    <x v="1"/>
    <x v="207"/>
    <x v="32"/>
    <x v="5"/>
    <x v="5"/>
  </r>
  <r>
    <x v="1412"/>
    <x v="0"/>
    <x v="167"/>
    <x v="1"/>
    <x v="74"/>
    <x v="2"/>
    <x v="565"/>
    <x v="158"/>
    <x v="4"/>
    <x v="4"/>
  </r>
  <r>
    <x v="1413"/>
    <x v="0"/>
    <x v="231"/>
    <x v="1"/>
    <x v="9"/>
    <x v="3"/>
    <x v="42"/>
    <x v="216"/>
    <x v="6"/>
    <x v="6"/>
  </r>
  <r>
    <x v="1413"/>
    <x v="1"/>
    <x v="208"/>
    <x v="1"/>
    <x v="75"/>
    <x v="2"/>
    <x v="566"/>
    <x v="197"/>
    <x v="4"/>
    <x v="4"/>
  </r>
  <r>
    <x v="1414"/>
    <x v="0"/>
    <x v="93"/>
    <x v="1"/>
    <x v="58"/>
    <x v="1"/>
    <x v="394"/>
    <x v="85"/>
    <x v="1"/>
    <x v="1"/>
  </r>
  <r>
    <x v="1414"/>
    <x v="1"/>
    <x v="7"/>
    <x v="0"/>
    <x v="6"/>
    <x v="2"/>
    <x v="113"/>
    <x v="7"/>
    <x v="0"/>
    <x v="0"/>
  </r>
  <r>
    <x v="1414"/>
    <x v="2"/>
    <x v="240"/>
    <x v="1"/>
    <x v="33"/>
    <x v="3"/>
    <x v="454"/>
    <x v="225"/>
    <x v="4"/>
    <x v="4"/>
  </r>
  <r>
    <x v="1414"/>
    <x v="3"/>
    <x v="241"/>
    <x v="0"/>
    <x v="43"/>
    <x v="2"/>
    <x v="178"/>
    <x v="226"/>
    <x v="0"/>
    <x v="0"/>
  </r>
  <r>
    <x v="1415"/>
    <x v="0"/>
    <x v="242"/>
    <x v="0"/>
    <x v="25"/>
    <x v="0"/>
    <x v="152"/>
    <x v="227"/>
    <x v="3"/>
    <x v="3"/>
  </r>
  <r>
    <x v="1415"/>
    <x v="1"/>
    <x v="243"/>
    <x v="1"/>
    <x v="99"/>
    <x v="3"/>
    <x v="567"/>
    <x v="228"/>
    <x v="0"/>
    <x v="0"/>
  </r>
  <r>
    <x v="1415"/>
    <x v="2"/>
    <x v="102"/>
    <x v="1"/>
    <x v="30"/>
    <x v="2"/>
    <x v="211"/>
    <x v="94"/>
    <x v="4"/>
    <x v="4"/>
  </r>
  <r>
    <x v="1416"/>
    <x v="0"/>
    <x v="244"/>
    <x v="1"/>
    <x v="82"/>
    <x v="0"/>
    <x v="568"/>
    <x v="229"/>
    <x v="0"/>
    <x v="0"/>
  </r>
  <r>
    <x v="1417"/>
    <x v="0"/>
    <x v="110"/>
    <x v="1"/>
    <x v="50"/>
    <x v="0"/>
    <x v="312"/>
    <x v="102"/>
    <x v="1"/>
    <x v="1"/>
  </r>
  <r>
    <x v="1417"/>
    <x v="1"/>
    <x v="127"/>
    <x v="1"/>
    <x v="72"/>
    <x v="2"/>
    <x v="503"/>
    <x v="118"/>
    <x v="0"/>
    <x v="0"/>
  </r>
  <r>
    <x v="1418"/>
    <x v="0"/>
    <x v="190"/>
    <x v="0"/>
    <x v="89"/>
    <x v="1"/>
    <x v="536"/>
    <x v="180"/>
    <x v="1"/>
    <x v="1"/>
  </r>
  <r>
    <x v="1418"/>
    <x v="1"/>
    <x v="111"/>
    <x v="1"/>
    <x v="65"/>
    <x v="0"/>
    <x v="526"/>
    <x v="103"/>
    <x v="0"/>
    <x v="0"/>
  </r>
  <r>
    <x v="1418"/>
    <x v="2"/>
    <x v="150"/>
    <x v="0"/>
    <x v="65"/>
    <x v="3"/>
    <x v="492"/>
    <x v="141"/>
    <x v="0"/>
    <x v="0"/>
  </r>
  <r>
    <x v="1419"/>
    <x v="0"/>
    <x v="245"/>
    <x v="0"/>
    <x v="27"/>
    <x v="0"/>
    <x v="319"/>
    <x v="230"/>
    <x v="3"/>
    <x v="3"/>
  </r>
  <r>
    <x v="1419"/>
    <x v="1"/>
    <x v="242"/>
    <x v="1"/>
    <x v="25"/>
    <x v="3"/>
    <x v="279"/>
    <x v="227"/>
    <x v="3"/>
    <x v="3"/>
  </r>
  <r>
    <x v="1419"/>
    <x v="2"/>
    <x v="186"/>
    <x v="0"/>
    <x v="87"/>
    <x v="3"/>
    <x v="569"/>
    <x v="176"/>
    <x v="1"/>
    <x v="1"/>
  </r>
  <r>
    <x v="1420"/>
    <x v="0"/>
    <x v="136"/>
    <x v="1"/>
    <x v="74"/>
    <x v="2"/>
    <x v="565"/>
    <x v="127"/>
    <x v="4"/>
    <x v="4"/>
  </r>
  <r>
    <x v="1421"/>
    <x v="0"/>
    <x v="53"/>
    <x v="1"/>
    <x v="36"/>
    <x v="1"/>
    <x v="304"/>
    <x v="46"/>
    <x v="0"/>
    <x v="0"/>
  </r>
  <r>
    <x v="1421"/>
    <x v="1"/>
    <x v="118"/>
    <x v="1"/>
    <x v="69"/>
    <x v="0"/>
    <x v="541"/>
    <x v="110"/>
    <x v="6"/>
    <x v="6"/>
  </r>
  <r>
    <x v="1421"/>
    <x v="2"/>
    <x v="127"/>
    <x v="0"/>
    <x v="72"/>
    <x v="2"/>
    <x v="570"/>
    <x v="118"/>
    <x v="0"/>
    <x v="0"/>
  </r>
  <r>
    <x v="1422"/>
    <x v="0"/>
    <x v="159"/>
    <x v="0"/>
    <x v="5"/>
    <x v="0"/>
    <x v="56"/>
    <x v="150"/>
    <x v="0"/>
    <x v="0"/>
  </r>
  <r>
    <x v="1422"/>
    <x v="1"/>
    <x v="68"/>
    <x v="0"/>
    <x v="24"/>
    <x v="3"/>
    <x v="325"/>
    <x v="61"/>
    <x v="0"/>
    <x v="0"/>
  </r>
  <r>
    <x v="1422"/>
    <x v="2"/>
    <x v="246"/>
    <x v="0"/>
    <x v="19"/>
    <x v="0"/>
    <x v="188"/>
    <x v="231"/>
    <x v="5"/>
    <x v="5"/>
  </r>
  <r>
    <x v="1422"/>
    <x v="3"/>
    <x v="191"/>
    <x v="1"/>
    <x v="26"/>
    <x v="0"/>
    <x v="195"/>
    <x v="181"/>
    <x v="1"/>
    <x v="1"/>
  </r>
  <r>
    <x v="1423"/>
    <x v="0"/>
    <x v="247"/>
    <x v="1"/>
    <x v="23"/>
    <x v="0"/>
    <x v="377"/>
    <x v="232"/>
    <x v="1"/>
    <x v="1"/>
  </r>
  <r>
    <x v="1424"/>
    <x v="0"/>
    <x v="213"/>
    <x v="1"/>
    <x v="70"/>
    <x v="2"/>
    <x v="571"/>
    <x v="201"/>
    <x v="0"/>
    <x v="0"/>
  </r>
  <r>
    <x v="1424"/>
    <x v="1"/>
    <x v="160"/>
    <x v="0"/>
    <x v="81"/>
    <x v="1"/>
    <x v="572"/>
    <x v="151"/>
    <x v="4"/>
    <x v="4"/>
  </r>
  <r>
    <x v="1424"/>
    <x v="2"/>
    <x v="101"/>
    <x v="0"/>
    <x v="30"/>
    <x v="1"/>
    <x v="158"/>
    <x v="93"/>
    <x v="4"/>
    <x v="4"/>
  </r>
  <r>
    <x v="1424"/>
    <x v="3"/>
    <x v="59"/>
    <x v="1"/>
    <x v="41"/>
    <x v="2"/>
    <x v="176"/>
    <x v="52"/>
    <x v="6"/>
    <x v="6"/>
  </r>
  <r>
    <x v="1424"/>
    <x v="4"/>
    <x v="132"/>
    <x v="1"/>
    <x v="1"/>
    <x v="1"/>
    <x v="1"/>
    <x v="123"/>
    <x v="6"/>
    <x v="6"/>
  </r>
  <r>
    <x v="1425"/>
    <x v="0"/>
    <x v="149"/>
    <x v="0"/>
    <x v="5"/>
    <x v="1"/>
    <x v="116"/>
    <x v="140"/>
    <x v="0"/>
    <x v="0"/>
  </r>
  <r>
    <x v="1425"/>
    <x v="1"/>
    <x v="0"/>
    <x v="1"/>
    <x v="0"/>
    <x v="2"/>
    <x v="3"/>
    <x v="0"/>
    <x v="0"/>
    <x v="0"/>
  </r>
  <r>
    <x v="1425"/>
    <x v="2"/>
    <x v="248"/>
    <x v="0"/>
    <x v="70"/>
    <x v="1"/>
    <x v="500"/>
    <x v="201"/>
    <x v="0"/>
    <x v="0"/>
  </r>
  <r>
    <x v="1426"/>
    <x v="0"/>
    <x v="128"/>
    <x v="1"/>
    <x v="73"/>
    <x v="1"/>
    <x v="543"/>
    <x v="119"/>
    <x v="0"/>
    <x v="0"/>
  </r>
  <r>
    <x v="1426"/>
    <x v="1"/>
    <x v="112"/>
    <x v="0"/>
    <x v="9"/>
    <x v="2"/>
    <x v="121"/>
    <x v="104"/>
    <x v="1"/>
    <x v="1"/>
  </r>
  <r>
    <x v="1426"/>
    <x v="2"/>
    <x v="156"/>
    <x v="1"/>
    <x v="2"/>
    <x v="1"/>
    <x v="46"/>
    <x v="147"/>
    <x v="6"/>
    <x v="6"/>
  </r>
  <r>
    <x v="1427"/>
    <x v="0"/>
    <x v="249"/>
    <x v="1"/>
    <x v="65"/>
    <x v="0"/>
    <x v="526"/>
    <x v="233"/>
    <x v="0"/>
    <x v="0"/>
  </r>
  <r>
    <x v="1427"/>
    <x v="1"/>
    <x v="250"/>
    <x v="0"/>
    <x v="14"/>
    <x v="1"/>
    <x v="29"/>
    <x v="234"/>
    <x v="1"/>
    <x v="1"/>
  </r>
  <r>
    <x v="1427"/>
    <x v="2"/>
    <x v="251"/>
    <x v="1"/>
    <x v="66"/>
    <x v="1"/>
    <x v="494"/>
    <x v="235"/>
    <x v="3"/>
    <x v="3"/>
  </r>
  <r>
    <x v="1427"/>
    <x v="3"/>
    <x v="76"/>
    <x v="0"/>
    <x v="50"/>
    <x v="3"/>
    <x v="336"/>
    <x v="69"/>
    <x v="1"/>
    <x v="1"/>
  </r>
  <r>
    <x v="1427"/>
    <x v="4"/>
    <x v="242"/>
    <x v="1"/>
    <x v="25"/>
    <x v="0"/>
    <x v="165"/>
    <x v="227"/>
    <x v="3"/>
    <x v="3"/>
  </r>
  <r>
    <x v="1428"/>
    <x v="0"/>
    <x v="63"/>
    <x v="1"/>
    <x v="43"/>
    <x v="0"/>
    <x v="247"/>
    <x v="56"/>
    <x v="0"/>
    <x v="0"/>
  </r>
  <r>
    <x v="1429"/>
    <x v="0"/>
    <x v="252"/>
    <x v="0"/>
    <x v="70"/>
    <x v="2"/>
    <x v="573"/>
    <x v="236"/>
    <x v="0"/>
    <x v="0"/>
  </r>
  <r>
    <x v="1429"/>
    <x v="1"/>
    <x v="248"/>
    <x v="0"/>
    <x v="70"/>
    <x v="1"/>
    <x v="500"/>
    <x v="201"/>
    <x v="0"/>
    <x v="0"/>
  </r>
  <r>
    <x v="1430"/>
    <x v="0"/>
    <x v="143"/>
    <x v="0"/>
    <x v="12"/>
    <x v="3"/>
    <x v="40"/>
    <x v="134"/>
    <x v="2"/>
    <x v="2"/>
  </r>
  <r>
    <x v="1430"/>
    <x v="1"/>
    <x v="29"/>
    <x v="0"/>
    <x v="5"/>
    <x v="1"/>
    <x v="116"/>
    <x v="25"/>
    <x v="6"/>
    <x v="6"/>
  </r>
  <r>
    <x v="1430"/>
    <x v="2"/>
    <x v="253"/>
    <x v="0"/>
    <x v="9"/>
    <x v="0"/>
    <x v="141"/>
    <x v="165"/>
    <x v="3"/>
    <x v="3"/>
  </r>
  <r>
    <x v="1430"/>
    <x v="3"/>
    <x v="226"/>
    <x v="0"/>
    <x v="5"/>
    <x v="1"/>
    <x v="116"/>
    <x v="155"/>
    <x v="0"/>
    <x v="0"/>
  </r>
  <r>
    <x v="1431"/>
    <x v="0"/>
    <x v="254"/>
    <x v="0"/>
    <x v="87"/>
    <x v="0"/>
    <x v="574"/>
    <x v="237"/>
    <x v="6"/>
    <x v="6"/>
  </r>
  <r>
    <x v="1432"/>
    <x v="0"/>
    <x v="240"/>
    <x v="0"/>
    <x v="33"/>
    <x v="1"/>
    <x v="575"/>
    <x v="225"/>
    <x v="4"/>
    <x v="4"/>
  </r>
  <r>
    <x v="1433"/>
    <x v="0"/>
    <x v="202"/>
    <x v="1"/>
    <x v="73"/>
    <x v="0"/>
    <x v="504"/>
    <x v="192"/>
    <x v="0"/>
    <x v="0"/>
  </r>
  <r>
    <x v="1433"/>
    <x v="1"/>
    <x v="255"/>
    <x v="0"/>
    <x v="9"/>
    <x v="3"/>
    <x v="128"/>
    <x v="199"/>
    <x v="3"/>
    <x v="3"/>
  </r>
  <r>
    <x v="1433"/>
    <x v="2"/>
    <x v="256"/>
    <x v="1"/>
    <x v="74"/>
    <x v="3"/>
    <x v="522"/>
    <x v="238"/>
    <x v="4"/>
    <x v="4"/>
  </r>
  <r>
    <x v="1433"/>
    <x v="3"/>
    <x v="32"/>
    <x v="1"/>
    <x v="23"/>
    <x v="1"/>
    <x v="179"/>
    <x v="28"/>
    <x v="3"/>
    <x v="3"/>
  </r>
  <r>
    <x v="1434"/>
    <x v="0"/>
    <x v="257"/>
    <x v="1"/>
    <x v="100"/>
    <x v="1"/>
    <x v="576"/>
    <x v="239"/>
    <x v="1"/>
    <x v="1"/>
  </r>
  <r>
    <x v="1434"/>
    <x v="1"/>
    <x v="61"/>
    <x v="0"/>
    <x v="4"/>
    <x v="0"/>
    <x v="90"/>
    <x v="54"/>
    <x v="1"/>
    <x v="1"/>
  </r>
  <r>
    <x v="1434"/>
    <x v="2"/>
    <x v="91"/>
    <x v="0"/>
    <x v="57"/>
    <x v="3"/>
    <x v="407"/>
    <x v="84"/>
    <x v="3"/>
    <x v="3"/>
  </r>
  <r>
    <x v="1434"/>
    <x v="3"/>
    <x v="258"/>
    <x v="0"/>
    <x v="62"/>
    <x v="1"/>
    <x v="409"/>
    <x v="124"/>
    <x v="0"/>
    <x v="0"/>
  </r>
  <r>
    <x v="1435"/>
    <x v="0"/>
    <x v="152"/>
    <x v="1"/>
    <x v="79"/>
    <x v="1"/>
    <x v="577"/>
    <x v="143"/>
    <x v="0"/>
    <x v="0"/>
  </r>
  <r>
    <x v="1436"/>
    <x v="0"/>
    <x v="257"/>
    <x v="1"/>
    <x v="100"/>
    <x v="2"/>
    <x v="578"/>
    <x v="239"/>
    <x v="1"/>
    <x v="1"/>
  </r>
  <r>
    <x v="1437"/>
    <x v="0"/>
    <x v="205"/>
    <x v="0"/>
    <x v="92"/>
    <x v="0"/>
    <x v="579"/>
    <x v="195"/>
    <x v="0"/>
    <x v="0"/>
  </r>
  <r>
    <x v="1437"/>
    <x v="1"/>
    <x v="247"/>
    <x v="0"/>
    <x v="23"/>
    <x v="0"/>
    <x v="223"/>
    <x v="232"/>
    <x v="1"/>
    <x v="1"/>
  </r>
  <r>
    <x v="1437"/>
    <x v="2"/>
    <x v="89"/>
    <x v="1"/>
    <x v="56"/>
    <x v="2"/>
    <x v="220"/>
    <x v="82"/>
    <x v="0"/>
    <x v="0"/>
  </r>
  <r>
    <x v="1437"/>
    <x v="3"/>
    <x v="234"/>
    <x v="0"/>
    <x v="88"/>
    <x v="3"/>
    <x v="580"/>
    <x v="219"/>
    <x v="1"/>
    <x v="1"/>
  </r>
  <r>
    <x v="1437"/>
    <x v="4"/>
    <x v="115"/>
    <x v="1"/>
    <x v="66"/>
    <x v="1"/>
    <x v="494"/>
    <x v="107"/>
    <x v="3"/>
    <x v="3"/>
  </r>
  <r>
    <x v="1438"/>
    <x v="0"/>
    <x v="41"/>
    <x v="0"/>
    <x v="27"/>
    <x v="1"/>
    <x v="466"/>
    <x v="36"/>
    <x v="1"/>
    <x v="1"/>
  </r>
  <r>
    <x v="1438"/>
    <x v="1"/>
    <x v="160"/>
    <x v="0"/>
    <x v="81"/>
    <x v="0"/>
    <x v="581"/>
    <x v="151"/>
    <x v="4"/>
    <x v="4"/>
  </r>
  <r>
    <x v="1438"/>
    <x v="2"/>
    <x v="48"/>
    <x v="1"/>
    <x v="26"/>
    <x v="2"/>
    <x v="162"/>
    <x v="34"/>
    <x v="0"/>
    <x v="0"/>
  </r>
  <r>
    <x v="1438"/>
    <x v="3"/>
    <x v="172"/>
    <x v="0"/>
    <x v="83"/>
    <x v="2"/>
    <x v="582"/>
    <x v="163"/>
    <x v="6"/>
    <x v="6"/>
  </r>
  <r>
    <x v="1439"/>
    <x v="0"/>
    <x v="259"/>
    <x v="1"/>
    <x v="5"/>
    <x v="1"/>
    <x v="130"/>
    <x v="240"/>
    <x v="1"/>
    <x v="1"/>
  </r>
  <r>
    <x v="1439"/>
    <x v="1"/>
    <x v="36"/>
    <x v="0"/>
    <x v="24"/>
    <x v="1"/>
    <x v="187"/>
    <x v="32"/>
    <x v="5"/>
    <x v="5"/>
  </r>
  <r>
    <x v="1439"/>
    <x v="2"/>
    <x v="192"/>
    <x v="0"/>
    <x v="76"/>
    <x v="3"/>
    <x v="583"/>
    <x v="182"/>
    <x v="3"/>
    <x v="3"/>
  </r>
  <r>
    <x v="1439"/>
    <x v="3"/>
    <x v="260"/>
    <x v="1"/>
    <x v="5"/>
    <x v="2"/>
    <x v="125"/>
    <x v="241"/>
    <x v="6"/>
    <x v="6"/>
  </r>
  <r>
    <x v="1439"/>
    <x v="4"/>
    <x v="50"/>
    <x v="1"/>
    <x v="34"/>
    <x v="0"/>
    <x v="166"/>
    <x v="43"/>
    <x v="0"/>
    <x v="0"/>
  </r>
  <r>
    <x v="1440"/>
    <x v="0"/>
    <x v="18"/>
    <x v="0"/>
    <x v="14"/>
    <x v="2"/>
    <x v="62"/>
    <x v="16"/>
    <x v="1"/>
    <x v="1"/>
  </r>
  <r>
    <x v="1440"/>
    <x v="1"/>
    <x v="243"/>
    <x v="1"/>
    <x v="99"/>
    <x v="0"/>
    <x v="584"/>
    <x v="228"/>
    <x v="0"/>
    <x v="0"/>
  </r>
  <r>
    <x v="1440"/>
    <x v="2"/>
    <x v="109"/>
    <x v="0"/>
    <x v="64"/>
    <x v="1"/>
    <x v="383"/>
    <x v="101"/>
    <x v="1"/>
    <x v="1"/>
  </r>
  <r>
    <x v="1441"/>
    <x v="0"/>
    <x v="140"/>
    <x v="0"/>
    <x v="76"/>
    <x v="3"/>
    <x v="583"/>
    <x v="131"/>
    <x v="6"/>
    <x v="6"/>
  </r>
  <r>
    <x v="1441"/>
    <x v="1"/>
    <x v="229"/>
    <x v="0"/>
    <x v="11"/>
    <x v="1"/>
    <x v="36"/>
    <x v="214"/>
    <x v="0"/>
    <x v="0"/>
  </r>
  <r>
    <x v="1441"/>
    <x v="2"/>
    <x v="261"/>
    <x v="1"/>
    <x v="30"/>
    <x v="2"/>
    <x v="211"/>
    <x v="242"/>
    <x v="4"/>
    <x v="4"/>
  </r>
  <r>
    <x v="1442"/>
    <x v="0"/>
    <x v="140"/>
    <x v="0"/>
    <x v="76"/>
    <x v="1"/>
    <x v="546"/>
    <x v="131"/>
    <x v="6"/>
    <x v="6"/>
  </r>
  <r>
    <x v="1442"/>
    <x v="1"/>
    <x v="94"/>
    <x v="0"/>
    <x v="59"/>
    <x v="0"/>
    <x v="260"/>
    <x v="86"/>
    <x v="6"/>
    <x v="6"/>
  </r>
  <r>
    <x v="1442"/>
    <x v="2"/>
    <x v="70"/>
    <x v="1"/>
    <x v="48"/>
    <x v="3"/>
    <x v="284"/>
    <x v="63"/>
    <x v="4"/>
    <x v="4"/>
  </r>
  <r>
    <x v="1443"/>
    <x v="0"/>
    <x v="45"/>
    <x v="0"/>
    <x v="30"/>
    <x v="3"/>
    <x v="276"/>
    <x v="39"/>
    <x v="4"/>
    <x v="4"/>
  </r>
  <r>
    <x v="1443"/>
    <x v="1"/>
    <x v="186"/>
    <x v="1"/>
    <x v="87"/>
    <x v="0"/>
    <x v="534"/>
    <x v="176"/>
    <x v="1"/>
    <x v="1"/>
  </r>
  <r>
    <x v="1444"/>
    <x v="0"/>
    <x v="244"/>
    <x v="1"/>
    <x v="82"/>
    <x v="3"/>
    <x v="585"/>
    <x v="229"/>
    <x v="0"/>
    <x v="0"/>
  </r>
  <r>
    <x v="1444"/>
    <x v="1"/>
    <x v="58"/>
    <x v="0"/>
    <x v="40"/>
    <x v="1"/>
    <x v="435"/>
    <x v="51"/>
    <x v="6"/>
    <x v="6"/>
  </r>
  <r>
    <x v="1444"/>
    <x v="2"/>
    <x v="262"/>
    <x v="1"/>
    <x v="4"/>
    <x v="3"/>
    <x v="52"/>
    <x v="243"/>
    <x v="1"/>
    <x v="1"/>
  </r>
  <r>
    <x v="1445"/>
    <x v="0"/>
    <x v="213"/>
    <x v="0"/>
    <x v="70"/>
    <x v="2"/>
    <x v="573"/>
    <x v="201"/>
    <x v="0"/>
    <x v="0"/>
  </r>
  <r>
    <x v="1445"/>
    <x v="1"/>
    <x v="170"/>
    <x v="1"/>
    <x v="82"/>
    <x v="2"/>
    <x v="586"/>
    <x v="161"/>
    <x v="0"/>
    <x v="0"/>
  </r>
  <r>
    <x v="1445"/>
    <x v="2"/>
    <x v="150"/>
    <x v="1"/>
    <x v="65"/>
    <x v="2"/>
    <x v="515"/>
    <x v="141"/>
    <x v="0"/>
    <x v="0"/>
  </r>
  <r>
    <x v="1446"/>
    <x v="0"/>
    <x v="161"/>
    <x v="0"/>
    <x v="21"/>
    <x v="0"/>
    <x v="147"/>
    <x v="152"/>
    <x v="6"/>
    <x v="6"/>
  </r>
  <r>
    <x v="1447"/>
    <x v="0"/>
    <x v="263"/>
    <x v="0"/>
    <x v="5"/>
    <x v="3"/>
    <x v="92"/>
    <x v="224"/>
    <x v="0"/>
    <x v="0"/>
  </r>
  <r>
    <x v="1448"/>
    <x v="0"/>
    <x v="166"/>
    <x v="0"/>
    <x v="27"/>
    <x v="1"/>
    <x v="466"/>
    <x v="157"/>
    <x v="6"/>
    <x v="6"/>
  </r>
  <r>
    <x v="1448"/>
    <x v="1"/>
    <x v="66"/>
    <x v="0"/>
    <x v="45"/>
    <x v="0"/>
    <x v="206"/>
    <x v="59"/>
    <x v="6"/>
    <x v="6"/>
  </r>
  <r>
    <x v="1448"/>
    <x v="2"/>
    <x v="258"/>
    <x v="1"/>
    <x v="62"/>
    <x v="1"/>
    <x v="278"/>
    <x v="124"/>
    <x v="0"/>
    <x v="0"/>
  </r>
  <r>
    <x v="1448"/>
    <x v="3"/>
    <x v="253"/>
    <x v="1"/>
    <x v="9"/>
    <x v="2"/>
    <x v="126"/>
    <x v="165"/>
    <x v="3"/>
    <x v="3"/>
  </r>
  <r>
    <x v="1448"/>
    <x v="4"/>
    <x v="15"/>
    <x v="1"/>
    <x v="11"/>
    <x v="3"/>
    <x v="23"/>
    <x v="12"/>
    <x v="0"/>
    <x v="0"/>
  </r>
  <r>
    <x v="1449"/>
    <x v="0"/>
    <x v="72"/>
    <x v="0"/>
    <x v="26"/>
    <x v="1"/>
    <x v="255"/>
    <x v="65"/>
    <x v="4"/>
    <x v="4"/>
  </r>
  <r>
    <x v="1449"/>
    <x v="1"/>
    <x v="264"/>
    <x v="1"/>
    <x v="41"/>
    <x v="3"/>
    <x v="216"/>
    <x v="244"/>
    <x v="6"/>
    <x v="6"/>
  </r>
  <r>
    <x v="1449"/>
    <x v="2"/>
    <x v="265"/>
    <x v="0"/>
    <x v="79"/>
    <x v="0"/>
    <x v="587"/>
    <x v="245"/>
    <x v="0"/>
    <x v="0"/>
  </r>
  <r>
    <x v="1449"/>
    <x v="3"/>
    <x v="114"/>
    <x v="1"/>
    <x v="9"/>
    <x v="3"/>
    <x v="42"/>
    <x v="106"/>
    <x v="2"/>
    <x v="2"/>
  </r>
  <r>
    <x v="1449"/>
    <x v="4"/>
    <x v="111"/>
    <x v="1"/>
    <x v="65"/>
    <x v="2"/>
    <x v="515"/>
    <x v="103"/>
    <x v="0"/>
    <x v="0"/>
  </r>
  <r>
    <x v="1450"/>
    <x v="0"/>
    <x v="266"/>
    <x v="0"/>
    <x v="46"/>
    <x v="2"/>
    <x v="423"/>
    <x v="246"/>
    <x v="1"/>
    <x v="1"/>
  </r>
  <r>
    <x v="1451"/>
    <x v="0"/>
    <x v="40"/>
    <x v="1"/>
    <x v="15"/>
    <x v="3"/>
    <x v="50"/>
    <x v="35"/>
    <x v="4"/>
    <x v="4"/>
  </r>
  <r>
    <x v="1451"/>
    <x v="1"/>
    <x v="150"/>
    <x v="0"/>
    <x v="65"/>
    <x v="0"/>
    <x v="588"/>
    <x v="141"/>
    <x v="0"/>
    <x v="0"/>
  </r>
  <r>
    <x v="1451"/>
    <x v="2"/>
    <x v="106"/>
    <x v="1"/>
    <x v="39"/>
    <x v="2"/>
    <x v="219"/>
    <x v="98"/>
    <x v="4"/>
    <x v="4"/>
  </r>
  <r>
    <x v="1451"/>
    <x v="3"/>
    <x v="36"/>
    <x v="1"/>
    <x v="24"/>
    <x v="1"/>
    <x v="207"/>
    <x v="32"/>
    <x v="5"/>
    <x v="5"/>
  </r>
  <r>
    <x v="1452"/>
    <x v="0"/>
    <x v="84"/>
    <x v="1"/>
    <x v="30"/>
    <x v="3"/>
    <x v="343"/>
    <x v="77"/>
    <x v="4"/>
    <x v="4"/>
  </r>
  <r>
    <x v="1453"/>
    <x v="0"/>
    <x v="125"/>
    <x v="0"/>
    <x v="70"/>
    <x v="1"/>
    <x v="500"/>
    <x v="116"/>
    <x v="4"/>
    <x v="4"/>
  </r>
  <r>
    <x v="1453"/>
    <x v="1"/>
    <x v="100"/>
    <x v="1"/>
    <x v="61"/>
    <x v="3"/>
    <x v="302"/>
    <x v="92"/>
    <x v="1"/>
    <x v="1"/>
  </r>
  <r>
    <x v="1453"/>
    <x v="2"/>
    <x v="190"/>
    <x v="0"/>
    <x v="89"/>
    <x v="0"/>
    <x v="589"/>
    <x v="180"/>
    <x v="1"/>
    <x v="1"/>
  </r>
  <r>
    <x v="1453"/>
    <x v="3"/>
    <x v="83"/>
    <x v="1"/>
    <x v="8"/>
    <x v="2"/>
    <x v="11"/>
    <x v="76"/>
    <x v="1"/>
    <x v="1"/>
  </r>
  <r>
    <x v="1454"/>
    <x v="0"/>
    <x v="70"/>
    <x v="1"/>
    <x v="48"/>
    <x v="2"/>
    <x v="470"/>
    <x v="63"/>
    <x v="4"/>
    <x v="4"/>
  </r>
  <r>
    <x v="1454"/>
    <x v="1"/>
    <x v="226"/>
    <x v="0"/>
    <x v="5"/>
    <x v="0"/>
    <x v="56"/>
    <x v="155"/>
    <x v="0"/>
    <x v="0"/>
  </r>
  <r>
    <x v="1455"/>
    <x v="0"/>
    <x v="230"/>
    <x v="1"/>
    <x v="66"/>
    <x v="2"/>
    <x v="590"/>
    <x v="215"/>
    <x v="3"/>
    <x v="3"/>
  </r>
  <r>
    <x v="1455"/>
    <x v="1"/>
    <x v="267"/>
    <x v="0"/>
    <x v="82"/>
    <x v="1"/>
    <x v="523"/>
    <x v="247"/>
    <x v="0"/>
    <x v="0"/>
  </r>
  <r>
    <x v="1455"/>
    <x v="2"/>
    <x v="217"/>
    <x v="1"/>
    <x v="93"/>
    <x v="3"/>
    <x v="591"/>
    <x v="205"/>
    <x v="4"/>
    <x v="4"/>
  </r>
  <r>
    <x v="1455"/>
    <x v="3"/>
    <x v="268"/>
    <x v="0"/>
    <x v="95"/>
    <x v="3"/>
    <x v="592"/>
    <x v="248"/>
    <x v="4"/>
    <x v="4"/>
  </r>
  <r>
    <x v="1455"/>
    <x v="4"/>
    <x v="250"/>
    <x v="0"/>
    <x v="14"/>
    <x v="3"/>
    <x v="107"/>
    <x v="234"/>
    <x v="1"/>
    <x v="1"/>
  </r>
  <r>
    <x v="1456"/>
    <x v="0"/>
    <x v="191"/>
    <x v="0"/>
    <x v="26"/>
    <x v="1"/>
    <x v="255"/>
    <x v="181"/>
    <x v="1"/>
    <x v="1"/>
  </r>
  <r>
    <x v="1456"/>
    <x v="1"/>
    <x v="103"/>
    <x v="0"/>
    <x v="38"/>
    <x v="0"/>
    <x v="314"/>
    <x v="95"/>
    <x v="5"/>
    <x v="5"/>
  </r>
  <r>
    <x v="1456"/>
    <x v="2"/>
    <x v="217"/>
    <x v="0"/>
    <x v="93"/>
    <x v="0"/>
    <x v="593"/>
    <x v="205"/>
    <x v="4"/>
    <x v="4"/>
  </r>
  <r>
    <x v="1456"/>
    <x v="3"/>
    <x v="182"/>
    <x v="1"/>
    <x v="50"/>
    <x v="0"/>
    <x v="312"/>
    <x v="172"/>
    <x v="6"/>
    <x v="6"/>
  </r>
  <r>
    <x v="1457"/>
    <x v="0"/>
    <x v="214"/>
    <x v="1"/>
    <x v="70"/>
    <x v="2"/>
    <x v="571"/>
    <x v="202"/>
    <x v="4"/>
    <x v="4"/>
  </r>
  <r>
    <x v="1457"/>
    <x v="1"/>
    <x v="86"/>
    <x v="0"/>
    <x v="54"/>
    <x v="2"/>
    <x v="391"/>
    <x v="79"/>
    <x v="5"/>
    <x v="5"/>
  </r>
  <r>
    <x v="1457"/>
    <x v="2"/>
    <x v="10"/>
    <x v="0"/>
    <x v="8"/>
    <x v="2"/>
    <x v="101"/>
    <x v="9"/>
    <x v="0"/>
    <x v="0"/>
  </r>
  <r>
    <x v="1457"/>
    <x v="3"/>
    <x v="46"/>
    <x v="1"/>
    <x v="31"/>
    <x v="3"/>
    <x v="300"/>
    <x v="40"/>
    <x v="0"/>
    <x v="0"/>
  </r>
  <r>
    <x v="1458"/>
    <x v="0"/>
    <x v="269"/>
    <x v="0"/>
    <x v="101"/>
    <x v="3"/>
    <x v="594"/>
    <x v="249"/>
    <x v="0"/>
    <x v="0"/>
  </r>
  <r>
    <x v="1459"/>
    <x v="0"/>
    <x v="270"/>
    <x v="0"/>
    <x v="76"/>
    <x v="2"/>
    <x v="518"/>
    <x v="250"/>
    <x v="3"/>
    <x v="3"/>
  </r>
  <r>
    <x v="1459"/>
    <x v="1"/>
    <x v="35"/>
    <x v="0"/>
    <x v="15"/>
    <x v="1"/>
    <x v="75"/>
    <x v="31"/>
    <x v="0"/>
    <x v="0"/>
  </r>
  <r>
    <x v="1459"/>
    <x v="2"/>
    <x v="271"/>
    <x v="0"/>
    <x v="5"/>
    <x v="2"/>
    <x v="132"/>
    <x v="251"/>
    <x v="6"/>
    <x v="6"/>
  </r>
  <r>
    <x v="1459"/>
    <x v="3"/>
    <x v="14"/>
    <x v="1"/>
    <x v="12"/>
    <x v="1"/>
    <x v="102"/>
    <x v="13"/>
    <x v="1"/>
    <x v="1"/>
  </r>
  <r>
    <x v="1459"/>
    <x v="4"/>
    <x v="262"/>
    <x v="1"/>
    <x v="4"/>
    <x v="1"/>
    <x v="13"/>
    <x v="243"/>
    <x v="1"/>
    <x v="1"/>
  </r>
  <r>
    <x v="1460"/>
    <x v="0"/>
    <x v="74"/>
    <x v="0"/>
    <x v="42"/>
    <x v="0"/>
    <x v="224"/>
    <x v="67"/>
    <x v="6"/>
    <x v="6"/>
  </r>
  <r>
    <x v="1460"/>
    <x v="1"/>
    <x v="243"/>
    <x v="1"/>
    <x v="99"/>
    <x v="0"/>
    <x v="584"/>
    <x v="228"/>
    <x v="0"/>
    <x v="0"/>
  </r>
  <r>
    <x v="1461"/>
    <x v="0"/>
    <x v="160"/>
    <x v="0"/>
    <x v="81"/>
    <x v="0"/>
    <x v="581"/>
    <x v="151"/>
    <x v="4"/>
    <x v="4"/>
  </r>
  <r>
    <x v="1461"/>
    <x v="1"/>
    <x v="22"/>
    <x v="0"/>
    <x v="17"/>
    <x v="1"/>
    <x v="88"/>
    <x v="19"/>
    <x v="5"/>
    <x v="5"/>
  </r>
  <r>
    <x v="1461"/>
    <x v="2"/>
    <x v="195"/>
    <x v="0"/>
    <x v="10"/>
    <x v="3"/>
    <x v="80"/>
    <x v="185"/>
    <x v="0"/>
    <x v="0"/>
  </r>
  <r>
    <x v="1461"/>
    <x v="3"/>
    <x v="272"/>
    <x v="0"/>
    <x v="75"/>
    <x v="3"/>
    <x v="595"/>
    <x v="252"/>
    <x v="4"/>
    <x v="4"/>
  </r>
  <r>
    <x v="1461"/>
    <x v="4"/>
    <x v="211"/>
    <x v="0"/>
    <x v="9"/>
    <x v="2"/>
    <x v="121"/>
    <x v="199"/>
    <x v="3"/>
    <x v="3"/>
  </r>
  <r>
    <x v="1462"/>
    <x v="0"/>
    <x v="80"/>
    <x v="1"/>
    <x v="53"/>
    <x v="2"/>
    <x v="443"/>
    <x v="73"/>
    <x v="6"/>
    <x v="6"/>
  </r>
  <r>
    <x v="1462"/>
    <x v="1"/>
    <x v="163"/>
    <x v="0"/>
    <x v="2"/>
    <x v="2"/>
    <x v="99"/>
    <x v="154"/>
    <x v="6"/>
    <x v="6"/>
  </r>
  <r>
    <x v="1463"/>
    <x v="0"/>
    <x v="36"/>
    <x v="1"/>
    <x v="24"/>
    <x v="2"/>
    <x v="293"/>
    <x v="32"/>
    <x v="5"/>
    <x v="5"/>
  </r>
  <r>
    <x v="1463"/>
    <x v="1"/>
    <x v="190"/>
    <x v="0"/>
    <x v="89"/>
    <x v="0"/>
    <x v="589"/>
    <x v="180"/>
    <x v="1"/>
    <x v="1"/>
  </r>
  <r>
    <x v="1463"/>
    <x v="2"/>
    <x v="218"/>
    <x v="1"/>
    <x v="50"/>
    <x v="0"/>
    <x v="312"/>
    <x v="206"/>
    <x v="6"/>
    <x v="6"/>
  </r>
  <r>
    <x v="1463"/>
    <x v="3"/>
    <x v="117"/>
    <x v="1"/>
    <x v="68"/>
    <x v="2"/>
    <x v="596"/>
    <x v="109"/>
    <x v="6"/>
    <x v="6"/>
  </r>
  <r>
    <x v="1464"/>
    <x v="0"/>
    <x v="63"/>
    <x v="1"/>
    <x v="43"/>
    <x v="2"/>
    <x v="281"/>
    <x v="56"/>
    <x v="0"/>
    <x v="0"/>
  </r>
  <r>
    <x v="1465"/>
    <x v="0"/>
    <x v="273"/>
    <x v="1"/>
    <x v="65"/>
    <x v="1"/>
    <x v="562"/>
    <x v="204"/>
    <x v="0"/>
    <x v="0"/>
  </r>
  <r>
    <x v="1465"/>
    <x v="1"/>
    <x v="211"/>
    <x v="0"/>
    <x v="9"/>
    <x v="2"/>
    <x v="121"/>
    <x v="199"/>
    <x v="3"/>
    <x v="3"/>
  </r>
  <r>
    <x v="1465"/>
    <x v="2"/>
    <x v="179"/>
    <x v="1"/>
    <x v="84"/>
    <x v="0"/>
    <x v="529"/>
    <x v="169"/>
    <x v="6"/>
    <x v="6"/>
  </r>
  <r>
    <x v="1465"/>
    <x v="3"/>
    <x v="62"/>
    <x v="1"/>
    <x v="42"/>
    <x v="2"/>
    <x v="199"/>
    <x v="55"/>
    <x v="1"/>
    <x v="1"/>
  </r>
  <r>
    <x v="1466"/>
    <x v="0"/>
    <x v="9"/>
    <x v="0"/>
    <x v="7"/>
    <x v="1"/>
    <x v="10"/>
    <x v="8"/>
    <x v="0"/>
    <x v="0"/>
  </r>
  <r>
    <x v="1466"/>
    <x v="1"/>
    <x v="185"/>
    <x v="0"/>
    <x v="41"/>
    <x v="0"/>
    <x v="334"/>
    <x v="175"/>
    <x v="1"/>
    <x v="1"/>
  </r>
  <r>
    <x v="1466"/>
    <x v="2"/>
    <x v="274"/>
    <x v="1"/>
    <x v="75"/>
    <x v="3"/>
    <x v="597"/>
    <x v="253"/>
    <x v="4"/>
    <x v="4"/>
  </r>
  <r>
    <x v="1467"/>
    <x v="0"/>
    <x v="116"/>
    <x v="0"/>
    <x v="67"/>
    <x v="2"/>
    <x v="598"/>
    <x v="108"/>
    <x v="4"/>
    <x v="4"/>
  </r>
  <r>
    <x v="1467"/>
    <x v="1"/>
    <x v="71"/>
    <x v="0"/>
    <x v="23"/>
    <x v="1"/>
    <x v="193"/>
    <x v="64"/>
    <x v="6"/>
    <x v="6"/>
  </r>
  <r>
    <x v="1467"/>
    <x v="2"/>
    <x v="69"/>
    <x v="1"/>
    <x v="47"/>
    <x v="1"/>
    <x v="390"/>
    <x v="62"/>
    <x v="6"/>
    <x v="6"/>
  </r>
  <r>
    <x v="1468"/>
    <x v="0"/>
    <x v="104"/>
    <x v="1"/>
    <x v="62"/>
    <x v="0"/>
    <x v="491"/>
    <x v="96"/>
    <x v="0"/>
    <x v="0"/>
  </r>
  <r>
    <x v="1468"/>
    <x v="1"/>
    <x v="148"/>
    <x v="1"/>
    <x v="78"/>
    <x v="2"/>
    <x v="514"/>
    <x v="139"/>
    <x v="0"/>
    <x v="0"/>
  </r>
  <r>
    <x v="1468"/>
    <x v="2"/>
    <x v="197"/>
    <x v="0"/>
    <x v="50"/>
    <x v="1"/>
    <x v="202"/>
    <x v="187"/>
    <x v="6"/>
    <x v="6"/>
  </r>
  <r>
    <x v="1468"/>
    <x v="3"/>
    <x v="96"/>
    <x v="1"/>
    <x v="26"/>
    <x v="2"/>
    <x v="162"/>
    <x v="88"/>
    <x v="4"/>
    <x v="4"/>
  </r>
  <r>
    <x v="1469"/>
    <x v="0"/>
    <x v="55"/>
    <x v="1"/>
    <x v="38"/>
    <x v="3"/>
    <x v="267"/>
    <x v="48"/>
    <x v="5"/>
    <x v="5"/>
  </r>
  <r>
    <x v="1469"/>
    <x v="1"/>
    <x v="275"/>
    <x v="0"/>
    <x v="74"/>
    <x v="2"/>
    <x v="527"/>
    <x v="254"/>
    <x v="4"/>
    <x v="4"/>
  </r>
  <r>
    <x v="1469"/>
    <x v="2"/>
    <x v="253"/>
    <x v="1"/>
    <x v="9"/>
    <x v="2"/>
    <x v="126"/>
    <x v="165"/>
    <x v="3"/>
    <x v="3"/>
  </r>
  <r>
    <x v="1470"/>
    <x v="0"/>
    <x v="64"/>
    <x v="1"/>
    <x v="44"/>
    <x v="0"/>
    <x v="332"/>
    <x v="57"/>
    <x v="6"/>
    <x v="6"/>
  </r>
  <r>
    <x v="1470"/>
    <x v="1"/>
    <x v="169"/>
    <x v="0"/>
    <x v="1"/>
    <x v="1"/>
    <x v="31"/>
    <x v="160"/>
    <x v="1"/>
    <x v="1"/>
  </r>
  <r>
    <x v="1471"/>
    <x v="0"/>
    <x v="73"/>
    <x v="0"/>
    <x v="49"/>
    <x v="0"/>
    <x v="233"/>
    <x v="66"/>
    <x v="4"/>
    <x v="4"/>
  </r>
  <r>
    <x v="1471"/>
    <x v="1"/>
    <x v="133"/>
    <x v="0"/>
    <x v="62"/>
    <x v="0"/>
    <x v="403"/>
    <x v="124"/>
    <x v="0"/>
    <x v="0"/>
  </r>
  <r>
    <x v="1472"/>
    <x v="0"/>
    <x v="73"/>
    <x v="1"/>
    <x v="49"/>
    <x v="0"/>
    <x v="286"/>
    <x v="66"/>
    <x v="4"/>
    <x v="4"/>
  </r>
  <r>
    <x v="1472"/>
    <x v="1"/>
    <x v="48"/>
    <x v="0"/>
    <x v="26"/>
    <x v="1"/>
    <x v="255"/>
    <x v="34"/>
    <x v="0"/>
    <x v="0"/>
  </r>
  <r>
    <x v="1473"/>
    <x v="0"/>
    <x v="235"/>
    <x v="0"/>
    <x v="65"/>
    <x v="0"/>
    <x v="588"/>
    <x v="220"/>
    <x v="0"/>
    <x v="0"/>
  </r>
  <r>
    <x v="1473"/>
    <x v="1"/>
    <x v="262"/>
    <x v="0"/>
    <x v="4"/>
    <x v="2"/>
    <x v="6"/>
    <x v="243"/>
    <x v="1"/>
    <x v="1"/>
  </r>
  <r>
    <x v="1474"/>
    <x v="0"/>
    <x v="210"/>
    <x v="1"/>
    <x v="65"/>
    <x v="2"/>
    <x v="515"/>
    <x v="191"/>
    <x v="0"/>
    <x v="0"/>
  </r>
  <r>
    <x v="1474"/>
    <x v="1"/>
    <x v="276"/>
    <x v="1"/>
    <x v="65"/>
    <x v="1"/>
    <x v="562"/>
    <x v="220"/>
    <x v="0"/>
    <x v="0"/>
  </r>
  <r>
    <x v="1474"/>
    <x v="2"/>
    <x v="254"/>
    <x v="1"/>
    <x v="87"/>
    <x v="2"/>
    <x v="599"/>
    <x v="237"/>
    <x v="6"/>
    <x v="6"/>
  </r>
  <r>
    <x v="1474"/>
    <x v="3"/>
    <x v="277"/>
    <x v="1"/>
    <x v="0"/>
    <x v="0"/>
    <x v="24"/>
    <x v="255"/>
    <x v="0"/>
    <x v="0"/>
  </r>
  <r>
    <x v="1475"/>
    <x v="0"/>
    <x v="199"/>
    <x v="1"/>
    <x v="41"/>
    <x v="1"/>
    <x v="540"/>
    <x v="189"/>
    <x v="1"/>
    <x v="1"/>
  </r>
  <r>
    <x v="1475"/>
    <x v="1"/>
    <x v="87"/>
    <x v="1"/>
    <x v="29"/>
    <x v="1"/>
    <x v="172"/>
    <x v="80"/>
    <x v="4"/>
    <x v="4"/>
  </r>
  <r>
    <x v="1475"/>
    <x v="2"/>
    <x v="52"/>
    <x v="0"/>
    <x v="28"/>
    <x v="1"/>
    <x v="192"/>
    <x v="45"/>
    <x v="1"/>
    <x v="1"/>
  </r>
  <r>
    <x v="1475"/>
    <x v="3"/>
    <x v="278"/>
    <x v="0"/>
    <x v="66"/>
    <x v="3"/>
    <x v="513"/>
    <x v="256"/>
    <x v="3"/>
    <x v="3"/>
  </r>
  <r>
    <x v="1475"/>
    <x v="4"/>
    <x v="237"/>
    <x v="1"/>
    <x v="95"/>
    <x v="3"/>
    <x v="600"/>
    <x v="222"/>
    <x v="4"/>
    <x v="4"/>
  </r>
  <r>
    <x v="1476"/>
    <x v="0"/>
    <x v="221"/>
    <x v="1"/>
    <x v="2"/>
    <x v="0"/>
    <x v="54"/>
    <x v="154"/>
    <x v="6"/>
    <x v="6"/>
  </r>
  <r>
    <x v="1477"/>
    <x v="0"/>
    <x v="96"/>
    <x v="1"/>
    <x v="26"/>
    <x v="3"/>
    <x v="270"/>
    <x v="88"/>
    <x v="4"/>
    <x v="4"/>
  </r>
  <r>
    <x v="1477"/>
    <x v="1"/>
    <x v="262"/>
    <x v="0"/>
    <x v="4"/>
    <x v="0"/>
    <x v="90"/>
    <x v="243"/>
    <x v="1"/>
    <x v="1"/>
  </r>
  <r>
    <x v="1478"/>
    <x v="0"/>
    <x v="253"/>
    <x v="0"/>
    <x v="9"/>
    <x v="2"/>
    <x v="121"/>
    <x v="165"/>
    <x v="3"/>
    <x v="3"/>
  </r>
  <r>
    <x v="1478"/>
    <x v="1"/>
    <x v="279"/>
    <x v="0"/>
    <x v="65"/>
    <x v="3"/>
    <x v="492"/>
    <x v="257"/>
    <x v="0"/>
    <x v="0"/>
  </r>
  <r>
    <x v="1479"/>
    <x v="0"/>
    <x v="239"/>
    <x v="1"/>
    <x v="5"/>
    <x v="3"/>
    <x v="8"/>
    <x v="224"/>
    <x v="0"/>
    <x v="0"/>
  </r>
  <r>
    <x v="1479"/>
    <x v="1"/>
    <x v="90"/>
    <x v="1"/>
    <x v="43"/>
    <x v="3"/>
    <x v="240"/>
    <x v="83"/>
    <x v="0"/>
    <x v="0"/>
  </r>
  <r>
    <x v="1479"/>
    <x v="2"/>
    <x v="102"/>
    <x v="1"/>
    <x v="30"/>
    <x v="1"/>
    <x v="268"/>
    <x v="94"/>
    <x v="4"/>
    <x v="4"/>
  </r>
  <r>
    <x v="1479"/>
    <x v="3"/>
    <x v="205"/>
    <x v="1"/>
    <x v="92"/>
    <x v="1"/>
    <x v="601"/>
    <x v="195"/>
    <x v="0"/>
    <x v="0"/>
  </r>
  <r>
    <x v="1480"/>
    <x v="0"/>
    <x v="29"/>
    <x v="1"/>
    <x v="5"/>
    <x v="1"/>
    <x v="130"/>
    <x v="25"/>
    <x v="6"/>
    <x v="6"/>
  </r>
  <r>
    <x v="1480"/>
    <x v="1"/>
    <x v="177"/>
    <x v="0"/>
    <x v="69"/>
    <x v="3"/>
    <x v="602"/>
    <x v="167"/>
    <x v="1"/>
    <x v="1"/>
  </r>
  <r>
    <x v="1481"/>
    <x v="0"/>
    <x v="74"/>
    <x v="0"/>
    <x v="42"/>
    <x v="3"/>
    <x v="404"/>
    <x v="67"/>
    <x v="6"/>
    <x v="6"/>
  </r>
  <r>
    <x v="1481"/>
    <x v="1"/>
    <x v="191"/>
    <x v="0"/>
    <x v="26"/>
    <x v="2"/>
    <x v="275"/>
    <x v="181"/>
    <x v="1"/>
    <x v="1"/>
  </r>
  <r>
    <x v="1481"/>
    <x v="2"/>
    <x v="71"/>
    <x v="1"/>
    <x v="23"/>
    <x v="1"/>
    <x v="179"/>
    <x v="64"/>
    <x v="6"/>
    <x v="6"/>
  </r>
  <r>
    <x v="1481"/>
    <x v="3"/>
    <x v="95"/>
    <x v="0"/>
    <x v="23"/>
    <x v="2"/>
    <x v="292"/>
    <x v="87"/>
    <x v="1"/>
    <x v="1"/>
  </r>
  <r>
    <x v="1481"/>
    <x v="4"/>
    <x v="137"/>
    <x v="1"/>
    <x v="23"/>
    <x v="2"/>
    <x v="244"/>
    <x v="128"/>
    <x v="3"/>
    <x v="3"/>
  </r>
  <r>
    <x v="1482"/>
    <x v="0"/>
    <x v="280"/>
    <x v="0"/>
    <x v="26"/>
    <x v="2"/>
    <x v="275"/>
    <x v="258"/>
    <x v="4"/>
    <x v="4"/>
  </r>
  <r>
    <x v="1482"/>
    <x v="1"/>
    <x v="219"/>
    <x v="1"/>
    <x v="72"/>
    <x v="1"/>
    <x v="603"/>
    <x v="129"/>
    <x v="0"/>
    <x v="0"/>
  </r>
  <r>
    <x v="1483"/>
    <x v="0"/>
    <x v="214"/>
    <x v="1"/>
    <x v="70"/>
    <x v="1"/>
    <x v="604"/>
    <x v="202"/>
    <x v="4"/>
    <x v="4"/>
  </r>
  <r>
    <x v="1483"/>
    <x v="1"/>
    <x v="60"/>
    <x v="1"/>
    <x v="25"/>
    <x v="0"/>
    <x v="165"/>
    <x v="53"/>
    <x v="6"/>
    <x v="6"/>
  </r>
  <r>
    <x v="1483"/>
    <x v="2"/>
    <x v="138"/>
    <x v="1"/>
    <x v="72"/>
    <x v="2"/>
    <x v="503"/>
    <x v="129"/>
    <x v="0"/>
    <x v="0"/>
  </r>
  <r>
    <x v="1484"/>
    <x v="0"/>
    <x v="281"/>
    <x v="1"/>
    <x v="50"/>
    <x v="0"/>
    <x v="312"/>
    <x v="259"/>
    <x v="1"/>
    <x v="1"/>
  </r>
  <r>
    <x v="1484"/>
    <x v="1"/>
    <x v="176"/>
    <x v="0"/>
    <x v="70"/>
    <x v="0"/>
    <x v="605"/>
    <x v="166"/>
    <x v="4"/>
    <x v="4"/>
  </r>
  <r>
    <x v="1485"/>
    <x v="0"/>
    <x v="91"/>
    <x v="1"/>
    <x v="57"/>
    <x v="2"/>
    <x v="447"/>
    <x v="84"/>
    <x v="3"/>
    <x v="3"/>
  </r>
  <r>
    <x v="1485"/>
    <x v="1"/>
    <x v="72"/>
    <x v="0"/>
    <x v="26"/>
    <x v="2"/>
    <x v="275"/>
    <x v="65"/>
    <x v="4"/>
    <x v="4"/>
  </r>
  <r>
    <x v="1485"/>
    <x v="2"/>
    <x v="191"/>
    <x v="0"/>
    <x v="26"/>
    <x v="3"/>
    <x v="164"/>
    <x v="181"/>
    <x v="1"/>
    <x v="1"/>
  </r>
  <r>
    <x v="1485"/>
    <x v="3"/>
    <x v="116"/>
    <x v="0"/>
    <x v="67"/>
    <x v="3"/>
    <x v="606"/>
    <x v="108"/>
    <x v="4"/>
    <x v="4"/>
  </r>
  <r>
    <x v="1486"/>
    <x v="0"/>
    <x v="140"/>
    <x v="0"/>
    <x v="76"/>
    <x v="1"/>
    <x v="546"/>
    <x v="131"/>
    <x v="6"/>
    <x v="6"/>
  </r>
  <r>
    <x v="1486"/>
    <x v="1"/>
    <x v="117"/>
    <x v="1"/>
    <x v="68"/>
    <x v="0"/>
    <x v="607"/>
    <x v="109"/>
    <x v="6"/>
    <x v="6"/>
  </r>
  <r>
    <x v="1486"/>
    <x v="2"/>
    <x v="255"/>
    <x v="0"/>
    <x v="9"/>
    <x v="2"/>
    <x v="121"/>
    <x v="199"/>
    <x v="3"/>
    <x v="3"/>
  </r>
  <r>
    <x v="1486"/>
    <x v="3"/>
    <x v="282"/>
    <x v="0"/>
    <x v="27"/>
    <x v="2"/>
    <x v="258"/>
    <x v="260"/>
    <x v="3"/>
    <x v="3"/>
  </r>
  <r>
    <x v="1486"/>
    <x v="4"/>
    <x v="81"/>
    <x v="1"/>
    <x v="29"/>
    <x v="0"/>
    <x v="209"/>
    <x v="74"/>
    <x v="4"/>
    <x v="4"/>
  </r>
  <r>
    <x v="1487"/>
    <x v="0"/>
    <x v="41"/>
    <x v="0"/>
    <x v="27"/>
    <x v="1"/>
    <x v="466"/>
    <x v="36"/>
    <x v="1"/>
    <x v="1"/>
  </r>
  <r>
    <x v="1487"/>
    <x v="1"/>
    <x v="281"/>
    <x v="0"/>
    <x v="50"/>
    <x v="1"/>
    <x v="202"/>
    <x v="259"/>
    <x v="1"/>
    <x v="1"/>
  </r>
  <r>
    <x v="1488"/>
    <x v="0"/>
    <x v="255"/>
    <x v="0"/>
    <x v="9"/>
    <x v="0"/>
    <x v="141"/>
    <x v="199"/>
    <x v="3"/>
    <x v="3"/>
  </r>
  <r>
    <x v="1488"/>
    <x v="1"/>
    <x v="129"/>
    <x v="1"/>
    <x v="74"/>
    <x v="0"/>
    <x v="521"/>
    <x v="120"/>
    <x v="4"/>
    <x v="4"/>
  </r>
  <r>
    <x v="1488"/>
    <x v="2"/>
    <x v="58"/>
    <x v="0"/>
    <x v="40"/>
    <x v="3"/>
    <x v="340"/>
    <x v="51"/>
    <x v="6"/>
    <x v="6"/>
  </r>
  <r>
    <x v="1489"/>
    <x v="0"/>
    <x v="40"/>
    <x v="0"/>
    <x v="15"/>
    <x v="3"/>
    <x v="37"/>
    <x v="35"/>
    <x v="4"/>
    <x v="4"/>
  </r>
  <r>
    <x v="1489"/>
    <x v="1"/>
    <x v="226"/>
    <x v="0"/>
    <x v="5"/>
    <x v="3"/>
    <x v="92"/>
    <x v="155"/>
    <x v="0"/>
    <x v="0"/>
  </r>
  <r>
    <x v="1489"/>
    <x v="2"/>
    <x v="283"/>
    <x v="0"/>
    <x v="70"/>
    <x v="2"/>
    <x v="573"/>
    <x v="261"/>
    <x v="0"/>
    <x v="0"/>
  </r>
  <r>
    <x v="1490"/>
    <x v="0"/>
    <x v="43"/>
    <x v="1"/>
    <x v="15"/>
    <x v="0"/>
    <x v="33"/>
    <x v="31"/>
    <x v="0"/>
    <x v="0"/>
  </r>
  <r>
    <x v="1490"/>
    <x v="1"/>
    <x v="246"/>
    <x v="0"/>
    <x v="19"/>
    <x v="2"/>
    <x v="399"/>
    <x v="231"/>
    <x v="5"/>
    <x v="5"/>
  </r>
  <r>
    <x v="1490"/>
    <x v="2"/>
    <x v="91"/>
    <x v="1"/>
    <x v="57"/>
    <x v="1"/>
    <x v="469"/>
    <x v="84"/>
    <x v="3"/>
    <x v="3"/>
  </r>
  <r>
    <x v="1490"/>
    <x v="3"/>
    <x v="112"/>
    <x v="1"/>
    <x v="9"/>
    <x v="1"/>
    <x v="14"/>
    <x v="104"/>
    <x v="1"/>
    <x v="1"/>
  </r>
  <r>
    <x v="1491"/>
    <x v="0"/>
    <x v="88"/>
    <x v="1"/>
    <x v="55"/>
    <x v="3"/>
    <x v="438"/>
    <x v="81"/>
    <x v="1"/>
    <x v="1"/>
  </r>
  <r>
    <x v="1492"/>
    <x v="0"/>
    <x v="128"/>
    <x v="0"/>
    <x v="73"/>
    <x v="3"/>
    <x v="608"/>
    <x v="119"/>
    <x v="0"/>
    <x v="0"/>
  </r>
  <r>
    <x v="1493"/>
    <x v="0"/>
    <x v="128"/>
    <x v="1"/>
    <x v="73"/>
    <x v="3"/>
    <x v="609"/>
    <x v="119"/>
    <x v="0"/>
    <x v="0"/>
  </r>
  <r>
    <x v="1493"/>
    <x v="1"/>
    <x v="260"/>
    <x v="1"/>
    <x v="5"/>
    <x v="0"/>
    <x v="39"/>
    <x v="241"/>
    <x v="6"/>
    <x v="6"/>
  </r>
  <r>
    <x v="1493"/>
    <x v="2"/>
    <x v="240"/>
    <x v="1"/>
    <x v="33"/>
    <x v="2"/>
    <x v="163"/>
    <x v="225"/>
    <x v="4"/>
    <x v="4"/>
  </r>
  <r>
    <x v="1494"/>
    <x v="0"/>
    <x v="208"/>
    <x v="1"/>
    <x v="75"/>
    <x v="2"/>
    <x v="566"/>
    <x v="197"/>
    <x v="4"/>
    <x v="4"/>
  </r>
  <r>
    <x v="1494"/>
    <x v="1"/>
    <x v="239"/>
    <x v="1"/>
    <x v="5"/>
    <x v="0"/>
    <x v="39"/>
    <x v="224"/>
    <x v="0"/>
    <x v="0"/>
  </r>
  <r>
    <x v="1494"/>
    <x v="2"/>
    <x v="234"/>
    <x v="0"/>
    <x v="88"/>
    <x v="3"/>
    <x v="580"/>
    <x v="219"/>
    <x v="1"/>
    <x v="1"/>
  </r>
  <r>
    <x v="1495"/>
    <x v="0"/>
    <x v="277"/>
    <x v="0"/>
    <x v="0"/>
    <x v="1"/>
    <x v="5"/>
    <x v="255"/>
    <x v="0"/>
    <x v="0"/>
  </r>
  <r>
    <x v="1495"/>
    <x v="1"/>
    <x v="204"/>
    <x v="0"/>
    <x v="65"/>
    <x v="1"/>
    <x v="610"/>
    <x v="194"/>
    <x v="0"/>
    <x v="0"/>
  </r>
  <r>
    <x v="1495"/>
    <x v="2"/>
    <x v="222"/>
    <x v="1"/>
    <x v="71"/>
    <x v="2"/>
    <x v="611"/>
    <x v="208"/>
    <x v="0"/>
    <x v="0"/>
  </r>
  <r>
    <x v="1495"/>
    <x v="3"/>
    <x v="246"/>
    <x v="0"/>
    <x v="19"/>
    <x v="2"/>
    <x v="399"/>
    <x v="231"/>
    <x v="5"/>
    <x v="5"/>
  </r>
  <r>
    <x v="1495"/>
    <x v="4"/>
    <x v="205"/>
    <x v="1"/>
    <x v="92"/>
    <x v="0"/>
    <x v="612"/>
    <x v="195"/>
    <x v="0"/>
    <x v="0"/>
  </r>
  <r>
    <x v="1496"/>
    <x v="0"/>
    <x v="257"/>
    <x v="1"/>
    <x v="100"/>
    <x v="0"/>
    <x v="613"/>
    <x v="239"/>
    <x v="1"/>
    <x v="1"/>
  </r>
  <r>
    <x v="1496"/>
    <x v="1"/>
    <x v="255"/>
    <x v="1"/>
    <x v="9"/>
    <x v="3"/>
    <x v="42"/>
    <x v="199"/>
    <x v="3"/>
    <x v="3"/>
  </r>
  <r>
    <x v="1496"/>
    <x v="2"/>
    <x v="180"/>
    <x v="1"/>
    <x v="85"/>
    <x v="1"/>
    <x v="530"/>
    <x v="170"/>
    <x v="3"/>
    <x v="3"/>
  </r>
  <r>
    <x v="1497"/>
    <x v="0"/>
    <x v="155"/>
    <x v="0"/>
    <x v="41"/>
    <x v="2"/>
    <x v="361"/>
    <x v="146"/>
    <x v="6"/>
    <x v="6"/>
  </r>
  <r>
    <x v="1497"/>
    <x v="1"/>
    <x v="258"/>
    <x v="1"/>
    <x v="62"/>
    <x v="1"/>
    <x v="278"/>
    <x v="124"/>
    <x v="0"/>
    <x v="0"/>
  </r>
  <r>
    <x v="1498"/>
    <x v="0"/>
    <x v="55"/>
    <x v="0"/>
    <x v="38"/>
    <x v="2"/>
    <x v="318"/>
    <x v="48"/>
    <x v="5"/>
    <x v="5"/>
  </r>
  <r>
    <x v="1498"/>
    <x v="1"/>
    <x v="194"/>
    <x v="0"/>
    <x v="1"/>
    <x v="1"/>
    <x v="31"/>
    <x v="184"/>
    <x v="2"/>
    <x v="2"/>
  </r>
  <r>
    <x v="1498"/>
    <x v="2"/>
    <x v="217"/>
    <x v="1"/>
    <x v="93"/>
    <x v="2"/>
    <x v="547"/>
    <x v="205"/>
    <x v="4"/>
    <x v="4"/>
  </r>
  <r>
    <x v="1498"/>
    <x v="3"/>
    <x v="6"/>
    <x v="0"/>
    <x v="5"/>
    <x v="2"/>
    <x v="132"/>
    <x v="6"/>
    <x v="1"/>
    <x v="1"/>
  </r>
  <r>
    <x v="1498"/>
    <x v="4"/>
    <x v="212"/>
    <x v="1"/>
    <x v="41"/>
    <x v="3"/>
    <x v="216"/>
    <x v="200"/>
    <x v="6"/>
    <x v="6"/>
  </r>
  <r>
    <x v="1499"/>
    <x v="0"/>
    <x v="67"/>
    <x v="1"/>
    <x v="46"/>
    <x v="1"/>
    <x v="374"/>
    <x v="60"/>
    <x v="1"/>
    <x v="1"/>
  </r>
  <r>
    <x v="1499"/>
    <x v="1"/>
    <x v="284"/>
    <x v="0"/>
    <x v="70"/>
    <x v="1"/>
    <x v="500"/>
    <x v="262"/>
    <x v="4"/>
    <x v="4"/>
  </r>
  <r>
    <x v="1500"/>
    <x v="0"/>
    <x v="277"/>
    <x v="0"/>
    <x v="0"/>
    <x v="2"/>
    <x v="7"/>
    <x v="255"/>
    <x v="0"/>
    <x v="0"/>
  </r>
  <r>
    <x v="1500"/>
    <x v="1"/>
    <x v="244"/>
    <x v="0"/>
    <x v="82"/>
    <x v="1"/>
    <x v="523"/>
    <x v="229"/>
    <x v="0"/>
    <x v="0"/>
  </r>
  <r>
    <x v="1500"/>
    <x v="2"/>
    <x v="12"/>
    <x v="0"/>
    <x v="10"/>
    <x v="2"/>
    <x v="119"/>
    <x v="11"/>
    <x v="0"/>
    <x v="0"/>
  </r>
  <r>
    <x v="1500"/>
    <x v="3"/>
    <x v="50"/>
    <x v="0"/>
    <x v="34"/>
    <x v="0"/>
    <x v="210"/>
    <x v="43"/>
    <x v="0"/>
    <x v="0"/>
  </r>
  <r>
    <x v="1500"/>
    <x v="4"/>
    <x v="221"/>
    <x v="0"/>
    <x v="2"/>
    <x v="2"/>
    <x v="99"/>
    <x v="154"/>
    <x v="6"/>
    <x v="6"/>
  </r>
  <r>
    <x v="1501"/>
    <x v="0"/>
    <x v="285"/>
    <x v="1"/>
    <x v="10"/>
    <x v="0"/>
    <x v="48"/>
    <x v="263"/>
    <x v="0"/>
    <x v="0"/>
  </r>
  <r>
    <x v="1501"/>
    <x v="1"/>
    <x v="23"/>
    <x v="1"/>
    <x v="7"/>
    <x v="1"/>
    <x v="53"/>
    <x v="20"/>
    <x v="0"/>
    <x v="0"/>
  </r>
  <r>
    <x v="1501"/>
    <x v="2"/>
    <x v="8"/>
    <x v="1"/>
    <x v="0"/>
    <x v="1"/>
    <x v="19"/>
    <x v="3"/>
    <x v="0"/>
    <x v="0"/>
  </r>
  <r>
    <x v="1501"/>
    <x v="3"/>
    <x v="217"/>
    <x v="0"/>
    <x v="93"/>
    <x v="0"/>
    <x v="593"/>
    <x v="205"/>
    <x v="4"/>
    <x v="4"/>
  </r>
  <r>
    <x v="1501"/>
    <x v="4"/>
    <x v="201"/>
    <x v="0"/>
    <x v="65"/>
    <x v="1"/>
    <x v="610"/>
    <x v="191"/>
    <x v="0"/>
    <x v="0"/>
  </r>
  <r>
    <x v="1502"/>
    <x v="0"/>
    <x v="223"/>
    <x v="0"/>
    <x v="94"/>
    <x v="3"/>
    <x v="614"/>
    <x v="209"/>
    <x v="0"/>
    <x v="0"/>
  </r>
  <r>
    <x v="1502"/>
    <x v="1"/>
    <x v="246"/>
    <x v="1"/>
    <x v="19"/>
    <x v="2"/>
    <x v="150"/>
    <x v="231"/>
    <x v="5"/>
    <x v="5"/>
  </r>
  <r>
    <x v="1503"/>
    <x v="0"/>
    <x v="176"/>
    <x v="0"/>
    <x v="70"/>
    <x v="1"/>
    <x v="500"/>
    <x v="166"/>
    <x v="4"/>
    <x v="4"/>
  </r>
  <r>
    <x v="1504"/>
    <x v="0"/>
    <x v="195"/>
    <x v="1"/>
    <x v="10"/>
    <x v="2"/>
    <x v="94"/>
    <x v="185"/>
    <x v="0"/>
    <x v="0"/>
  </r>
  <r>
    <x v="1504"/>
    <x v="1"/>
    <x v="24"/>
    <x v="1"/>
    <x v="8"/>
    <x v="1"/>
    <x v="30"/>
    <x v="9"/>
    <x v="0"/>
    <x v="0"/>
  </r>
  <r>
    <x v="1504"/>
    <x v="2"/>
    <x v="52"/>
    <x v="1"/>
    <x v="28"/>
    <x v="2"/>
    <x v="181"/>
    <x v="45"/>
    <x v="1"/>
    <x v="1"/>
  </r>
  <r>
    <x v="1505"/>
    <x v="0"/>
    <x v="153"/>
    <x v="0"/>
    <x v="25"/>
    <x v="2"/>
    <x v="413"/>
    <x v="144"/>
    <x v="6"/>
    <x v="6"/>
  </r>
  <r>
    <x v="1505"/>
    <x v="1"/>
    <x v="145"/>
    <x v="1"/>
    <x v="23"/>
    <x v="0"/>
    <x v="377"/>
    <x v="136"/>
    <x v="6"/>
    <x v="6"/>
  </r>
  <r>
    <x v="1505"/>
    <x v="2"/>
    <x v="172"/>
    <x v="1"/>
    <x v="83"/>
    <x v="2"/>
    <x v="615"/>
    <x v="163"/>
    <x v="6"/>
    <x v="6"/>
  </r>
  <r>
    <x v="1506"/>
    <x v="0"/>
    <x v="62"/>
    <x v="1"/>
    <x v="42"/>
    <x v="0"/>
    <x v="259"/>
    <x v="55"/>
    <x v="1"/>
    <x v="1"/>
  </r>
  <r>
    <x v="1506"/>
    <x v="1"/>
    <x v="16"/>
    <x v="1"/>
    <x v="13"/>
    <x v="3"/>
    <x v="104"/>
    <x v="14"/>
    <x v="2"/>
    <x v="2"/>
  </r>
  <r>
    <x v="1506"/>
    <x v="2"/>
    <x v="286"/>
    <x v="0"/>
    <x v="102"/>
    <x v="1"/>
    <x v="616"/>
    <x v="264"/>
    <x v="0"/>
    <x v="0"/>
  </r>
  <r>
    <x v="1506"/>
    <x v="3"/>
    <x v="248"/>
    <x v="0"/>
    <x v="70"/>
    <x v="1"/>
    <x v="500"/>
    <x v="201"/>
    <x v="0"/>
    <x v="0"/>
  </r>
  <r>
    <x v="1506"/>
    <x v="4"/>
    <x v="284"/>
    <x v="1"/>
    <x v="70"/>
    <x v="2"/>
    <x v="571"/>
    <x v="262"/>
    <x v="4"/>
    <x v="4"/>
  </r>
  <r>
    <x v="1507"/>
    <x v="0"/>
    <x v="88"/>
    <x v="0"/>
    <x v="55"/>
    <x v="0"/>
    <x v="467"/>
    <x v="81"/>
    <x v="1"/>
    <x v="1"/>
  </r>
  <r>
    <x v="1507"/>
    <x v="1"/>
    <x v="36"/>
    <x v="0"/>
    <x v="24"/>
    <x v="3"/>
    <x v="325"/>
    <x v="32"/>
    <x v="5"/>
    <x v="5"/>
  </r>
  <r>
    <x v="1507"/>
    <x v="2"/>
    <x v="58"/>
    <x v="1"/>
    <x v="40"/>
    <x v="2"/>
    <x v="217"/>
    <x v="51"/>
    <x v="6"/>
    <x v="6"/>
  </r>
  <r>
    <x v="1507"/>
    <x v="3"/>
    <x v="54"/>
    <x v="0"/>
    <x v="37"/>
    <x v="2"/>
    <x v="232"/>
    <x v="47"/>
    <x v="4"/>
    <x v="4"/>
  </r>
  <r>
    <x v="1508"/>
    <x v="0"/>
    <x v="149"/>
    <x v="1"/>
    <x v="5"/>
    <x v="1"/>
    <x v="130"/>
    <x v="140"/>
    <x v="0"/>
    <x v="0"/>
  </r>
  <r>
    <x v="1509"/>
    <x v="0"/>
    <x v="199"/>
    <x v="1"/>
    <x v="41"/>
    <x v="2"/>
    <x v="176"/>
    <x v="189"/>
    <x v="1"/>
    <x v="1"/>
  </r>
  <r>
    <x v="1509"/>
    <x v="1"/>
    <x v="39"/>
    <x v="0"/>
    <x v="19"/>
    <x v="3"/>
    <x v="201"/>
    <x v="22"/>
    <x v="0"/>
    <x v="0"/>
  </r>
  <r>
    <x v="1509"/>
    <x v="2"/>
    <x v="211"/>
    <x v="1"/>
    <x v="9"/>
    <x v="3"/>
    <x v="42"/>
    <x v="199"/>
    <x v="3"/>
    <x v="3"/>
  </r>
  <r>
    <x v="1509"/>
    <x v="3"/>
    <x v="229"/>
    <x v="1"/>
    <x v="11"/>
    <x v="3"/>
    <x v="23"/>
    <x v="214"/>
    <x v="0"/>
    <x v="0"/>
  </r>
  <r>
    <x v="1509"/>
    <x v="4"/>
    <x v="234"/>
    <x v="0"/>
    <x v="88"/>
    <x v="2"/>
    <x v="617"/>
    <x v="219"/>
    <x v="1"/>
    <x v="1"/>
  </r>
  <r>
    <x v="1510"/>
    <x v="0"/>
    <x v="183"/>
    <x v="1"/>
    <x v="68"/>
    <x v="0"/>
    <x v="607"/>
    <x v="173"/>
    <x v="6"/>
    <x v="6"/>
  </r>
  <r>
    <x v="1510"/>
    <x v="1"/>
    <x v="287"/>
    <x v="0"/>
    <x v="103"/>
    <x v="1"/>
    <x v="618"/>
    <x v="265"/>
    <x v="4"/>
    <x v="4"/>
  </r>
  <r>
    <x v="1510"/>
    <x v="2"/>
    <x v="7"/>
    <x v="1"/>
    <x v="6"/>
    <x v="1"/>
    <x v="100"/>
    <x v="7"/>
    <x v="0"/>
    <x v="0"/>
  </r>
  <r>
    <x v="1510"/>
    <x v="3"/>
    <x v="67"/>
    <x v="0"/>
    <x v="46"/>
    <x v="2"/>
    <x v="423"/>
    <x v="60"/>
    <x v="1"/>
    <x v="1"/>
  </r>
  <r>
    <x v="1510"/>
    <x v="4"/>
    <x v="190"/>
    <x v="1"/>
    <x v="89"/>
    <x v="0"/>
    <x v="619"/>
    <x v="180"/>
    <x v="1"/>
    <x v="1"/>
  </r>
  <r>
    <x v="1511"/>
    <x v="0"/>
    <x v="223"/>
    <x v="0"/>
    <x v="94"/>
    <x v="1"/>
    <x v="620"/>
    <x v="209"/>
    <x v="0"/>
    <x v="0"/>
  </r>
  <r>
    <x v="1512"/>
    <x v="0"/>
    <x v="171"/>
    <x v="0"/>
    <x v="5"/>
    <x v="3"/>
    <x v="92"/>
    <x v="162"/>
    <x v="6"/>
    <x v="6"/>
  </r>
  <r>
    <x v="1512"/>
    <x v="1"/>
    <x v="32"/>
    <x v="1"/>
    <x v="23"/>
    <x v="2"/>
    <x v="244"/>
    <x v="28"/>
    <x v="3"/>
    <x v="3"/>
  </r>
  <r>
    <x v="1512"/>
    <x v="2"/>
    <x v="166"/>
    <x v="1"/>
    <x v="27"/>
    <x v="2"/>
    <x v="155"/>
    <x v="157"/>
    <x v="6"/>
    <x v="6"/>
  </r>
  <r>
    <x v="1513"/>
    <x v="0"/>
    <x v="216"/>
    <x v="1"/>
    <x v="65"/>
    <x v="3"/>
    <x v="497"/>
    <x v="204"/>
    <x v="0"/>
    <x v="0"/>
  </r>
  <r>
    <x v="1513"/>
    <x v="1"/>
    <x v="139"/>
    <x v="1"/>
    <x v="23"/>
    <x v="2"/>
    <x v="244"/>
    <x v="130"/>
    <x v="3"/>
    <x v="3"/>
  </r>
  <r>
    <x v="1514"/>
    <x v="0"/>
    <x v="97"/>
    <x v="1"/>
    <x v="4"/>
    <x v="0"/>
    <x v="73"/>
    <x v="89"/>
    <x v="1"/>
    <x v="1"/>
  </r>
  <r>
    <x v="1514"/>
    <x v="1"/>
    <x v="288"/>
    <x v="1"/>
    <x v="25"/>
    <x v="3"/>
    <x v="279"/>
    <x v="266"/>
    <x v="3"/>
    <x v="3"/>
  </r>
  <r>
    <x v="1514"/>
    <x v="2"/>
    <x v="273"/>
    <x v="1"/>
    <x v="65"/>
    <x v="2"/>
    <x v="515"/>
    <x v="204"/>
    <x v="0"/>
    <x v="0"/>
  </r>
  <r>
    <x v="1514"/>
    <x v="3"/>
    <x v="95"/>
    <x v="0"/>
    <x v="23"/>
    <x v="3"/>
    <x v="253"/>
    <x v="87"/>
    <x v="1"/>
    <x v="1"/>
  </r>
  <r>
    <x v="1514"/>
    <x v="4"/>
    <x v="289"/>
    <x v="1"/>
    <x v="92"/>
    <x v="0"/>
    <x v="612"/>
    <x v="267"/>
    <x v="6"/>
    <x v="6"/>
  </r>
  <r>
    <x v="1515"/>
    <x v="0"/>
    <x v="155"/>
    <x v="1"/>
    <x v="41"/>
    <x v="3"/>
    <x v="216"/>
    <x v="146"/>
    <x v="6"/>
    <x v="6"/>
  </r>
  <r>
    <x v="1515"/>
    <x v="1"/>
    <x v="130"/>
    <x v="0"/>
    <x v="44"/>
    <x v="3"/>
    <x v="417"/>
    <x v="121"/>
    <x v="3"/>
    <x v="3"/>
  </r>
  <r>
    <x v="1515"/>
    <x v="2"/>
    <x v="282"/>
    <x v="1"/>
    <x v="27"/>
    <x v="0"/>
    <x v="194"/>
    <x v="260"/>
    <x v="3"/>
    <x v="3"/>
  </r>
  <r>
    <x v="1515"/>
    <x v="3"/>
    <x v="286"/>
    <x v="1"/>
    <x v="102"/>
    <x v="0"/>
    <x v="621"/>
    <x v="264"/>
    <x v="0"/>
    <x v="0"/>
  </r>
  <r>
    <x v="1515"/>
    <x v="4"/>
    <x v="261"/>
    <x v="1"/>
    <x v="30"/>
    <x v="0"/>
    <x v="266"/>
    <x v="242"/>
    <x v="4"/>
    <x v="4"/>
  </r>
  <r>
    <x v="1516"/>
    <x v="0"/>
    <x v="290"/>
    <x v="1"/>
    <x v="44"/>
    <x v="1"/>
    <x v="180"/>
    <x v="156"/>
    <x v="3"/>
    <x v="3"/>
  </r>
  <r>
    <x v="1516"/>
    <x v="1"/>
    <x v="219"/>
    <x v="1"/>
    <x v="72"/>
    <x v="2"/>
    <x v="503"/>
    <x v="129"/>
    <x v="0"/>
    <x v="0"/>
  </r>
  <r>
    <x v="1517"/>
    <x v="0"/>
    <x v="138"/>
    <x v="1"/>
    <x v="72"/>
    <x v="3"/>
    <x v="509"/>
    <x v="129"/>
    <x v="0"/>
    <x v="0"/>
  </r>
  <r>
    <x v="1517"/>
    <x v="1"/>
    <x v="197"/>
    <x v="1"/>
    <x v="50"/>
    <x v="2"/>
    <x v="449"/>
    <x v="187"/>
    <x v="6"/>
    <x v="6"/>
  </r>
  <r>
    <x v="1517"/>
    <x v="2"/>
    <x v="253"/>
    <x v="1"/>
    <x v="9"/>
    <x v="2"/>
    <x v="126"/>
    <x v="165"/>
    <x v="3"/>
    <x v="3"/>
  </r>
  <r>
    <x v="1518"/>
    <x v="0"/>
    <x v="158"/>
    <x v="0"/>
    <x v="76"/>
    <x v="0"/>
    <x v="537"/>
    <x v="149"/>
    <x v="6"/>
    <x v="6"/>
  </r>
  <r>
    <x v="1518"/>
    <x v="1"/>
    <x v="25"/>
    <x v="1"/>
    <x v="18"/>
    <x v="0"/>
    <x v="144"/>
    <x v="21"/>
    <x v="4"/>
    <x v="4"/>
  </r>
  <r>
    <x v="1518"/>
    <x v="2"/>
    <x v="190"/>
    <x v="1"/>
    <x v="89"/>
    <x v="1"/>
    <x v="622"/>
    <x v="180"/>
    <x v="1"/>
    <x v="1"/>
  </r>
  <r>
    <x v="1518"/>
    <x v="3"/>
    <x v="105"/>
    <x v="0"/>
    <x v="63"/>
    <x v="0"/>
    <x v="349"/>
    <x v="97"/>
    <x v="0"/>
    <x v="0"/>
  </r>
  <r>
    <x v="1518"/>
    <x v="4"/>
    <x v="237"/>
    <x v="1"/>
    <x v="95"/>
    <x v="2"/>
    <x v="623"/>
    <x v="222"/>
    <x v="4"/>
    <x v="4"/>
  </r>
  <r>
    <x v="1519"/>
    <x v="0"/>
    <x v="192"/>
    <x v="0"/>
    <x v="76"/>
    <x v="2"/>
    <x v="518"/>
    <x v="182"/>
    <x v="3"/>
    <x v="3"/>
  </r>
  <r>
    <x v="1519"/>
    <x v="1"/>
    <x v="198"/>
    <x v="1"/>
    <x v="25"/>
    <x v="0"/>
    <x v="165"/>
    <x v="188"/>
    <x v="3"/>
    <x v="3"/>
  </r>
  <r>
    <x v="1519"/>
    <x v="2"/>
    <x v="273"/>
    <x v="1"/>
    <x v="65"/>
    <x v="1"/>
    <x v="562"/>
    <x v="204"/>
    <x v="0"/>
    <x v="0"/>
  </r>
  <r>
    <x v="1519"/>
    <x v="3"/>
    <x v="160"/>
    <x v="1"/>
    <x v="81"/>
    <x v="3"/>
    <x v="542"/>
    <x v="151"/>
    <x v="4"/>
    <x v="4"/>
  </r>
  <r>
    <x v="1520"/>
    <x v="0"/>
    <x v="96"/>
    <x v="0"/>
    <x v="26"/>
    <x v="0"/>
    <x v="153"/>
    <x v="88"/>
    <x v="4"/>
    <x v="4"/>
  </r>
  <r>
    <x v="1520"/>
    <x v="1"/>
    <x v="291"/>
    <x v="1"/>
    <x v="72"/>
    <x v="0"/>
    <x v="624"/>
    <x v="118"/>
    <x v="0"/>
    <x v="0"/>
  </r>
  <r>
    <x v="1520"/>
    <x v="2"/>
    <x v="262"/>
    <x v="0"/>
    <x v="4"/>
    <x v="3"/>
    <x v="16"/>
    <x v="243"/>
    <x v="1"/>
    <x v="1"/>
  </r>
  <r>
    <x v="1520"/>
    <x v="3"/>
    <x v="206"/>
    <x v="1"/>
    <x v="42"/>
    <x v="0"/>
    <x v="259"/>
    <x v="196"/>
    <x v="1"/>
    <x v="1"/>
  </r>
  <r>
    <x v="1521"/>
    <x v="0"/>
    <x v="43"/>
    <x v="0"/>
    <x v="15"/>
    <x v="3"/>
    <x v="37"/>
    <x v="31"/>
    <x v="0"/>
    <x v="0"/>
  </r>
  <r>
    <x v="1521"/>
    <x v="1"/>
    <x v="257"/>
    <x v="0"/>
    <x v="100"/>
    <x v="1"/>
    <x v="625"/>
    <x v="239"/>
    <x v="1"/>
    <x v="1"/>
  </r>
  <r>
    <x v="1521"/>
    <x v="2"/>
    <x v="266"/>
    <x v="0"/>
    <x v="46"/>
    <x v="1"/>
    <x v="298"/>
    <x v="246"/>
    <x v="1"/>
    <x v="1"/>
  </r>
  <r>
    <x v="1522"/>
    <x v="0"/>
    <x v="122"/>
    <x v="1"/>
    <x v="5"/>
    <x v="0"/>
    <x v="39"/>
    <x v="111"/>
    <x v="0"/>
    <x v="0"/>
  </r>
  <r>
    <x v="1523"/>
    <x v="0"/>
    <x v="163"/>
    <x v="0"/>
    <x v="2"/>
    <x v="3"/>
    <x v="139"/>
    <x v="154"/>
    <x v="6"/>
    <x v="6"/>
  </r>
  <r>
    <x v="1523"/>
    <x v="1"/>
    <x v="214"/>
    <x v="1"/>
    <x v="70"/>
    <x v="0"/>
    <x v="501"/>
    <x v="202"/>
    <x v="4"/>
    <x v="4"/>
  </r>
  <r>
    <x v="1523"/>
    <x v="2"/>
    <x v="173"/>
    <x v="0"/>
    <x v="19"/>
    <x v="0"/>
    <x v="188"/>
    <x v="164"/>
    <x v="5"/>
    <x v="5"/>
  </r>
  <r>
    <x v="1523"/>
    <x v="3"/>
    <x v="253"/>
    <x v="1"/>
    <x v="9"/>
    <x v="0"/>
    <x v="44"/>
    <x v="165"/>
    <x v="3"/>
    <x v="3"/>
  </r>
  <r>
    <x v="1524"/>
    <x v="0"/>
    <x v="292"/>
    <x v="0"/>
    <x v="53"/>
    <x v="3"/>
    <x v="422"/>
    <x v="268"/>
    <x v="6"/>
    <x v="6"/>
  </r>
  <r>
    <x v="1524"/>
    <x v="1"/>
    <x v="179"/>
    <x v="1"/>
    <x v="84"/>
    <x v="1"/>
    <x v="626"/>
    <x v="169"/>
    <x v="6"/>
    <x v="6"/>
  </r>
  <r>
    <x v="1524"/>
    <x v="2"/>
    <x v="230"/>
    <x v="0"/>
    <x v="66"/>
    <x v="1"/>
    <x v="627"/>
    <x v="215"/>
    <x v="3"/>
    <x v="3"/>
  </r>
  <r>
    <x v="1525"/>
    <x v="0"/>
    <x v="117"/>
    <x v="0"/>
    <x v="68"/>
    <x v="1"/>
    <x v="532"/>
    <x v="109"/>
    <x v="6"/>
    <x v="6"/>
  </r>
  <r>
    <x v="1525"/>
    <x v="1"/>
    <x v="28"/>
    <x v="0"/>
    <x v="21"/>
    <x v="3"/>
    <x v="282"/>
    <x v="24"/>
    <x v="6"/>
    <x v="6"/>
  </r>
  <r>
    <x v="1525"/>
    <x v="2"/>
    <x v="207"/>
    <x v="0"/>
    <x v="5"/>
    <x v="3"/>
    <x v="92"/>
    <x v="168"/>
    <x v="0"/>
    <x v="0"/>
  </r>
  <r>
    <x v="1525"/>
    <x v="3"/>
    <x v="127"/>
    <x v="0"/>
    <x v="72"/>
    <x v="2"/>
    <x v="570"/>
    <x v="118"/>
    <x v="0"/>
    <x v="0"/>
  </r>
  <r>
    <x v="1526"/>
    <x v="0"/>
    <x v="57"/>
    <x v="0"/>
    <x v="14"/>
    <x v="3"/>
    <x v="107"/>
    <x v="50"/>
    <x v="1"/>
    <x v="1"/>
  </r>
  <r>
    <x v="1526"/>
    <x v="1"/>
    <x v="27"/>
    <x v="0"/>
    <x v="20"/>
    <x v="2"/>
    <x v="146"/>
    <x v="23"/>
    <x v="5"/>
    <x v="5"/>
  </r>
  <r>
    <x v="1526"/>
    <x v="2"/>
    <x v="94"/>
    <x v="1"/>
    <x v="59"/>
    <x v="2"/>
    <x v="485"/>
    <x v="86"/>
    <x v="6"/>
    <x v="6"/>
  </r>
  <r>
    <x v="1527"/>
    <x v="0"/>
    <x v="202"/>
    <x v="1"/>
    <x v="73"/>
    <x v="0"/>
    <x v="504"/>
    <x v="192"/>
    <x v="0"/>
    <x v="0"/>
  </r>
  <r>
    <x v="1528"/>
    <x v="0"/>
    <x v="19"/>
    <x v="0"/>
    <x v="15"/>
    <x v="2"/>
    <x v="115"/>
    <x v="17"/>
    <x v="4"/>
    <x v="4"/>
  </r>
  <r>
    <x v="1528"/>
    <x v="1"/>
    <x v="69"/>
    <x v="1"/>
    <x v="47"/>
    <x v="3"/>
    <x v="628"/>
    <x v="62"/>
    <x v="6"/>
    <x v="6"/>
  </r>
  <r>
    <x v="1529"/>
    <x v="0"/>
    <x v="193"/>
    <x v="1"/>
    <x v="11"/>
    <x v="3"/>
    <x v="23"/>
    <x v="183"/>
    <x v="0"/>
    <x v="0"/>
  </r>
  <r>
    <x v="1529"/>
    <x v="1"/>
    <x v="259"/>
    <x v="0"/>
    <x v="5"/>
    <x v="3"/>
    <x v="92"/>
    <x v="240"/>
    <x v="1"/>
    <x v="1"/>
  </r>
  <r>
    <x v="1530"/>
    <x v="0"/>
    <x v="186"/>
    <x v="0"/>
    <x v="87"/>
    <x v="3"/>
    <x v="569"/>
    <x v="176"/>
    <x v="1"/>
    <x v="1"/>
  </r>
  <r>
    <x v="1531"/>
    <x v="0"/>
    <x v="114"/>
    <x v="1"/>
    <x v="9"/>
    <x v="1"/>
    <x v="14"/>
    <x v="106"/>
    <x v="2"/>
    <x v="2"/>
  </r>
  <r>
    <x v="1532"/>
    <x v="0"/>
    <x v="203"/>
    <x v="1"/>
    <x v="91"/>
    <x v="3"/>
    <x v="629"/>
    <x v="193"/>
    <x v="4"/>
    <x v="4"/>
  </r>
  <r>
    <x v="1532"/>
    <x v="1"/>
    <x v="46"/>
    <x v="0"/>
    <x v="31"/>
    <x v="3"/>
    <x v="295"/>
    <x v="40"/>
    <x v="0"/>
    <x v="0"/>
  </r>
  <r>
    <x v="1532"/>
    <x v="2"/>
    <x v="81"/>
    <x v="0"/>
    <x v="29"/>
    <x v="3"/>
    <x v="283"/>
    <x v="74"/>
    <x v="4"/>
    <x v="4"/>
  </r>
  <r>
    <x v="1532"/>
    <x v="3"/>
    <x v="111"/>
    <x v="1"/>
    <x v="65"/>
    <x v="3"/>
    <x v="497"/>
    <x v="103"/>
    <x v="0"/>
    <x v="0"/>
  </r>
  <r>
    <x v="1532"/>
    <x v="4"/>
    <x v="80"/>
    <x v="0"/>
    <x v="53"/>
    <x v="3"/>
    <x v="422"/>
    <x v="73"/>
    <x v="6"/>
    <x v="6"/>
  </r>
  <r>
    <x v="1533"/>
    <x v="0"/>
    <x v="242"/>
    <x v="0"/>
    <x v="25"/>
    <x v="3"/>
    <x v="315"/>
    <x v="227"/>
    <x v="3"/>
    <x v="3"/>
  </r>
  <r>
    <x v="1533"/>
    <x v="1"/>
    <x v="266"/>
    <x v="0"/>
    <x v="46"/>
    <x v="2"/>
    <x v="423"/>
    <x v="246"/>
    <x v="1"/>
    <x v="1"/>
  </r>
  <r>
    <x v="1533"/>
    <x v="2"/>
    <x v="116"/>
    <x v="1"/>
    <x v="67"/>
    <x v="0"/>
    <x v="630"/>
    <x v="108"/>
    <x v="4"/>
    <x v="4"/>
  </r>
  <r>
    <x v="1533"/>
    <x v="3"/>
    <x v="155"/>
    <x v="1"/>
    <x v="41"/>
    <x v="0"/>
    <x v="468"/>
    <x v="146"/>
    <x v="6"/>
    <x v="6"/>
  </r>
  <r>
    <x v="1534"/>
    <x v="0"/>
    <x v="102"/>
    <x v="0"/>
    <x v="30"/>
    <x v="2"/>
    <x v="338"/>
    <x v="94"/>
    <x v="4"/>
    <x v="4"/>
  </r>
  <r>
    <x v="1534"/>
    <x v="1"/>
    <x v="85"/>
    <x v="1"/>
    <x v="0"/>
    <x v="2"/>
    <x v="3"/>
    <x v="78"/>
    <x v="0"/>
    <x v="0"/>
  </r>
  <r>
    <x v="1535"/>
    <x v="0"/>
    <x v="293"/>
    <x v="0"/>
    <x v="90"/>
    <x v="0"/>
    <x v="550"/>
    <x v="269"/>
    <x v="6"/>
    <x v="6"/>
  </r>
  <r>
    <x v="1535"/>
    <x v="1"/>
    <x v="144"/>
    <x v="1"/>
    <x v="66"/>
    <x v="1"/>
    <x v="494"/>
    <x v="135"/>
    <x v="3"/>
    <x v="3"/>
  </r>
  <r>
    <x v="1535"/>
    <x v="2"/>
    <x v="282"/>
    <x v="1"/>
    <x v="27"/>
    <x v="0"/>
    <x v="194"/>
    <x v="260"/>
    <x v="3"/>
    <x v="3"/>
  </r>
  <r>
    <x v="1536"/>
    <x v="0"/>
    <x v="148"/>
    <x v="1"/>
    <x v="78"/>
    <x v="2"/>
    <x v="514"/>
    <x v="139"/>
    <x v="0"/>
    <x v="0"/>
  </r>
  <r>
    <x v="1537"/>
    <x v="0"/>
    <x v="154"/>
    <x v="0"/>
    <x v="80"/>
    <x v="1"/>
    <x v="631"/>
    <x v="145"/>
    <x v="2"/>
    <x v="2"/>
  </r>
  <r>
    <x v="1537"/>
    <x v="1"/>
    <x v="109"/>
    <x v="1"/>
    <x v="64"/>
    <x v="1"/>
    <x v="376"/>
    <x v="101"/>
    <x v="1"/>
    <x v="1"/>
  </r>
  <r>
    <x v="1537"/>
    <x v="2"/>
    <x v="266"/>
    <x v="0"/>
    <x v="46"/>
    <x v="1"/>
    <x v="298"/>
    <x v="246"/>
    <x v="1"/>
    <x v="1"/>
  </r>
  <r>
    <x v="1537"/>
    <x v="3"/>
    <x v="245"/>
    <x v="0"/>
    <x v="27"/>
    <x v="0"/>
    <x v="319"/>
    <x v="230"/>
    <x v="3"/>
    <x v="3"/>
  </r>
  <r>
    <x v="1537"/>
    <x v="4"/>
    <x v="210"/>
    <x v="1"/>
    <x v="65"/>
    <x v="2"/>
    <x v="515"/>
    <x v="191"/>
    <x v="0"/>
    <x v="0"/>
  </r>
  <r>
    <x v="1538"/>
    <x v="0"/>
    <x v="18"/>
    <x v="1"/>
    <x v="14"/>
    <x v="2"/>
    <x v="124"/>
    <x v="16"/>
    <x v="1"/>
    <x v="1"/>
  </r>
  <r>
    <x v="1538"/>
    <x v="1"/>
    <x v="10"/>
    <x v="1"/>
    <x v="8"/>
    <x v="2"/>
    <x v="11"/>
    <x v="9"/>
    <x v="0"/>
    <x v="0"/>
  </r>
  <r>
    <x v="1539"/>
    <x v="0"/>
    <x v="68"/>
    <x v="1"/>
    <x v="24"/>
    <x v="2"/>
    <x v="293"/>
    <x v="61"/>
    <x v="0"/>
    <x v="0"/>
  </r>
  <r>
    <x v="1539"/>
    <x v="1"/>
    <x v="184"/>
    <x v="0"/>
    <x v="5"/>
    <x v="1"/>
    <x v="116"/>
    <x v="174"/>
    <x v="0"/>
    <x v="0"/>
  </r>
  <r>
    <x v="1539"/>
    <x v="2"/>
    <x v="222"/>
    <x v="0"/>
    <x v="71"/>
    <x v="2"/>
    <x v="551"/>
    <x v="208"/>
    <x v="0"/>
    <x v="0"/>
  </r>
  <r>
    <x v="1539"/>
    <x v="3"/>
    <x v="294"/>
    <x v="1"/>
    <x v="21"/>
    <x v="2"/>
    <x v="228"/>
    <x v="270"/>
    <x v="6"/>
    <x v="6"/>
  </r>
  <r>
    <x v="1539"/>
    <x v="4"/>
    <x v="46"/>
    <x v="0"/>
    <x v="31"/>
    <x v="0"/>
    <x v="363"/>
    <x v="40"/>
    <x v="0"/>
    <x v="0"/>
  </r>
  <r>
    <x v="1540"/>
    <x v="0"/>
    <x v="181"/>
    <x v="1"/>
    <x v="86"/>
    <x v="3"/>
    <x v="531"/>
    <x v="171"/>
    <x v="6"/>
    <x v="6"/>
  </r>
  <r>
    <x v="1540"/>
    <x v="1"/>
    <x v="277"/>
    <x v="1"/>
    <x v="0"/>
    <x v="1"/>
    <x v="19"/>
    <x v="255"/>
    <x v="0"/>
    <x v="0"/>
  </r>
  <r>
    <x v="1540"/>
    <x v="2"/>
    <x v="199"/>
    <x v="1"/>
    <x v="41"/>
    <x v="3"/>
    <x v="216"/>
    <x v="189"/>
    <x v="1"/>
    <x v="1"/>
  </r>
  <r>
    <x v="1540"/>
    <x v="3"/>
    <x v="7"/>
    <x v="0"/>
    <x v="6"/>
    <x v="3"/>
    <x v="47"/>
    <x v="7"/>
    <x v="0"/>
    <x v="0"/>
  </r>
  <r>
    <x v="1540"/>
    <x v="4"/>
    <x v="106"/>
    <x v="1"/>
    <x v="39"/>
    <x v="2"/>
    <x v="219"/>
    <x v="98"/>
    <x v="4"/>
    <x v="4"/>
  </r>
  <r>
    <x v="1541"/>
    <x v="0"/>
    <x v="47"/>
    <x v="0"/>
    <x v="32"/>
    <x v="0"/>
    <x v="197"/>
    <x v="41"/>
    <x v="0"/>
    <x v="0"/>
  </r>
  <r>
    <x v="1541"/>
    <x v="1"/>
    <x v="281"/>
    <x v="1"/>
    <x v="50"/>
    <x v="2"/>
    <x v="449"/>
    <x v="259"/>
    <x v="1"/>
    <x v="1"/>
  </r>
  <r>
    <x v="1541"/>
    <x v="2"/>
    <x v="153"/>
    <x v="1"/>
    <x v="25"/>
    <x v="0"/>
    <x v="165"/>
    <x v="144"/>
    <x v="6"/>
    <x v="6"/>
  </r>
  <r>
    <x v="1541"/>
    <x v="3"/>
    <x v="88"/>
    <x v="1"/>
    <x v="55"/>
    <x v="3"/>
    <x v="438"/>
    <x v="81"/>
    <x v="1"/>
    <x v="1"/>
  </r>
  <r>
    <x v="1541"/>
    <x v="4"/>
    <x v="167"/>
    <x v="0"/>
    <x v="74"/>
    <x v="0"/>
    <x v="632"/>
    <x v="158"/>
    <x v="4"/>
    <x v="4"/>
  </r>
  <r>
    <x v="1542"/>
    <x v="0"/>
    <x v="75"/>
    <x v="1"/>
    <x v="19"/>
    <x v="3"/>
    <x v="145"/>
    <x v="68"/>
    <x v="5"/>
    <x v="5"/>
  </r>
  <r>
    <x v="1542"/>
    <x v="1"/>
    <x v="101"/>
    <x v="0"/>
    <x v="30"/>
    <x v="0"/>
    <x v="269"/>
    <x v="93"/>
    <x v="4"/>
    <x v="4"/>
  </r>
  <r>
    <x v="1542"/>
    <x v="2"/>
    <x v="289"/>
    <x v="1"/>
    <x v="92"/>
    <x v="1"/>
    <x v="601"/>
    <x v="267"/>
    <x v="6"/>
    <x v="6"/>
  </r>
  <r>
    <x v="1542"/>
    <x v="3"/>
    <x v="44"/>
    <x v="1"/>
    <x v="29"/>
    <x v="2"/>
    <x v="215"/>
    <x v="38"/>
    <x v="4"/>
    <x v="4"/>
  </r>
  <r>
    <x v="1542"/>
    <x v="4"/>
    <x v="169"/>
    <x v="0"/>
    <x v="1"/>
    <x v="0"/>
    <x v="34"/>
    <x v="160"/>
    <x v="1"/>
    <x v="1"/>
  </r>
  <r>
    <x v="1543"/>
    <x v="0"/>
    <x v="242"/>
    <x v="1"/>
    <x v="25"/>
    <x v="3"/>
    <x v="279"/>
    <x v="227"/>
    <x v="3"/>
    <x v="3"/>
  </r>
  <r>
    <x v="1543"/>
    <x v="1"/>
    <x v="92"/>
    <x v="1"/>
    <x v="24"/>
    <x v="0"/>
    <x v="151"/>
    <x v="72"/>
    <x v="0"/>
    <x v="0"/>
  </r>
  <r>
    <x v="1544"/>
    <x v="0"/>
    <x v="78"/>
    <x v="0"/>
    <x v="52"/>
    <x v="3"/>
    <x v="487"/>
    <x v="71"/>
    <x v="1"/>
    <x v="1"/>
  </r>
  <r>
    <x v="1545"/>
    <x v="0"/>
    <x v="292"/>
    <x v="0"/>
    <x v="53"/>
    <x v="3"/>
    <x v="422"/>
    <x v="268"/>
    <x v="6"/>
    <x v="6"/>
  </r>
  <r>
    <x v="1545"/>
    <x v="1"/>
    <x v="144"/>
    <x v="1"/>
    <x v="66"/>
    <x v="3"/>
    <x v="633"/>
    <x v="135"/>
    <x v="3"/>
    <x v="3"/>
  </r>
  <r>
    <x v="1545"/>
    <x v="2"/>
    <x v="149"/>
    <x v="0"/>
    <x v="5"/>
    <x v="3"/>
    <x v="92"/>
    <x v="140"/>
    <x v="0"/>
    <x v="0"/>
  </r>
  <r>
    <x v="1545"/>
    <x v="3"/>
    <x v="22"/>
    <x v="0"/>
    <x v="17"/>
    <x v="2"/>
    <x v="111"/>
    <x v="19"/>
    <x v="5"/>
    <x v="5"/>
  </r>
  <r>
    <x v="1546"/>
    <x v="0"/>
    <x v="26"/>
    <x v="1"/>
    <x v="19"/>
    <x v="0"/>
    <x v="364"/>
    <x v="22"/>
    <x v="0"/>
    <x v="0"/>
  </r>
  <r>
    <x v="1546"/>
    <x v="1"/>
    <x v="180"/>
    <x v="0"/>
    <x v="85"/>
    <x v="0"/>
    <x v="548"/>
    <x v="170"/>
    <x v="3"/>
    <x v="3"/>
  </r>
  <r>
    <x v="1547"/>
    <x v="0"/>
    <x v="33"/>
    <x v="0"/>
    <x v="14"/>
    <x v="3"/>
    <x v="107"/>
    <x v="29"/>
    <x v="1"/>
    <x v="1"/>
  </r>
  <r>
    <x v="1547"/>
    <x v="1"/>
    <x v="288"/>
    <x v="0"/>
    <x v="25"/>
    <x v="1"/>
    <x v="222"/>
    <x v="266"/>
    <x v="3"/>
    <x v="3"/>
  </r>
  <r>
    <x v="1547"/>
    <x v="2"/>
    <x v="37"/>
    <x v="1"/>
    <x v="25"/>
    <x v="0"/>
    <x v="165"/>
    <x v="33"/>
    <x v="2"/>
    <x v="2"/>
  </r>
  <r>
    <x v="1548"/>
    <x v="0"/>
    <x v="289"/>
    <x v="0"/>
    <x v="92"/>
    <x v="0"/>
    <x v="579"/>
    <x v="267"/>
    <x v="6"/>
    <x v="6"/>
  </r>
  <r>
    <x v="1548"/>
    <x v="1"/>
    <x v="295"/>
    <x v="0"/>
    <x v="14"/>
    <x v="2"/>
    <x v="62"/>
    <x v="271"/>
    <x v="1"/>
    <x v="1"/>
  </r>
  <r>
    <x v="1548"/>
    <x v="2"/>
    <x v="159"/>
    <x v="1"/>
    <x v="5"/>
    <x v="2"/>
    <x v="125"/>
    <x v="150"/>
    <x v="0"/>
    <x v="0"/>
  </r>
  <r>
    <x v="1548"/>
    <x v="3"/>
    <x v="243"/>
    <x v="1"/>
    <x v="99"/>
    <x v="3"/>
    <x v="567"/>
    <x v="228"/>
    <x v="0"/>
    <x v="0"/>
  </r>
  <r>
    <x v="1549"/>
    <x v="0"/>
    <x v="296"/>
    <x v="1"/>
    <x v="79"/>
    <x v="2"/>
    <x v="634"/>
    <x v="143"/>
    <x v="0"/>
    <x v="0"/>
  </r>
  <r>
    <x v="1549"/>
    <x v="1"/>
    <x v="241"/>
    <x v="0"/>
    <x v="43"/>
    <x v="1"/>
    <x v="348"/>
    <x v="226"/>
    <x v="0"/>
    <x v="0"/>
  </r>
  <r>
    <x v="1549"/>
    <x v="2"/>
    <x v="144"/>
    <x v="1"/>
    <x v="66"/>
    <x v="3"/>
    <x v="633"/>
    <x v="135"/>
    <x v="3"/>
    <x v="3"/>
  </r>
  <r>
    <x v="1549"/>
    <x v="3"/>
    <x v="161"/>
    <x v="0"/>
    <x v="21"/>
    <x v="1"/>
    <x v="226"/>
    <x v="152"/>
    <x v="6"/>
    <x v="6"/>
  </r>
  <r>
    <x v="1549"/>
    <x v="4"/>
    <x v="106"/>
    <x v="1"/>
    <x v="39"/>
    <x v="2"/>
    <x v="219"/>
    <x v="98"/>
    <x v="4"/>
    <x v="4"/>
  </r>
  <r>
    <x v="1550"/>
    <x v="0"/>
    <x v="143"/>
    <x v="1"/>
    <x v="12"/>
    <x v="0"/>
    <x v="61"/>
    <x v="134"/>
    <x v="2"/>
    <x v="2"/>
  </r>
  <r>
    <x v="1551"/>
    <x v="0"/>
    <x v="245"/>
    <x v="0"/>
    <x v="27"/>
    <x v="3"/>
    <x v="367"/>
    <x v="230"/>
    <x v="3"/>
    <x v="3"/>
  </r>
  <r>
    <x v="1551"/>
    <x v="1"/>
    <x v="67"/>
    <x v="1"/>
    <x v="46"/>
    <x v="2"/>
    <x v="185"/>
    <x v="60"/>
    <x v="1"/>
    <x v="1"/>
  </r>
  <r>
    <x v="1552"/>
    <x v="0"/>
    <x v="48"/>
    <x v="0"/>
    <x v="26"/>
    <x v="1"/>
    <x v="255"/>
    <x v="34"/>
    <x v="0"/>
    <x v="0"/>
  </r>
  <r>
    <x v="1552"/>
    <x v="1"/>
    <x v="10"/>
    <x v="0"/>
    <x v="8"/>
    <x v="3"/>
    <x v="98"/>
    <x v="9"/>
    <x v="0"/>
    <x v="0"/>
  </r>
  <r>
    <x v="1552"/>
    <x v="2"/>
    <x v="211"/>
    <x v="0"/>
    <x v="9"/>
    <x v="2"/>
    <x v="121"/>
    <x v="199"/>
    <x v="3"/>
    <x v="3"/>
  </r>
  <r>
    <x v="1552"/>
    <x v="3"/>
    <x v="84"/>
    <x v="0"/>
    <x v="30"/>
    <x v="2"/>
    <x v="338"/>
    <x v="77"/>
    <x v="4"/>
    <x v="4"/>
  </r>
  <r>
    <x v="1553"/>
    <x v="0"/>
    <x v="171"/>
    <x v="0"/>
    <x v="5"/>
    <x v="2"/>
    <x v="132"/>
    <x v="162"/>
    <x v="6"/>
    <x v="6"/>
  </r>
  <r>
    <x v="1553"/>
    <x v="1"/>
    <x v="297"/>
    <x v="0"/>
    <x v="74"/>
    <x v="0"/>
    <x v="632"/>
    <x v="272"/>
    <x v="4"/>
    <x v="4"/>
  </r>
  <r>
    <x v="1554"/>
    <x v="0"/>
    <x v="24"/>
    <x v="1"/>
    <x v="8"/>
    <x v="3"/>
    <x v="97"/>
    <x v="9"/>
    <x v="0"/>
    <x v="0"/>
  </r>
  <r>
    <x v="1554"/>
    <x v="1"/>
    <x v="292"/>
    <x v="0"/>
    <x v="53"/>
    <x v="3"/>
    <x v="422"/>
    <x v="268"/>
    <x v="6"/>
    <x v="6"/>
  </r>
  <r>
    <x v="1554"/>
    <x v="2"/>
    <x v="250"/>
    <x v="0"/>
    <x v="14"/>
    <x v="3"/>
    <x v="107"/>
    <x v="234"/>
    <x v="1"/>
    <x v="1"/>
  </r>
  <r>
    <x v="1554"/>
    <x v="3"/>
    <x v="186"/>
    <x v="1"/>
    <x v="87"/>
    <x v="2"/>
    <x v="599"/>
    <x v="176"/>
    <x v="1"/>
    <x v="1"/>
  </r>
  <r>
    <x v="1554"/>
    <x v="4"/>
    <x v="298"/>
    <x v="0"/>
    <x v="41"/>
    <x v="0"/>
    <x v="334"/>
    <x v="273"/>
    <x v="6"/>
    <x v="6"/>
  </r>
  <r>
    <x v="1555"/>
    <x v="0"/>
    <x v="60"/>
    <x v="1"/>
    <x v="25"/>
    <x v="0"/>
    <x v="165"/>
    <x v="53"/>
    <x v="6"/>
    <x v="6"/>
  </r>
  <r>
    <x v="1555"/>
    <x v="1"/>
    <x v="90"/>
    <x v="0"/>
    <x v="43"/>
    <x v="1"/>
    <x v="348"/>
    <x v="83"/>
    <x v="0"/>
    <x v="0"/>
  </r>
  <r>
    <x v="1555"/>
    <x v="2"/>
    <x v="237"/>
    <x v="0"/>
    <x v="95"/>
    <x v="3"/>
    <x v="592"/>
    <x v="222"/>
    <x v="4"/>
    <x v="4"/>
  </r>
  <r>
    <x v="1555"/>
    <x v="3"/>
    <x v="295"/>
    <x v="1"/>
    <x v="14"/>
    <x v="2"/>
    <x v="124"/>
    <x v="271"/>
    <x v="1"/>
    <x v="1"/>
  </r>
  <r>
    <x v="1555"/>
    <x v="4"/>
    <x v="111"/>
    <x v="1"/>
    <x v="65"/>
    <x v="3"/>
    <x v="497"/>
    <x v="103"/>
    <x v="0"/>
    <x v="0"/>
  </r>
  <r>
    <x v="1556"/>
    <x v="0"/>
    <x v="179"/>
    <x v="1"/>
    <x v="84"/>
    <x v="1"/>
    <x v="626"/>
    <x v="169"/>
    <x v="6"/>
    <x v="6"/>
  </r>
  <r>
    <x v="1557"/>
    <x v="0"/>
    <x v="109"/>
    <x v="1"/>
    <x v="64"/>
    <x v="1"/>
    <x v="376"/>
    <x v="101"/>
    <x v="1"/>
    <x v="1"/>
  </r>
  <r>
    <x v="1557"/>
    <x v="1"/>
    <x v="262"/>
    <x v="0"/>
    <x v="4"/>
    <x v="1"/>
    <x v="133"/>
    <x v="243"/>
    <x v="1"/>
    <x v="1"/>
  </r>
  <r>
    <x v="1557"/>
    <x v="2"/>
    <x v="4"/>
    <x v="0"/>
    <x v="3"/>
    <x v="2"/>
    <x v="143"/>
    <x v="4"/>
    <x v="1"/>
    <x v="1"/>
  </r>
  <r>
    <x v="1557"/>
    <x v="3"/>
    <x v="66"/>
    <x v="0"/>
    <x v="45"/>
    <x v="0"/>
    <x v="206"/>
    <x v="59"/>
    <x v="6"/>
    <x v="6"/>
  </r>
  <r>
    <x v="1557"/>
    <x v="4"/>
    <x v="130"/>
    <x v="0"/>
    <x v="44"/>
    <x v="1"/>
    <x v="520"/>
    <x v="121"/>
    <x v="3"/>
    <x v="3"/>
  </r>
  <r>
    <x v="1558"/>
    <x v="0"/>
    <x v="70"/>
    <x v="1"/>
    <x v="48"/>
    <x v="1"/>
    <x v="257"/>
    <x v="63"/>
    <x v="4"/>
    <x v="4"/>
  </r>
  <r>
    <x v="1558"/>
    <x v="1"/>
    <x v="9"/>
    <x v="0"/>
    <x v="7"/>
    <x v="3"/>
    <x v="65"/>
    <x v="8"/>
    <x v="0"/>
    <x v="0"/>
  </r>
  <r>
    <x v="1558"/>
    <x v="2"/>
    <x v="59"/>
    <x v="1"/>
    <x v="41"/>
    <x v="3"/>
    <x v="216"/>
    <x v="52"/>
    <x v="6"/>
    <x v="6"/>
  </r>
  <r>
    <x v="1558"/>
    <x v="3"/>
    <x v="252"/>
    <x v="0"/>
    <x v="70"/>
    <x v="3"/>
    <x v="635"/>
    <x v="236"/>
    <x v="0"/>
    <x v="0"/>
  </r>
  <r>
    <x v="1559"/>
    <x v="0"/>
    <x v="200"/>
    <x v="1"/>
    <x v="4"/>
    <x v="0"/>
    <x v="73"/>
    <x v="190"/>
    <x v="1"/>
    <x v="1"/>
  </r>
  <r>
    <x v="1559"/>
    <x v="1"/>
    <x v="67"/>
    <x v="0"/>
    <x v="46"/>
    <x v="0"/>
    <x v="358"/>
    <x v="60"/>
    <x v="1"/>
    <x v="1"/>
  </r>
  <r>
    <x v="1560"/>
    <x v="0"/>
    <x v="196"/>
    <x v="1"/>
    <x v="90"/>
    <x v="1"/>
    <x v="636"/>
    <x v="186"/>
    <x v="6"/>
    <x v="6"/>
  </r>
  <r>
    <x v="1560"/>
    <x v="1"/>
    <x v="167"/>
    <x v="1"/>
    <x v="74"/>
    <x v="2"/>
    <x v="565"/>
    <x v="158"/>
    <x v="4"/>
    <x v="4"/>
  </r>
  <r>
    <x v="1561"/>
    <x v="0"/>
    <x v="59"/>
    <x v="0"/>
    <x v="41"/>
    <x v="0"/>
    <x v="334"/>
    <x v="52"/>
    <x v="6"/>
    <x v="6"/>
  </r>
  <r>
    <x v="1561"/>
    <x v="1"/>
    <x v="82"/>
    <x v="0"/>
    <x v="34"/>
    <x v="0"/>
    <x v="210"/>
    <x v="75"/>
    <x v="0"/>
    <x v="0"/>
  </r>
  <r>
    <x v="1561"/>
    <x v="2"/>
    <x v="185"/>
    <x v="1"/>
    <x v="41"/>
    <x v="1"/>
    <x v="540"/>
    <x v="175"/>
    <x v="1"/>
    <x v="1"/>
  </r>
  <r>
    <x v="1562"/>
    <x v="0"/>
    <x v="198"/>
    <x v="0"/>
    <x v="25"/>
    <x v="1"/>
    <x v="222"/>
    <x v="188"/>
    <x v="3"/>
    <x v="3"/>
  </r>
  <r>
    <x v="1563"/>
    <x v="0"/>
    <x v="299"/>
    <x v="0"/>
    <x v="65"/>
    <x v="1"/>
    <x v="610"/>
    <x v="257"/>
    <x v="0"/>
    <x v="0"/>
  </r>
  <r>
    <x v="1563"/>
    <x v="1"/>
    <x v="15"/>
    <x v="0"/>
    <x v="11"/>
    <x v="3"/>
    <x v="21"/>
    <x v="12"/>
    <x v="0"/>
    <x v="0"/>
  </r>
  <r>
    <x v="1564"/>
    <x v="0"/>
    <x v="88"/>
    <x v="0"/>
    <x v="55"/>
    <x v="1"/>
    <x v="375"/>
    <x v="81"/>
    <x v="1"/>
    <x v="1"/>
  </r>
  <r>
    <x v="1564"/>
    <x v="1"/>
    <x v="102"/>
    <x v="0"/>
    <x v="30"/>
    <x v="3"/>
    <x v="276"/>
    <x v="94"/>
    <x v="4"/>
    <x v="4"/>
  </r>
  <r>
    <x v="1564"/>
    <x v="2"/>
    <x v="276"/>
    <x v="0"/>
    <x v="65"/>
    <x v="3"/>
    <x v="492"/>
    <x v="220"/>
    <x v="0"/>
    <x v="0"/>
  </r>
  <r>
    <x v="1564"/>
    <x v="3"/>
    <x v="43"/>
    <x v="0"/>
    <x v="15"/>
    <x v="1"/>
    <x v="75"/>
    <x v="31"/>
    <x v="0"/>
    <x v="0"/>
  </r>
  <r>
    <x v="1564"/>
    <x v="4"/>
    <x v="219"/>
    <x v="1"/>
    <x v="72"/>
    <x v="0"/>
    <x v="624"/>
    <x v="129"/>
    <x v="0"/>
    <x v="0"/>
  </r>
  <r>
    <x v="1565"/>
    <x v="0"/>
    <x v="135"/>
    <x v="0"/>
    <x v="69"/>
    <x v="2"/>
    <x v="539"/>
    <x v="126"/>
    <x v="6"/>
    <x v="6"/>
  </r>
  <r>
    <x v="1565"/>
    <x v="1"/>
    <x v="32"/>
    <x v="1"/>
    <x v="23"/>
    <x v="2"/>
    <x v="244"/>
    <x v="28"/>
    <x v="3"/>
    <x v="3"/>
  </r>
  <r>
    <x v="1566"/>
    <x v="0"/>
    <x v="300"/>
    <x v="0"/>
    <x v="70"/>
    <x v="0"/>
    <x v="605"/>
    <x v="274"/>
    <x v="4"/>
    <x v="4"/>
  </r>
  <r>
    <x v="1567"/>
    <x v="0"/>
    <x v="301"/>
    <x v="0"/>
    <x v="23"/>
    <x v="0"/>
    <x v="223"/>
    <x v="275"/>
    <x v="6"/>
    <x v="6"/>
  </r>
  <r>
    <x v="1567"/>
    <x v="1"/>
    <x v="86"/>
    <x v="0"/>
    <x v="54"/>
    <x v="1"/>
    <x v="464"/>
    <x v="79"/>
    <x v="5"/>
    <x v="5"/>
  </r>
  <r>
    <x v="1567"/>
    <x v="2"/>
    <x v="235"/>
    <x v="0"/>
    <x v="65"/>
    <x v="3"/>
    <x v="492"/>
    <x v="220"/>
    <x v="0"/>
    <x v="0"/>
  </r>
  <r>
    <x v="1568"/>
    <x v="0"/>
    <x v="253"/>
    <x v="0"/>
    <x v="9"/>
    <x v="3"/>
    <x v="128"/>
    <x v="165"/>
    <x v="3"/>
    <x v="3"/>
  </r>
  <r>
    <x v="1569"/>
    <x v="0"/>
    <x v="181"/>
    <x v="0"/>
    <x v="86"/>
    <x v="1"/>
    <x v="637"/>
    <x v="171"/>
    <x v="6"/>
    <x v="6"/>
  </r>
  <r>
    <x v="1570"/>
    <x v="0"/>
    <x v="302"/>
    <x v="1"/>
    <x v="99"/>
    <x v="3"/>
    <x v="567"/>
    <x v="228"/>
    <x v="0"/>
    <x v="0"/>
  </r>
  <r>
    <x v="1570"/>
    <x v="1"/>
    <x v="303"/>
    <x v="0"/>
    <x v="79"/>
    <x v="1"/>
    <x v="638"/>
    <x v="245"/>
    <x v="0"/>
    <x v="0"/>
  </r>
  <r>
    <x v="1570"/>
    <x v="2"/>
    <x v="0"/>
    <x v="1"/>
    <x v="0"/>
    <x v="0"/>
    <x v="24"/>
    <x v="0"/>
    <x v="0"/>
    <x v="0"/>
  </r>
  <r>
    <x v="1571"/>
    <x v="0"/>
    <x v="249"/>
    <x v="1"/>
    <x v="65"/>
    <x v="2"/>
    <x v="515"/>
    <x v="233"/>
    <x v="0"/>
    <x v="0"/>
  </r>
  <r>
    <x v="1571"/>
    <x v="1"/>
    <x v="255"/>
    <x v="0"/>
    <x v="9"/>
    <x v="0"/>
    <x v="141"/>
    <x v="199"/>
    <x v="3"/>
    <x v="3"/>
  </r>
  <r>
    <x v="1571"/>
    <x v="2"/>
    <x v="185"/>
    <x v="0"/>
    <x v="41"/>
    <x v="2"/>
    <x v="361"/>
    <x v="175"/>
    <x v="1"/>
    <x v="1"/>
  </r>
  <r>
    <x v="1571"/>
    <x v="3"/>
    <x v="138"/>
    <x v="1"/>
    <x v="72"/>
    <x v="0"/>
    <x v="624"/>
    <x v="129"/>
    <x v="0"/>
    <x v="0"/>
  </r>
  <r>
    <x v="1572"/>
    <x v="0"/>
    <x v="11"/>
    <x v="0"/>
    <x v="9"/>
    <x v="2"/>
    <x v="121"/>
    <x v="10"/>
    <x v="3"/>
    <x v="3"/>
  </r>
  <r>
    <x v="1572"/>
    <x v="1"/>
    <x v="120"/>
    <x v="0"/>
    <x v="69"/>
    <x v="1"/>
    <x v="639"/>
    <x v="112"/>
    <x v="1"/>
    <x v="1"/>
  </r>
  <r>
    <x v="1572"/>
    <x v="2"/>
    <x v="12"/>
    <x v="1"/>
    <x v="10"/>
    <x v="3"/>
    <x v="120"/>
    <x v="11"/>
    <x v="0"/>
    <x v="0"/>
  </r>
  <r>
    <x v="1572"/>
    <x v="3"/>
    <x v="249"/>
    <x v="1"/>
    <x v="65"/>
    <x v="1"/>
    <x v="562"/>
    <x v="233"/>
    <x v="0"/>
    <x v="0"/>
  </r>
  <r>
    <x v="1572"/>
    <x v="4"/>
    <x v="160"/>
    <x v="1"/>
    <x v="81"/>
    <x v="3"/>
    <x v="542"/>
    <x v="151"/>
    <x v="4"/>
    <x v="4"/>
  </r>
  <r>
    <x v="1573"/>
    <x v="0"/>
    <x v="220"/>
    <x v="0"/>
    <x v="14"/>
    <x v="3"/>
    <x v="107"/>
    <x v="207"/>
    <x v="1"/>
    <x v="1"/>
  </r>
  <r>
    <x v="1574"/>
    <x v="0"/>
    <x v="99"/>
    <x v="0"/>
    <x v="60"/>
    <x v="1"/>
    <x v="411"/>
    <x v="91"/>
    <x v="1"/>
    <x v="1"/>
  </r>
  <r>
    <x v="1574"/>
    <x v="1"/>
    <x v="143"/>
    <x v="1"/>
    <x v="12"/>
    <x v="3"/>
    <x v="20"/>
    <x v="134"/>
    <x v="2"/>
    <x v="2"/>
  </r>
  <r>
    <x v="1574"/>
    <x v="2"/>
    <x v="193"/>
    <x v="0"/>
    <x v="11"/>
    <x v="1"/>
    <x v="36"/>
    <x v="183"/>
    <x v="0"/>
    <x v="0"/>
  </r>
  <r>
    <x v="1574"/>
    <x v="3"/>
    <x v="250"/>
    <x v="1"/>
    <x v="14"/>
    <x v="2"/>
    <x v="124"/>
    <x v="234"/>
    <x v="1"/>
    <x v="1"/>
  </r>
  <r>
    <x v="1574"/>
    <x v="4"/>
    <x v="102"/>
    <x v="1"/>
    <x v="30"/>
    <x v="0"/>
    <x v="266"/>
    <x v="94"/>
    <x v="4"/>
    <x v="4"/>
  </r>
  <r>
    <x v="1575"/>
    <x v="0"/>
    <x v="79"/>
    <x v="0"/>
    <x v="24"/>
    <x v="2"/>
    <x v="205"/>
    <x v="72"/>
    <x v="0"/>
    <x v="0"/>
  </r>
  <r>
    <x v="1575"/>
    <x v="1"/>
    <x v="284"/>
    <x v="0"/>
    <x v="70"/>
    <x v="2"/>
    <x v="573"/>
    <x v="262"/>
    <x v="4"/>
    <x v="4"/>
  </r>
  <r>
    <x v="1575"/>
    <x v="2"/>
    <x v="288"/>
    <x v="1"/>
    <x v="25"/>
    <x v="2"/>
    <x v="371"/>
    <x v="266"/>
    <x v="3"/>
    <x v="3"/>
  </r>
  <r>
    <x v="1576"/>
    <x v="0"/>
    <x v="136"/>
    <x v="1"/>
    <x v="74"/>
    <x v="2"/>
    <x v="565"/>
    <x v="127"/>
    <x v="4"/>
    <x v="4"/>
  </r>
  <r>
    <x v="1576"/>
    <x v="1"/>
    <x v="103"/>
    <x v="1"/>
    <x v="38"/>
    <x v="3"/>
    <x v="267"/>
    <x v="95"/>
    <x v="5"/>
    <x v="5"/>
  </r>
  <r>
    <x v="1576"/>
    <x v="2"/>
    <x v="133"/>
    <x v="1"/>
    <x v="62"/>
    <x v="0"/>
    <x v="491"/>
    <x v="124"/>
    <x v="0"/>
    <x v="0"/>
  </r>
  <r>
    <x v="1576"/>
    <x v="3"/>
    <x v="189"/>
    <x v="1"/>
    <x v="88"/>
    <x v="1"/>
    <x v="640"/>
    <x v="179"/>
    <x v="1"/>
    <x v="1"/>
  </r>
  <r>
    <x v="1576"/>
    <x v="4"/>
    <x v="129"/>
    <x v="1"/>
    <x v="74"/>
    <x v="2"/>
    <x v="565"/>
    <x v="120"/>
    <x v="4"/>
    <x v="4"/>
  </r>
  <r>
    <x v="1577"/>
    <x v="0"/>
    <x v="180"/>
    <x v="1"/>
    <x v="85"/>
    <x v="1"/>
    <x v="530"/>
    <x v="170"/>
    <x v="3"/>
    <x v="3"/>
  </r>
  <r>
    <x v="1577"/>
    <x v="1"/>
    <x v="273"/>
    <x v="0"/>
    <x v="65"/>
    <x v="2"/>
    <x v="493"/>
    <x v="204"/>
    <x v="0"/>
    <x v="0"/>
  </r>
  <r>
    <x v="1577"/>
    <x v="2"/>
    <x v="119"/>
    <x v="1"/>
    <x v="5"/>
    <x v="0"/>
    <x v="39"/>
    <x v="111"/>
    <x v="0"/>
    <x v="0"/>
  </r>
  <r>
    <x v="1578"/>
    <x v="0"/>
    <x v="60"/>
    <x v="0"/>
    <x v="25"/>
    <x v="2"/>
    <x v="413"/>
    <x v="53"/>
    <x v="6"/>
    <x v="6"/>
  </r>
  <r>
    <x v="1578"/>
    <x v="1"/>
    <x v="204"/>
    <x v="0"/>
    <x v="65"/>
    <x v="3"/>
    <x v="492"/>
    <x v="194"/>
    <x v="0"/>
    <x v="0"/>
  </r>
  <r>
    <x v="1578"/>
    <x v="2"/>
    <x v="256"/>
    <x v="0"/>
    <x v="74"/>
    <x v="1"/>
    <x v="641"/>
    <x v="238"/>
    <x v="4"/>
    <x v="4"/>
  </r>
  <r>
    <x v="1578"/>
    <x v="3"/>
    <x v="105"/>
    <x v="1"/>
    <x v="63"/>
    <x v="3"/>
    <x v="287"/>
    <x v="97"/>
    <x v="0"/>
    <x v="0"/>
  </r>
  <r>
    <x v="1579"/>
    <x v="0"/>
    <x v="295"/>
    <x v="1"/>
    <x v="14"/>
    <x v="1"/>
    <x v="138"/>
    <x v="271"/>
    <x v="1"/>
    <x v="1"/>
  </r>
  <r>
    <x v="1579"/>
    <x v="1"/>
    <x v="106"/>
    <x v="1"/>
    <x v="39"/>
    <x v="0"/>
    <x v="355"/>
    <x v="98"/>
    <x v="4"/>
    <x v="4"/>
  </r>
  <r>
    <x v="1580"/>
    <x v="0"/>
    <x v="38"/>
    <x v="0"/>
    <x v="26"/>
    <x v="3"/>
    <x v="164"/>
    <x v="34"/>
    <x v="0"/>
    <x v="0"/>
  </r>
  <r>
    <x v="1580"/>
    <x v="1"/>
    <x v="268"/>
    <x v="0"/>
    <x v="95"/>
    <x v="0"/>
    <x v="642"/>
    <x v="248"/>
    <x v="4"/>
    <x v="4"/>
  </r>
  <r>
    <x v="1581"/>
    <x v="0"/>
    <x v="85"/>
    <x v="0"/>
    <x v="0"/>
    <x v="1"/>
    <x v="5"/>
    <x v="78"/>
    <x v="0"/>
    <x v="0"/>
  </r>
  <r>
    <x v="1581"/>
    <x v="1"/>
    <x v="168"/>
    <x v="1"/>
    <x v="42"/>
    <x v="1"/>
    <x v="177"/>
    <x v="159"/>
    <x v="1"/>
    <x v="1"/>
  </r>
  <r>
    <x v="1582"/>
    <x v="0"/>
    <x v="12"/>
    <x v="0"/>
    <x v="10"/>
    <x v="2"/>
    <x v="119"/>
    <x v="11"/>
    <x v="0"/>
    <x v="0"/>
  </r>
  <r>
    <x v="1582"/>
    <x v="1"/>
    <x v="237"/>
    <x v="1"/>
    <x v="95"/>
    <x v="0"/>
    <x v="643"/>
    <x v="222"/>
    <x v="4"/>
    <x v="4"/>
  </r>
  <r>
    <x v="1583"/>
    <x v="0"/>
    <x v="78"/>
    <x v="1"/>
    <x v="52"/>
    <x v="3"/>
    <x v="239"/>
    <x v="71"/>
    <x v="1"/>
    <x v="1"/>
  </r>
  <r>
    <x v="1583"/>
    <x v="1"/>
    <x v="249"/>
    <x v="1"/>
    <x v="65"/>
    <x v="3"/>
    <x v="497"/>
    <x v="233"/>
    <x v="0"/>
    <x v="0"/>
  </r>
  <r>
    <x v="1583"/>
    <x v="2"/>
    <x v="52"/>
    <x v="0"/>
    <x v="28"/>
    <x v="0"/>
    <x v="328"/>
    <x v="45"/>
    <x v="1"/>
    <x v="1"/>
  </r>
  <r>
    <x v="1583"/>
    <x v="3"/>
    <x v="251"/>
    <x v="0"/>
    <x v="66"/>
    <x v="3"/>
    <x v="513"/>
    <x v="235"/>
    <x v="3"/>
    <x v="3"/>
  </r>
  <r>
    <x v="1583"/>
    <x v="4"/>
    <x v="162"/>
    <x v="1"/>
    <x v="1"/>
    <x v="1"/>
    <x v="1"/>
    <x v="153"/>
    <x v="6"/>
    <x v="6"/>
  </r>
  <r>
    <x v="1584"/>
    <x v="0"/>
    <x v="173"/>
    <x v="0"/>
    <x v="19"/>
    <x v="3"/>
    <x v="201"/>
    <x v="164"/>
    <x v="5"/>
    <x v="5"/>
  </r>
  <r>
    <x v="1584"/>
    <x v="1"/>
    <x v="26"/>
    <x v="1"/>
    <x v="19"/>
    <x v="3"/>
    <x v="145"/>
    <x v="22"/>
    <x v="0"/>
    <x v="0"/>
  </r>
  <r>
    <x v="1584"/>
    <x v="2"/>
    <x v="143"/>
    <x v="1"/>
    <x v="12"/>
    <x v="1"/>
    <x v="102"/>
    <x v="134"/>
    <x v="2"/>
    <x v="2"/>
  </r>
  <r>
    <x v="1584"/>
    <x v="3"/>
    <x v="43"/>
    <x v="0"/>
    <x v="15"/>
    <x v="3"/>
    <x v="37"/>
    <x v="31"/>
    <x v="0"/>
    <x v="0"/>
  </r>
  <r>
    <x v="1584"/>
    <x v="4"/>
    <x v="278"/>
    <x v="0"/>
    <x v="66"/>
    <x v="3"/>
    <x v="513"/>
    <x v="256"/>
    <x v="3"/>
    <x v="3"/>
  </r>
  <r>
    <x v="1585"/>
    <x v="0"/>
    <x v="13"/>
    <x v="1"/>
    <x v="11"/>
    <x v="3"/>
    <x v="23"/>
    <x v="12"/>
    <x v="0"/>
    <x v="0"/>
  </r>
  <r>
    <x v="1585"/>
    <x v="1"/>
    <x v="215"/>
    <x v="0"/>
    <x v="75"/>
    <x v="1"/>
    <x v="644"/>
    <x v="203"/>
    <x v="4"/>
    <x v="4"/>
  </r>
  <r>
    <x v="1585"/>
    <x v="2"/>
    <x v="214"/>
    <x v="0"/>
    <x v="70"/>
    <x v="2"/>
    <x v="573"/>
    <x v="202"/>
    <x v="4"/>
    <x v="4"/>
  </r>
  <r>
    <x v="1585"/>
    <x v="3"/>
    <x v="264"/>
    <x v="0"/>
    <x v="41"/>
    <x v="0"/>
    <x v="334"/>
    <x v="244"/>
    <x v="6"/>
    <x v="6"/>
  </r>
  <r>
    <x v="1585"/>
    <x v="4"/>
    <x v="107"/>
    <x v="0"/>
    <x v="61"/>
    <x v="3"/>
    <x v="326"/>
    <x v="99"/>
    <x v="1"/>
    <x v="1"/>
  </r>
  <r>
    <x v="1586"/>
    <x v="0"/>
    <x v="77"/>
    <x v="0"/>
    <x v="51"/>
    <x v="3"/>
    <x v="249"/>
    <x v="70"/>
    <x v="5"/>
    <x v="5"/>
  </r>
  <r>
    <x v="1586"/>
    <x v="1"/>
    <x v="65"/>
    <x v="1"/>
    <x v="25"/>
    <x v="2"/>
    <x v="371"/>
    <x v="58"/>
    <x v="2"/>
    <x v="2"/>
  </r>
  <r>
    <x v="1586"/>
    <x v="2"/>
    <x v="46"/>
    <x v="1"/>
    <x v="31"/>
    <x v="2"/>
    <x v="437"/>
    <x v="40"/>
    <x v="0"/>
    <x v="0"/>
  </r>
  <r>
    <x v="1586"/>
    <x v="3"/>
    <x v="133"/>
    <x v="1"/>
    <x v="62"/>
    <x v="1"/>
    <x v="278"/>
    <x v="124"/>
    <x v="0"/>
    <x v="0"/>
  </r>
  <r>
    <x v="1587"/>
    <x v="0"/>
    <x v="101"/>
    <x v="1"/>
    <x v="30"/>
    <x v="1"/>
    <x v="268"/>
    <x v="93"/>
    <x v="4"/>
    <x v="4"/>
  </r>
  <r>
    <x v="1588"/>
    <x v="0"/>
    <x v="267"/>
    <x v="1"/>
    <x v="82"/>
    <x v="2"/>
    <x v="586"/>
    <x v="247"/>
    <x v="0"/>
    <x v="0"/>
  </r>
  <r>
    <x v="1588"/>
    <x v="1"/>
    <x v="258"/>
    <x v="0"/>
    <x v="62"/>
    <x v="0"/>
    <x v="403"/>
    <x v="124"/>
    <x v="0"/>
    <x v="0"/>
  </r>
  <r>
    <x v="1588"/>
    <x v="2"/>
    <x v="76"/>
    <x v="1"/>
    <x v="50"/>
    <x v="3"/>
    <x v="429"/>
    <x v="69"/>
    <x v="1"/>
    <x v="1"/>
  </r>
  <r>
    <x v="1589"/>
    <x v="0"/>
    <x v="147"/>
    <x v="1"/>
    <x v="41"/>
    <x v="1"/>
    <x v="540"/>
    <x v="138"/>
    <x v="6"/>
    <x v="6"/>
  </r>
  <r>
    <x v="1589"/>
    <x v="1"/>
    <x v="277"/>
    <x v="0"/>
    <x v="0"/>
    <x v="0"/>
    <x v="0"/>
    <x v="255"/>
    <x v="0"/>
    <x v="0"/>
  </r>
  <r>
    <x v="1589"/>
    <x v="2"/>
    <x v="19"/>
    <x v="0"/>
    <x v="15"/>
    <x v="1"/>
    <x v="75"/>
    <x v="17"/>
    <x v="4"/>
    <x v="4"/>
  </r>
  <r>
    <x v="1590"/>
    <x v="0"/>
    <x v="256"/>
    <x v="1"/>
    <x v="74"/>
    <x v="0"/>
    <x v="521"/>
    <x v="238"/>
    <x v="4"/>
    <x v="4"/>
  </r>
  <r>
    <x v="1590"/>
    <x v="1"/>
    <x v="250"/>
    <x v="1"/>
    <x v="14"/>
    <x v="0"/>
    <x v="117"/>
    <x v="234"/>
    <x v="1"/>
    <x v="1"/>
  </r>
  <r>
    <x v="1590"/>
    <x v="2"/>
    <x v="44"/>
    <x v="1"/>
    <x v="29"/>
    <x v="1"/>
    <x v="172"/>
    <x v="38"/>
    <x v="4"/>
    <x v="4"/>
  </r>
  <r>
    <x v="1590"/>
    <x v="3"/>
    <x v="141"/>
    <x v="1"/>
    <x v="77"/>
    <x v="2"/>
    <x v="512"/>
    <x v="132"/>
    <x v="1"/>
    <x v="1"/>
  </r>
  <r>
    <x v="1590"/>
    <x v="4"/>
    <x v="237"/>
    <x v="0"/>
    <x v="95"/>
    <x v="0"/>
    <x v="642"/>
    <x v="222"/>
    <x v="4"/>
    <x v="4"/>
  </r>
  <r>
    <x v="1591"/>
    <x v="0"/>
    <x v="304"/>
    <x v="1"/>
    <x v="2"/>
    <x v="2"/>
    <x v="2"/>
    <x v="147"/>
    <x v="6"/>
    <x v="6"/>
  </r>
  <r>
    <x v="1591"/>
    <x v="1"/>
    <x v="166"/>
    <x v="0"/>
    <x v="27"/>
    <x v="1"/>
    <x v="466"/>
    <x v="157"/>
    <x v="6"/>
    <x v="6"/>
  </r>
  <r>
    <x v="1591"/>
    <x v="2"/>
    <x v="95"/>
    <x v="1"/>
    <x v="23"/>
    <x v="1"/>
    <x v="179"/>
    <x v="87"/>
    <x v="1"/>
    <x v="1"/>
  </r>
  <r>
    <x v="1591"/>
    <x v="3"/>
    <x v="11"/>
    <x v="0"/>
    <x v="9"/>
    <x v="0"/>
    <x v="141"/>
    <x v="10"/>
    <x v="3"/>
    <x v="3"/>
  </r>
  <r>
    <x v="1591"/>
    <x v="4"/>
    <x v="261"/>
    <x v="1"/>
    <x v="30"/>
    <x v="2"/>
    <x v="211"/>
    <x v="242"/>
    <x v="4"/>
    <x v="4"/>
  </r>
  <r>
    <x v="1592"/>
    <x v="0"/>
    <x v="44"/>
    <x v="1"/>
    <x v="29"/>
    <x v="0"/>
    <x v="209"/>
    <x v="38"/>
    <x v="4"/>
    <x v="4"/>
  </r>
  <r>
    <x v="1592"/>
    <x v="1"/>
    <x v="98"/>
    <x v="0"/>
    <x v="14"/>
    <x v="1"/>
    <x v="29"/>
    <x v="90"/>
    <x v="1"/>
    <x v="1"/>
  </r>
  <r>
    <x v="1592"/>
    <x v="2"/>
    <x v="115"/>
    <x v="1"/>
    <x v="66"/>
    <x v="3"/>
    <x v="633"/>
    <x v="107"/>
    <x v="3"/>
    <x v="3"/>
  </r>
  <r>
    <x v="1592"/>
    <x v="3"/>
    <x v="92"/>
    <x v="0"/>
    <x v="24"/>
    <x v="2"/>
    <x v="205"/>
    <x v="72"/>
    <x v="0"/>
    <x v="0"/>
  </r>
  <r>
    <x v="1592"/>
    <x v="4"/>
    <x v="146"/>
    <x v="1"/>
    <x v="53"/>
    <x v="1"/>
    <x v="208"/>
    <x v="137"/>
    <x v="6"/>
    <x v="6"/>
  </r>
  <r>
    <x v="1593"/>
    <x v="0"/>
    <x v="47"/>
    <x v="1"/>
    <x v="32"/>
    <x v="3"/>
    <x v="420"/>
    <x v="41"/>
    <x v="0"/>
    <x v="0"/>
  </r>
  <r>
    <x v="1593"/>
    <x v="1"/>
    <x v="86"/>
    <x v="0"/>
    <x v="54"/>
    <x v="3"/>
    <x v="425"/>
    <x v="79"/>
    <x v="5"/>
    <x v="5"/>
  </r>
  <r>
    <x v="1594"/>
    <x v="0"/>
    <x v="225"/>
    <x v="0"/>
    <x v="55"/>
    <x v="0"/>
    <x v="467"/>
    <x v="211"/>
    <x v="1"/>
    <x v="1"/>
  </r>
  <r>
    <x v="1595"/>
    <x v="0"/>
    <x v="87"/>
    <x v="0"/>
    <x v="29"/>
    <x v="2"/>
    <x v="277"/>
    <x v="80"/>
    <x v="4"/>
    <x v="4"/>
  </r>
  <r>
    <x v="1595"/>
    <x v="1"/>
    <x v="9"/>
    <x v="0"/>
    <x v="7"/>
    <x v="3"/>
    <x v="65"/>
    <x v="8"/>
    <x v="0"/>
    <x v="0"/>
  </r>
  <r>
    <x v="1596"/>
    <x v="0"/>
    <x v="305"/>
    <x v="0"/>
    <x v="41"/>
    <x v="1"/>
    <x v="339"/>
    <x v="276"/>
    <x v="6"/>
    <x v="6"/>
  </r>
  <r>
    <x v="1596"/>
    <x v="1"/>
    <x v="64"/>
    <x v="0"/>
    <x v="44"/>
    <x v="1"/>
    <x v="520"/>
    <x v="57"/>
    <x v="6"/>
    <x v="6"/>
  </r>
  <r>
    <x v="1597"/>
    <x v="0"/>
    <x v="123"/>
    <x v="0"/>
    <x v="0"/>
    <x v="0"/>
    <x v="0"/>
    <x v="114"/>
    <x v="0"/>
    <x v="0"/>
  </r>
  <r>
    <x v="1597"/>
    <x v="1"/>
    <x v="60"/>
    <x v="1"/>
    <x v="25"/>
    <x v="1"/>
    <x v="182"/>
    <x v="53"/>
    <x v="6"/>
    <x v="6"/>
  </r>
  <r>
    <x v="1597"/>
    <x v="2"/>
    <x v="54"/>
    <x v="0"/>
    <x v="37"/>
    <x v="0"/>
    <x v="321"/>
    <x v="47"/>
    <x v="4"/>
    <x v="4"/>
  </r>
  <r>
    <x v="1598"/>
    <x v="0"/>
    <x v="77"/>
    <x v="1"/>
    <x v="51"/>
    <x v="0"/>
    <x v="203"/>
    <x v="70"/>
    <x v="5"/>
    <x v="5"/>
  </r>
  <r>
    <x v="1599"/>
    <x v="0"/>
    <x v="301"/>
    <x v="0"/>
    <x v="23"/>
    <x v="3"/>
    <x v="253"/>
    <x v="275"/>
    <x v="6"/>
    <x v="6"/>
  </r>
  <r>
    <x v="1599"/>
    <x v="1"/>
    <x v="214"/>
    <x v="0"/>
    <x v="70"/>
    <x v="2"/>
    <x v="573"/>
    <x v="202"/>
    <x v="4"/>
    <x v="4"/>
  </r>
  <r>
    <x v="1599"/>
    <x v="2"/>
    <x v="107"/>
    <x v="0"/>
    <x v="61"/>
    <x v="0"/>
    <x v="265"/>
    <x v="99"/>
    <x v="1"/>
    <x v="1"/>
  </r>
  <r>
    <x v="1600"/>
    <x v="0"/>
    <x v="233"/>
    <x v="1"/>
    <x v="97"/>
    <x v="0"/>
    <x v="645"/>
    <x v="218"/>
    <x v="1"/>
    <x v="1"/>
  </r>
  <r>
    <x v="1600"/>
    <x v="1"/>
    <x v="2"/>
    <x v="0"/>
    <x v="2"/>
    <x v="0"/>
    <x v="135"/>
    <x v="2"/>
    <x v="2"/>
    <x v="2"/>
  </r>
  <r>
    <x v="1600"/>
    <x v="2"/>
    <x v="229"/>
    <x v="1"/>
    <x v="11"/>
    <x v="1"/>
    <x v="35"/>
    <x v="214"/>
    <x v="0"/>
    <x v="0"/>
  </r>
  <r>
    <x v="1600"/>
    <x v="3"/>
    <x v="14"/>
    <x v="1"/>
    <x v="12"/>
    <x v="1"/>
    <x v="102"/>
    <x v="13"/>
    <x v="1"/>
    <x v="1"/>
  </r>
  <r>
    <x v="1600"/>
    <x v="4"/>
    <x v="118"/>
    <x v="0"/>
    <x v="69"/>
    <x v="3"/>
    <x v="602"/>
    <x v="110"/>
    <x v="6"/>
    <x v="6"/>
  </r>
  <r>
    <x v="1601"/>
    <x v="0"/>
    <x v="68"/>
    <x v="1"/>
    <x v="24"/>
    <x v="2"/>
    <x v="293"/>
    <x v="61"/>
    <x v="0"/>
    <x v="0"/>
  </r>
  <r>
    <x v="1601"/>
    <x v="1"/>
    <x v="88"/>
    <x v="0"/>
    <x v="55"/>
    <x v="1"/>
    <x v="375"/>
    <x v="81"/>
    <x v="1"/>
    <x v="1"/>
  </r>
  <r>
    <x v="1601"/>
    <x v="2"/>
    <x v="224"/>
    <x v="1"/>
    <x v="91"/>
    <x v="0"/>
    <x v="544"/>
    <x v="210"/>
    <x v="4"/>
    <x v="4"/>
  </r>
  <r>
    <x v="1601"/>
    <x v="3"/>
    <x v="113"/>
    <x v="1"/>
    <x v="65"/>
    <x v="2"/>
    <x v="515"/>
    <x v="105"/>
    <x v="0"/>
    <x v="0"/>
  </r>
  <r>
    <x v="1602"/>
    <x v="0"/>
    <x v="224"/>
    <x v="1"/>
    <x v="91"/>
    <x v="2"/>
    <x v="646"/>
    <x v="210"/>
    <x v="4"/>
    <x v="4"/>
  </r>
  <r>
    <x v="1603"/>
    <x v="0"/>
    <x v="261"/>
    <x v="0"/>
    <x v="30"/>
    <x v="3"/>
    <x v="276"/>
    <x v="242"/>
    <x v="4"/>
    <x v="4"/>
  </r>
  <r>
    <x v="1604"/>
    <x v="0"/>
    <x v="31"/>
    <x v="0"/>
    <x v="22"/>
    <x v="3"/>
    <x v="368"/>
    <x v="27"/>
    <x v="0"/>
    <x v="0"/>
  </r>
  <r>
    <x v="1604"/>
    <x v="1"/>
    <x v="192"/>
    <x v="0"/>
    <x v="76"/>
    <x v="0"/>
    <x v="537"/>
    <x v="182"/>
    <x v="3"/>
    <x v="3"/>
  </r>
  <r>
    <x v="1604"/>
    <x v="2"/>
    <x v="188"/>
    <x v="1"/>
    <x v="42"/>
    <x v="3"/>
    <x v="428"/>
    <x v="178"/>
    <x v="1"/>
    <x v="1"/>
  </r>
  <r>
    <x v="1604"/>
    <x v="3"/>
    <x v="235"/>
    <x v="0"/>
    <x v="65"/>
    <x v="3"/>
    <x v="492"/>
    <x v="220"/>
    <x v="0"/>
    <x v="0"/>
  </r>
  <r>
    <x v="1604"/>
    <x v="4"/>
    <x v="61"/>
    <x v="0"/>
    <x v="4"/>
    <x v="1"/>
    <x v="133"/>
    <x v="54"/>
    <x v="1"/>
    <x v="1"/>
  </r>
  <r>
    <x v="1605"/>
    <x v="0"/>
    <x v="241"/>
    <x v="0"/>
    <x v="43"/>
    <x v="3"/>
    <x v="388"/>
    <x v="226"/>
    <x v="0"/>
    <x v="0"/>
  </r>
  <r>
    <x v="1605"/>
    <x v="1"/>
    <x v="261"/>
    <x v="0"/>
    <x v="30"/>
    <x v="3"/>
    <x v="276"/>
    <x v="242"/>
    <x v="4"/>
    <x v="4"/>
  </r>
  <r>
    <x v="1606"/>
    <x v="0"/>
    <x v="61"/>
    <x v="0"/>
    <x v="4"/>
    <x v="2"/>
    <x v="6"/>
    <x v="54"/>
    <x v="1"/>
    <x v="1"/>
  </r>
  <r>
    <x v="1607"/>
    <x v="0"/>
    <x v="285"/>
    <x v="1"/>
    <x v="10"/>
    <x v="2"/>
    <x v="94"/>
    <x v="263"/>
    <x v="0"/>
    <x v="0"/>
  </r>
  <r>
    <x v="1608"/>
    <x v="0"/>
    <x v="81"/>
    <x v="0"/>
    <x v="29"/>
    <x v="0"/>
    <x v="344"/>
    <x v="74"/>
    <x v="4"/>
    <x v="4"/>
  </r>
  <r>
    <x v="1608"/>
    <x v="1"/>
    <x v="207"/>
    <x v="1"/>
    <x v="5"/>
    <x v="0"/>
    <x v="39"/>
    <x v="168"/>
    <x v="0"/>
    <x v="0"/>
  </r>
  <r>
    <x v="1608"/>
    <x v="2"/>
    <x v="121"/>
    <x v="1"/>
    <x v="70"/>
    <x v="3"/>
    <x v="525"/>
    <x v="113"/>
    <x v="0"/>
    <x v="0"/>
  </r>
  <r>
    <x v="1608"/>
    <x v="3"/>
    <x v="86"/>
    <x v="0"/>
    <x v="54"/>
    <x v="0"/>
    <x v="441"/>
    <x v="79"/>
    <x v="5"/>
    <x v="5"/>
  </r>
  <r>
    <x v="1609"/>
    <x v="0"/>
    <x v="107"/>
    <x v="0"/>
    <x v="61"/>
    <x v="1"/>
    <x v="472"/>
    <x v="99"/>
    <x v="1"/>
    <x v="1"/>
  </r>
  <r>
    <x v="1609"/>
    <x v="1"/>
    <x v="264"/>
    <x v="1"/>
    <x v="41"/>
    <x v="0"/>
    <x v="468"/>
    <x v="244"/>
    <x v="6"/>
    <x v="6"/>
  </r>
  <r>
    <x v="1610"/>
    <x v="0"/>
    <x v="278"/>
    <x v="0"/>
    <x v="66"/>
    <x v="1"/>
    <x v="627"/>
    <x v="256"/>
    <x v="3"/>
    <x v="3"/>
  </r>
  <r>
    <x v="1610"/>
    <x v="1"/>
    <x v="212"/>
    <x v="1"/>
    <x v="41"/>
    <x v="3"/>
    <x v="216"/>
    <x v="200"/>
    <x v="6"/>
    <x v="6"/>
  </r>
  <r>
    <x v="1610"/>
    <x v="2"/>
    <x v="184"/>
    <x v="0"/>
    <x v="5"/>
    <x v="0"/>
    <x v="56"/>
    <x v="174"/>
    <x v="0"/>
    <x v="0"/>
  </r>
  <r>
    <x v="1611"/>
    <x v="0"/>
    <x v="243"/>
    <x v="0"/>
    <x v="99"/>
    <x v="3"/>
    <x v="647"/>
    <x v="228"/>
    <x v="0"/>
    <x v="0"/>
  </r>
  <r>
    <x v="1611"/>
    <x v="1"/>
    <x v="306"/>
    <x v="1"/>
    <x v="70"/>
    <x v="2"/>
    <x v="571"/>
    <x v="277"/>
    <x v="4"/>
    <x v="4"/>
  </r>
  <r>
    <x v="1611"/>
    <x v="2"/>
    <x v="70"/>
    <x v="1"/>
    <x v="48"/>
    <x v="0"/>
    <x v="191"/>
    <x v="63"/>
    <x v="4"/>
    <x v="4"/>
  </r>
  <r>
    <x v="1611"/>
    <x v="3"/>
    <x v="284"/>
    <x v="1"/>
    <x v="70"/>
    <x v="1"/>
    <x v="604"/>
    <x v="262"/>
    <x v="4"/>
    <x v="4"/>
  </r>
  <r>
    <x v="1611"/>
    <x v="4"/>
    <x v="91"/>
    <x v="0"/>
    <x v="57"/>
    <x v="3"/>
    <x v="407"/>
    <x v="84"/>
    <x v="3"/>
    <x v="3"/>
  </r>
  <r>
    <x v="1612"/>
    <x v="0"/>
    <x v="145"/>
    <x v="0"/>
    <x v="23"/>
    <x v="1"/>
    <x v="193"/>
    <x v="136"/>
    <x v="6"/>
    <x v="6"/>
  </r>
  <r>
    <x v="1612"/>
    <x v="1"/>
    <x v="125"/>
    <x v="1"/>
    <x v="70"/>
    <x v="2"/>
    <x v="571"/>
    <x v="116"/>
    <x v="4"/>
    <x v="4"/>
  </r>
  <r>
    <x v="1613"/>
    <x v="0"/>
    <x v="190"/>
    <x v="0"/>
    <x v="89"/>
    <x v="1"/>
    <x v="536"/>
    <x v="180"/>
    <x v="1"/>
    <x v="1"/>
  </r>
  <r>
    <x v="1613"/>
    <x v="1"/>
    <x v="166"/>
    <x v="1"/>
    <x v="27"/>
    <x v="1"/>
    <x v="414"/>
    <x v="157"/>
    <x v="6"/>
    <x v="6"/>
  </r>
  <r>
    <x v="1613"/>
    <x v="2"/>
    <x v="193"/>
    <x v="1"/>
    <x v="11"/>
    <x v="0"/>
    <x v="78"/>
    <x v="183"/>
    <x v="0"/>
    <x v="0"/>
  </r>
  <r>
    <x v="1614"/>
    <x v="0"/>
    <x v="245"/>
    <x v="1"/>
    <x v="27"/>
    <x v="0"/>
    <x v="194"/>
    <x v="230"/>
    <x v="3"/>
    <x v="3"/>
  </r>
  <r>
    <x v="1614"/>
    <x v="1"/>
    <x v="204"/>
    <x v="0"/>
    <x v="65"/>
    <x v="1"/>
    <x v="610"/>
    <x v="194"/>
    <x v="0"/>
    <x v="0"/>
  </r>
  <r>
    <x v="1614"/>
    <x v="2"/>
    <x v="197"/>
    <x v="0"/>
    <x v="50"/>
    <x v="0"/>
    <x v="324"/>
    <x v="187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0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  <pivotField compact="0" showAll="0"/>
    <pivotField compact="0" showAll="0"/>
    <pivotField axis="axisRow" compact="0" showAll="0">
      <items count="8">
        <item x="4"/>
        <item x="5"/>
        <item x="0"/>
        <item x="2"/>
        <item x="3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5" sqref="B5"/>
    </sheetView>
  </sheetViews>
  <sheetFormatPr defaultColWidth="8.88888888888889" defaultRowHeight="14.4" outlineLevelCol="1"/>
  <cols>
    <col min="1" max="1" width="18.1111111111111"/>
    <col min="2" max="2" width="18"/>
  </cols>
  <sheetData>
    <row r="3" spans="1:2">
      <c r="A3" t="s">
        <v>0</v>
      </c>
      <c r="B3" t="s">
        <v>1</v>
      </c>
    </row>
    <row r="4" spans="1:2">
      <c r="A4" t="s">
        <v>2</v>
      </c>
      <c r="B4">
        <v>236088.890000001</v>
      </c>
    </row>
    <row r="5" spans="1:2">
      <c r="A5" t="s">
        <v>3</v>
      </c>
      <c r="B5">
        <v>185839.32</v>
      </c>
    </row>
    <row r="6" spans="1:2">
      <c r="A6" t="s">
        <v>4</v>
      </c>
      <c r="B6">
        <v>1378936.88</v>
      </c>
    </row>
    <row r="7" spans="1:2">
      <c r="A7" t="s">
        <v>5</v>
      </c>
      <c r="B7">
        <v>789003.600000001</v>
      </c>
    </row>
    <row r="8" spans="1:2">
      <c r="A8" t="s">
        <v>6</v>
      </c>
      <c r="B8">
        <v>1094612.55</v>
      </c>
    </row>
    <row r="9" spans="1:2">
      <c r="A9" t="s">
        <v>7</v>
      </c>
      <c r="B9">
        <v>3030651.44999998</v>
      </c>
    </row>
    <row r="10" spans="1:2">
      <c r="A10" t="s">
        <v>8</v>
      </c>
      <c r="B10">
        <v>1863358.61999999</v>
      </c>
    </row>
    <row r="11" spans="1:2">
      <c r="A11" t="s">
        <v>9</v>
      </c>
      <c r="B11">
        <v>8578491.30999998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3"/>
  <sheetViews>
    <sheetView tabSelected="1" zoomScaleSheetLayoutView="60" workbookViewId="0">
      <selection activeCell="G2" sqref="G2"/>
    </sheetView>
  </sheetViews>
  <sheetFormatPr defaultColWidth="10" defaultRowHeight="14.4"/>
  <cols>
    <col min="7" max="7" width="13"/>
    <col min="8" max="8" width="19.1111111111111" customWidth="1"/>
  </cols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0</v>
      </c>
    </row>
    <row r="2" spans="1:10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 s="1">
        <f t="shared" ref="G2:G65" si="0">D2*E2*(1-F2)</f>
        <v>479.992</v>
      </c>
      <c r="H2" t="str">
        <f>VLOOKUP(C2,[1]products!$A:$B,2,0)</f>
        <v>Electra Townie Original 7D EQ - Women's - 2016</v>
      </c>
      <c r="I2">
        <f>VLOOKUP(H2,[1]products!$B:$D,3,0)</f>
        <v>3</v>
      </c>
      <c r="J2" t="str">
        <f>VLOOKUP(I2,[2]categories!$A$2:$B$8,2,0)</f>
        <v>Cruisers Bicycles</v>
      </c>
    </row>
    <row r="3" spans="1:10">
      <c r="A3">
        <v>1</v>
      </c>
      <c r="B3">
        <v>2</v>
      </c>
      <c r="C3">
        <v>8</v>
      </c>
      <c r="D3">
        <v>2</v>
      </c>
      <c r="E3">
        <v>1799.99</v>
      </c>
      <c r="F3">
        <v>0.07</v>
      </c>
      <c r="G3" s="1">
        <f t="shared" si="0"/>
        <v>3347.9814</v>
      </c>
      <c r="H3" t="str">
        <f>VLOOKUP(C3,[1]products!$A:$B,2,0)</f>
        <v>Trek Remedy 29 Carbon Frameset - 2016</v>
      </c>
      <c r="I3">
        <f>VLOOKUP(H3,[1]products!$B:$D,3,0)</f>
        <v>6</v>
      </c>
      <c r="J3" t="str">
        <f>VLOOKUP(I3,[2]categories!$A$2:$B$8,2,0)</f>
        <v>Mountain Bikes</v>
      </c>
    </row>
    <row r="4" spans="1:10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 s="1">
        <f t="shared" si="0"/>
        <v>2943.1</v>
      </c>
      <c r="H4" t="str">
        <f>VLOOKUP(C4,[1]products!$A:$B,2,0)</f>
        <v>Surly Straggler - 2016</v>
      </c>
      <c r="I4">
        <f>VLOOKUP(H4,[1]products!$B:$D,3,0)</f>
        <v>4</v>
      </c>
      <c r="J4" t="str">
        <f>VLOOKUP(I4,[2]categories!$A$2:$B$8,2,0)</f>
        <v>Cyclocross Bicycles</v>
      </c>
    </row>
    <row r="5" spans="1:10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 s="1">
        <f t="shared" si="0"/>
        <v>1139.981</v>
      </c>
      <c r="H5" t="str">
        <f>VLOOKUP(C5,[1]products!$A:$B,2,0)</f>
        <v>Electra Townie Original 7D EQ - 2016</v>
      </c>
      <c r="I5">
        <f>VLOOKUP(H5,[1]products!$B:$D,3,0)</f>
        <v>3</v>
      </c>
      <c r="J5" t="str">
        <f>VLOOKUP(I5,[2]categories!$A$2:$B$8,2,0)</f>
        <v>Cruisers Bicycles</v>
      </c>
    </row>
    <row r="6" spans="1:10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 s="1">
        <f t="shared" si="0"/>
        <v>2319.992</v>
      </c>
      <c r="H6" t="str">
        <f>VLOOKUP(C6,[1]products!$A:$B,2,0)</f>
        <v>Trek Fuel EX 8 29 - 2016</v>
      </c>
      <c r="I6">
        <f>VLOOKUP(H6,[1]products!$B:$D,3,0)</f>
        <v>6</v>
      </c>
      <c r="J6" t="str">
        <f>VLOOKUP(I6,[2]categories!$A$2:$B$8,2,0)</f>
        <v>Mountain Bikes</v>
      </c>
    </row>
    <row r="7" spans="1:10">
      <c r="A7">
        <v>2</v>
      </c>
      <c r="B7">
        <v>1</v>
      </c>
      <c r="C7">
        <v>20</v>
      </c>
      <c r="D7">
        <v>1</v>
      </c>
      <c r="E7">
        <v>599.99</v>
      </c>
      <c r="F7">
        <v>0.07</v>
      </c>
      <c r="G7" s="1">
        <f t="shared" si="0"/>
        <v>557.9907</v>
      </c>
      <c r="H7" t="str">
        <f>VLOOKUP(C7,[1]products!$A:$B,2,0)</f>
        <v>Electra Townie Original 7D EQ - Women's - 2016</v>
      </c>
      <c r="I7">
        <f>VLOOKUP(H7,[1]products!$B:$D,3,0)</f>
        <v>3</v>
      </c>
      <c r="J7" t="str">
        <f>VLOOKUP(I7,[2]categories!$A$2:$B$8,2,0)</f>
        <v>Cruisers Bicycles</v>
      </c>
    </row>
    <row r="8" spans="1:10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 s="1">
        <f t="shared" si="0"/>
        <v>1139.981</v>
      </c>
      <c r="H8" t="str">
        <f>VLOOKUP(C8,[1]products!$A:$B,2,0)</f>
        <v>Electra Townie Original 7D EQ - 2016</v>
      </c>
      <c r="I8">
        <f>VLOOKUP(H8,[1]products!$B:$D,3,0)</f>
        <v>3</v>
      </c>
      <c r="J8" t="str">
        <f>VLOOKUP(I8,[2]categories!$A$2:$B$8,2,0)</f>
        <v>Cruisers Bicycles</v>
      </c>
    </row>
    <row r="9" spans="1:10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 s="1">
        <f t="shared" si="0"/>
        <v>949.9905</v>
      </c>
      <c r="H9" t="str">
        <f>VLOOKUP(C9,[1]products!$A:$B,2,0)</f>
        <v>Surly Wednesday Frameset - 2016</v>
      </c>
      <c r="I9">
        <f>VLOOKUP(H9,[1]products!$B:$D,3,0)</f>
        <v>6</v>
      </c>
      <c r="J9" t="str">
        <f>VLOOKUP(I9,[2]categories!$A$2:$B$8,2,0)</f>
        <v>Mountain Bikes</v>
      </c>
    </row>
    <row r="10" spans="1:10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 s="1">
        <f t="shared" si="0"/>
        <v>569.9905</v>
      </c>
      <c r="H10" t="str">
        <f>VLOOKUP(C10,[1]products!$A:$B,2,0)</f>
        <v>Electra Townie Original 7D EQ - Women's - 2016</v>
      </c>
      <c r="I10">
        <f>VLOOKUP(H10,[1]products!$B:$D,3,0)</f>
        <v>3</v>
      </c>
      <c r="J10" t="str">
        <f>VLOOKUP(I10,[2]categories!$A$2:$B$8,2,0)</f>
        <v>Cruisers Bicycles</v>
      </c>
    </row>
    <row r="11" spans="1:10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 s="1">
        <f t="shared" si="0"/>
        <v>1349.982</v>
      </c>
      <c r="H11" t="str">
        <f>VLOOKUP(C11,[1]products!$A:$B,2,0)</f>
        <v>Ritchey Timberwolf Frameset - 2016</v>
      </c>
      <c r="I11">
        <f>VLOOKUP(H11,[1]products!$B:$D,3,0)</f>
        <v>6</v>
      </c>
      <c r="J11" t="str">
        <f>VLOOKUP(I11,[2]categories!$A$2:$B$8,2,0)</f>
        <v>Mountain Bikes</v>
      </c>
    </row>
    <row r="12" spans="1:10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 s="1">
        <f t="shared" si="0"/>
        <v>2943.1</v>
      </c>
      <c r="H12" t="str">
        <f>VLOOKUP(C12,[1]products!$A:$B,2,0)</f>
        <v>Surly Straggler - 2016</v>
      </c>
      <c r="I12">
        <f>VLOOKUP(H12,[1]products!$B:$D,3,0)</f>
        <v>4</v>
      </c>
      <c r="J12" t="str">
        <f>VLOOKUP(I12,[2]categories!$A$2:$B$8,2,0)</f>
        <v>Cyclocross Bicycles</v>
      </c>
    </row>
    <row r="13" spans="1:10">
      <c r="A13">
        <v>5</v>
      </c>
      <c r="B13">
        <v>2</v>
      </c>
      <c r="C13">
        <v>17</v>
      </c>
      <c r="D13">
        <v>1</v>
      </c>
      <c r="E13">
        <v>429</v>
      </c>
      <c r="F13">
        <v>0.07</v>
      </c>
      <c r="G13" s="1">
        <f t="shared" si="0"/>
        <v>398.97</v>
      </c>
      <c r="H13" t="str">
        <f>VLOOKUP(C13,[1]products!$A:$B,2,0)</f>
        <v>Pure Cycles Vine 8-Speed - 2016</v>
      </c>
      <c r="I13">
        <f>VLOOKUP(H13,[1]products!$B:$D,3,0)</f>
        <v>3</v>
      </c>
      <c r="J13" t="str">
        <f>VLOOKUP(I13,[2]categories!$A$2:$B$8,2,0)</f>
        <v>Cruisers Bicycles</v>
      </c>
    </row>
    <row r="14" spans="1:10">
      <c r="A14">
        <v>5</v>
      </c>
      <c r="B14">
        <v>3</v>
      </c>
      <c r="C14">
        <v>26</v>
      </c>
      <c r="D14">
        <v>1</v>
      </c>
      <c r="E14">
        <v>599.99</v>
      </c>
      <c r="F14">
        <v>0.07</v>
      </c>
      <c r="G14" s="1">
        <f t="shared" si="0"/>
        <v>557.9907</v>
      </c>
      <c r="H14" t="str">
        <f>VLOOKUP(C14,[1]products!$A:$B,2,0)</f>
        <v>Electra Townie Original 7D EQ - 2016</v>
      </c>
      <c r="I14">
        <f>VLOOKUP(H14,[1]products!$B:$D,3,0)</f>
        <v>3</v>
      </c>
      <c r="J14" t="str">
        <f>VLOOKUP(I14,[2]categories!$A$2:$B$8,2,0)</f>
        <v>Cruisers Bicycles</v>
      </c>
    </row>
    <row r="15" spans="1:10">
      <c r="A15">
        <v>6</v>
      </c>
      <c r="B15">
        <v>1</v>
      </c>
      <c r="C15">
        <v>18</v>
      </c>
      <c r="D15">
        <v>1</v>
      </c>
      <c r="E15">
        <v>449</v>
      </c>
      <c r="F15">
        <v>0.07</v>
      </c>
      <c r="G15" s="1">
        <f t="shared" si="0"/>
        <v>417.57</v>
      </c>
      <c r="H15" t="str">
        <f>VLOOKUP(C15,[1]products!$A:$B,2,0)</f>
        <v>Pure Cycles Western 3-Speed - Women's - 2015/2016</v>
      </c>
      <c r="I15">
        <f>VLOOKUP(H15,[1]products!$B:$D,3,0)</f>
        <v>3</v>
      </c>
      <c r="J15" t="str">
        <f>VLOOKUP(I15,[2]categories!$A$2:$B$8,2,0)</f>
        <v>Cruisers Bicycles</v>
      </c>
    </row>
    <row r="16" spans="1:10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 s="1">
        <f t="shared" si="0"/>
        <v>1044.981</v>
      </c>
      <c r="H16" t="str">
        <f>VLOOKUP(C16,[1]products!$A:$B,2,0)</f>
        <v>Electra Townie Original 21D - 2016</v>
      </c>
      <c r="I16">
        <f>VLOOKUP(H16,[1]products!$B:$D,3,0)</f>
        <v>3</v>
      </c>
      <c r="J16" t="str">
        <f>VLOOKUP(I16,[2]categories!$A$2:$B$8,2,0)</f>
        <v>Cruisers Bicycles</v>
      </c>
    </row>
    <row r="17" spans="1:10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 s="1">
        <f t="shared" si="0"/>
        <v>539.991</v>
      </c>
      <c r="H17" t="str">
        <f>VLOOKUP(C17,[1]products!$A:$B,2,0)</f>
        <v>Electra Townie Original 7D EQ - Women's - 2016</v>
      </c>
      <c r="I17">
        <f>VLOOKUP(H17,[1]products!$B:$D,3,0)</f>
        <v>3</v>
      </c>
      <c r="J17" t="str">
        <f>VLOOKUP(I17,[2]categories!$A$2:$B$8,2,0)</f>
        <v>Cruisers Bicycles</v>
      </c>
    </row>
    <row r="18" spans="1:10">
      <c r="A18">
        <v>6</v>
      </c>
      <c r="B18">
        <v>4</v>
      </c>
      <c r="C18">
        <v>3</v>
      </c>
      <c r="D18">
        <v>2</v>
      </c>
      <c r="E18">
        <v>999.99</v>
      </c>
      <c r="F18">
        <v>0.07</v>
      </c>
      <c r="G18" s="1">
        <f t="shared" si="0"/>
        <v>1859.9814</v>
      </c>
      <c r="H18" t="str">
        <f>VLOOKUP(C18,[1]products!$A:$B,2,0)</f>
        <v>Surly Wednesday Frameset - 2016</v>
      </c>
      <c r="I18">
        <f>VLOOKUP(H18,[1]products!$B:$D,3,0)</f>
        <v>6</v>
      </c>
      <c r="J18" t="str">
        <f>VLOOKUP(I18,[2]categories!$A$2:$B$8,2,0)</f>
        <v>Mountain Bikes</v>
      </c>
    </row>
    <row r="19" spans="1:10">
      <c r="A19">
        <v>6</v>
      </c>
      <c r="B19">
        <v>5</v>
      </c>
      <c r="C19">
        <v>9</v>
      </c>
      <c r="D19">
        <v>2</v>
      </c>
      <c r="E19">
        <v>2999.99</v>
      </c>
      <c r="F19">
        <v>0.07</v>
      </c>
      <c r="G19" s="1">
        <f t="shared" si="0"/>
        <v>5579.9814</v>
      </c>
      <c r="H19" t="str">
        <f>VLOOKUP(C19,[1]products!$A:$B,2,0)</f>
        <v>Trek Conduit+ - 2016</v>
      </c>
      <c r="I19">
        <f>VLOOKUP(H19,[1]products!$B:$D,3,0)</f>
        <v>5</v>
      </c>
      <c r="J19" t="str">
        <f>VLOOKUP(I19,[2]categories!$A$2:$B$8,2,0)</f>
        <v>Electric Bikes</v>
      </c>
    </row>
    <row r="20" spans="1:10">
      <c r="A20">
        <v>7</v>
      </c>
      <c r="B20">
        <v>1</v>
      </c>
      <c r="C20">
        <v>15</v>
      </c>
      <c r="D20">
        <v>1</v>
      </c>
      <c r="E20">
        <v>529.99</v>
      </c>
      <c r="F20">
        <v>0.07</v>
      </c>
      <c r="G20" s="1">
        <f t="shared" si="0"/>
        <v>492.8907</v>
      </c>
      <c r="H20" t="str">
        <f>VLOOKUP(C20,[1]products!$A:$B,2,0)</f>
        <v>Electra Moto 1 - 2016</v>
      </c>
      <c r="I20">
        <f>VLOOKUP(H20,[1]products!$B:$D,3,0)</f>
        <v>3</v>
      </c>
      <c r="J20" t="str">
        <f>VLOOKUP(I20,[2]categories!$A$2:$B$8,2,0)</f>
        <v>Cruisers Bicycles</v>
      </c>
    </row>
    <row r="21" spans="1:10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 s="1">
        <f t="shared" si="0"/>
        <v>899.991</v>
      </c>
      <c r="H21" t="str">
        <f>VLOOKUP(C21,[1]products!$A:$B,2,0)</f>
        <v>Surly Wednesday Frameset - 2016</v>
      </c>
      <c r="I21">
        <f>VLOOKUP(H21,[1]products!$B:$D,3,0)</f>
        <v>6</v>
      </c>
      <c r="J21" t="str">
        <f>VLOOKUP(I21,[2]categories!$A$2:$B$8,2,0)</f>
        <v>Mountain Bikes</v>
      </c>
    </row>
    <row r="22" spans="1:10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 s="1">
        <f t="shared" si="0"/>
        <v>772.2</v>
      </c>
      <c r="H22" t="str">
        <f>VLOOKUP(C22,[1]products!$A:$B,2,0)</f>
        <v>Pure Cycles Vine 8-Speed - 2016</v>
      </c>
      <c r="I22">
        <f>VLOOKUP(H22,[1]products!$B:$D,3,0)</f>
        <v>3</v>
      </c>
      <c r="J22" t="str">
        <f>VLOOKUP(I22,[2]categories!$A$2:$B$8,2,0)</f>
        <v>Cruisers Bicycles</v>
      </c>
    </row>
    <row r="23" spans="1:10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 s="1">
        <f t="shared" si="0"/>
        <v>256.4905</v>
      </c>
      <c r="H23" t="str">
        <f>VLOOKUP(C23,[1]products!$A:$B,2,0)</f>
        <v>Electra Girl's Hawaii 1 (16-inch) - 2015/2016</v>
      </c>
      <c r="I23">
        <f>VLOOKUP(H23,[1]products!$B:$D,3,0)</f>
        <v>3</v>
      </c>
      <c r="J23" t="str">
        <f>VLOOKUP(I23,[2]categories!$A$2:$B$8,2,0)</f>
        <v>Cruisers Bicycles</v>
      </c>
    </row>
    <row r="24" spans="1:10">
      <c r="A24">
        <v>8</v>
      </c>
      <c r="B24">
        <v>2</v>
      </c>
      <c r="C24">
        <v>20</v>
      </c>
      <c r="D24">
        <v>2</v>
      </c>
      <c r="E24">
        <v>599.99</v>
      </c>
      <c r="F24">
        <v>0.07</v>
      </c>
      <c r="G24" s="1">
        <f t="shared" si="0"/>
        <v>1115.9814</v>
      </c>
      <c r="H24" t="str">
        <f>VLOOKUP(C24,[1]products!$A:$B,2,0)</f>
        <v>Electra Townie Original 7D EQ - Women's - 2016</v>
      </c>
      <c r="I24">
        <f>VLOOKUP(H24,[1]products!$B:$D,3,0)</f>
        <v>3</v>
      </c>
      <c r="J24" t="str">
        <f>VLOOKUP(I24,[2]categories!$A$2:$B$8,2,0)</f>
        <v>Cruisers Bicycles</v>
      </c>
    </row>
    <row r="25" spans="1:10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 s="1">
        <f t="shared" si="0"/>
        <v>7199.982</v>
      </c>
      <c r="H25" t="str">
        <f>VLOOKUP(C25,[1]products!$A:$B,2,0)</f>
        <v>Trek Slash 8 27.5 - 2016</v>
      </c>
      <c r="I25">
        <f>VLOOKUP(H25,[1]products!$B:$D,3,0)</f>
        <v>6</v>
      </c>
      <c r="J25" t="str">
        <f>VLOOKUP(I25,[2]categories!$A$2:$B$8,2,0)</f>
        <v>Mountain Bikes</v>
      </c>
    </row>
    <row r="26" spans="1:10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 s="1">
        <f t="shared" si="0"/>
        <v>242.991</v>
      </c>
      <c r="H26" t="str">
        <f>VLOOKUP(C26,[1]products!$A:$B,2,0)</f>
        <v>Electra Girl's Hawaii 1 (16-inch) - 2015/2016</v>
      </c>
      <c r="I26">
        <f>VLOOKUP(H26,[1]products!$B:$D,3,0)</f>
        <v>3</v>
      </c>
      <c r="J26" t="str">
        <f>VLOOKUP(I26,[2]categories!$A$2:$B$8,2,0)</f>
        <v>Cruisers Bicycles</v>
      </c>
    </row>
    <row r="27" spans="1:10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 s="1">
        <f t="shared" si="0"/>
        <v>1709.9905</v>
      </c>
      <c r="H27" t="str">
        <f>VLOOKUP(C27,[1]products!$A:$B,2,0)</f>
        <v>Trek Remedy 29 Carbon Frameset - 2016</v>
      </c>
      <c r="I27">
        <f>VLOOKUP(H27,[1]products!$B:$D,3,0)</f>
        <v>6</v>
      </c>
      <c r="J27" t="str">
        <f>VLOOKUP(I27,[2]categories!$A$2:$B$8,2,0)</f>
        <v>Mountain Bikes</v>
      </c>
    </row>
    <row r="28" spans="1:10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 s="1">
        <f t="shared" si="0"/>
        <v>485.982</v>
      </c>
      <c r="H28" t="str">
        <f>VLOOKUP(C28,[1]products!$A:$B,2,0)</f>
        <v>Electra Girl's Hawaii 1 (16-inch) - 2015/2016</v>
      </c>
      <c r="I28">
        <f>VLOOKUP(H28,[1]products!$B:$D,3,0)</f>
        <v>3</v>
      </c>
      <c r="J28" t="str">
        <f>VLOOKUP(I28,[2]categories!$A$2:$B$8,2,0)</f>
        <v>Cruisers Bicycles</v>
      </c>
    </row>
    <row r="29" spans="1:10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 s="1">
        <f t="shared" si="0"/>
        <v>959.984</v>
      </c>
      <c r="H29" t="str">
        <f>VLOOKUP(C29,[1]products!$A:$B,2,0)</f>
        <v>Electra Townie Original 7D EQ - 2016</v>
      </c>
      <c r="I29">
        <f>VLOOKUP(H29,[1]products!$B:$D,3,0)</f>
        <v>3</v>
      </c>
      <c r="J29" t="str">
        <f>VLOOKUP(I29,[2]categories!$A$2:$B$8,2,0)</f>
        <v>Cruisers Bicycles</v>
      </c>
    </row>
    <row r="30" spans="1:10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 s="1">
        <f t="shared" si="0"/>
        <v>5219.982</v>
      </c>
      <c r="H30" t="str">
        <f>VLOOKUP(C30,[1]products!$A:$B,2,0)</f>
        <v>Trek Fuel EX 8 29 - 2016</v>
      </c>
      <c r="I30">
        <f>VLOOKUP(H30,[1]products!$B:$D,3,0)</f>
        <v>6</v>
      </c>
      <c r="J30" t="str">
        <f>VLOOKUP(I30,[2]categories!$A$2:$B$8,2,0)</f>
        <v>Mountain Bikes</v>
      </c>
    </row>
    <row r="31" spans="1:10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 s="1">
        <f t="shared" si="0"/>
        <v>1596.9405</v>
      </c>
      <c r="H31" t="str">
        <f>VLOOKUP(C31,[1]products!$A:$B,2,0)</f>
        <v>Surly Straggler 650b - 2016</v>
      </c>
      <c r="I31">
        <f>VLOOKUP(H31,[1]products!$B:$D,3,0)</f>
        <v>4</v>
      </c>
      <c r="J31" t="str">
        <f>VLOOKUP(I31,[2]categories!$A$2:$B$8,2,0)</f>
        <v>Cyclocross Bicycles</v>
      </c>
    </row>
    <row r="32" spans="1:10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 s="1">
        <f t="shared" si="0"/>
        <v>242.991</v>
      </c>
      <c r="H32" t="str">
        <f>VLOOKUP(C32,[1]products!$A:$B,2,0)</f>
        <v>Electra Cruiser 1 (24-Inch) - 2016</v>
      </c>
      <c r="I32">
        <f>VLOOKUP(H32,[1]products!$B:$D,3,0)</f>
        <v>3</v>
      </c>
      <c r="J32" t="str">
        <f>VLOOKUP(I32,[2]categories!$A$2:$B$8,2,0)</f>
        <v>Cruisers Bicycles</v>
      </c>
    </row>
    <row r="33" spans="1:10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 s="1">
        <f t="shared" si="0"/>
        <v>815.1</v>
      </c>
      <c r="H33" t="str">
        <f>VLOOKUP(C33,[1]products!$A:$B,2,0)</f>
        <v>Pure Cycles Vine 8-Speed - 2016</v>
      </c>
      <c r="I33">
        <f>VLOOKUP(H33,[1]products!$B:$D,3,0)</f>
        <v>3</v>
      </c>
      <c r="J33" t="str">
        <f>VLOOKUP(I33,[2]categories!$A$2:$B$8,2,0)</f>
        <v>Cruisers Bicycles</v>
      </c>
    </row>
    <row r="34" spans="1:10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 s="1">
        <f t="shared" si="0"/>
        <v>1079.982</v>
      </c>
      <c r="H34" t="str">
        <f>VLOOKUP(C34,[1]products!$A:$B,2,0)</f>
        <v>Electra Townie Original 7D EQ - Women's - 2016</v>
      </c>
      <c r="I34">
        <f>VLOOKUP(H34,[1]products!$B:$D,3,0)</f>
        <v>3</v>
      </c>
      <c r="J34" t="str">
        <f>VLOOKUP(I34,[2]categories!$A$2:$B$8,2,0)</f>
        <v>Cruisers Bicycles</v>
      </c>
    </row>
    <row r="35" spans="1:10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 s="1">
        <f t="shared" si="0"/>
        <v>1139.981</v>
      </c>
      <c r="H35" t="str">
        <f>VLOOKUP(C35,[1]products!$A:$B,2,0)</f>
        <v>Electra Townie Original 7D EQ - 2016</v>
      </c>
      <c r="I35">
        <f>VLOOKUP(H35,[1]products!$B:$D,3,0)</f>
        <v>3</v>
      </c>
      <c r="J35" t="str">
        <f>VLOOKUP(I35,[2]categories!$A$2:$B$8,2,0)</f>
        <v>Cruisers Bicycles</v>
      </c>
    </row>
    <row r="36" spans="1:10">
      <c r="A36">
        <v>14</v>
      </c>
      <c r="B36">
        <v>1</v>
      </c>
      <c r="C36">
        <v>6</v>
      </c>
      <c r="D36">
        <v>1</v>
      </c>
      <c r="E36">
        <v>469.99</v>
      </c>
      <c r="F36">
        <v>0.07</v>
      </c>
      <c r="G36" s="1">
        <f t="shared" si="0"/>
        <v>437.0907</v>
      </c>
      <c r="H36" t="str">
        <f>VLOOKUP(C36,[1]products!$A:$B,2,0)</f>
        <v>Surly Ice Cream Truck Frameset - 2016</v>
      </c>
      <c r="I36">
        <f>VLOOKUP(H36,[1]products!$B:$D,3,0)</f>
        <v>6</v>
      </c>
      <c r="J36" t="str">
        <f>VLOOKUP(I36,[2]categories!$A$2:$B$8,2,0)</f>
        <v>Mountain Bikes</v>
      </c>
    </row>
    <row r="37" spans="1:10">
      <c r="A37">
        <v>15</v>
      </c>
      <c r="B37">
        <v>1</v>
      </c>
      <c r="C37">
        <v>12</v>
      </c>
      <c r="D37">
        <v>2</v>
      </c>
      <c r="E37">
        <v>549.99</v>
      </c>
      <c r="F37">
        <v>0.07</v>
      </c>
      <c r="G37" s="1">
        <f t="shared" si="0"/>
        <v>1022.9814</v>
      </c>
      <c r="H37" t="str">
        <f>VLOOKUP(C37,[1]products!$A:$B,2,0)</f>
        <v>Electra Townie Original 21D - 2016</v>
      </c>
      <c r="I37">
        <f>VLOOKUP(H37,[1]products!$B:$D,3,0)</f>
        <v>3</v>
      </c>
      <c r="J37" t="str">
        <f>VLOOKUP(I37,[2]categories!$A$2:$B$8,2,0)</f>
        <v>Cruisers Bicycles</v>
      </c>
    </row>
    <row r="38" spans="1:10">
      <c r="A38">
        <v>15</v>
      </c>
      <c r="B38">
        <v>2</v>
      </c>
      <c r="C38">
        <v>8</v>
      </c>
      <c r="D38">
        <v>1</v>
      </c>
      <c r="E38">
        <v>1799.99</v>
      </c>
      <c r="F38">
        <v>0.07</v>
      </c>
      <c r="G38" s="1">
        <f t="shared" si="0"/>
        <v>1673.9907</v>
      </c>
      <c r="H38" t="str">
        <f>VLOOKUP(C38,[1]products!$A:$B,2,0)</f>
        <v>Trek Remedy 29 Carbon Frameset - 2016</v>
      </c>
      <c r="I38">
        <f>VLOOKUP(H38,[1]products!$B:$D,3,0)</f>
        <v>6</v>
      </c>
      <c r="J38" t="str">
        <f>VLOOKUP(I38,[2]categories!$A$2:$B$8,2,0)</f>
        <v>Mountain Bikes</v>
      </c>
    </row>
    <row r="39" spans="1:10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 s="1">
        <f t="shared" si="0"/>
        <v>853.1</v>
      </c>
      <c r="H39" t="str">
        <f>VLOOKUP(C39,[1]products!$A:$B,2,0)</f>
        <v>Pure Cycles Western 3-Speed - Women's - 2015/2016</v>
      </c>
      <c r="I39">
        <f>VLOOKUP(H39,[1]products!$B:$D,3,0)</f>
        <v>3</v>
      </c>
      <c r="J39" t="str">
        <f>VLOOKUP(I39,[2]categories!$A$2:$B$8,2,0)</f>
        <v>Cruisers Bicycles</v>
      </c>
    </row>
    <row r="40" spans="1:10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 s="1">
        <f t="shared" si="0"/>
        <v>479.984</v>
      </c>
      <c r="H40" t="str">
        <f>VLOOKUP(C40,[1]products!$A:$B,2,0)</f>
        <v>Electra Girl's Hawaii 1 (20-inch) - 2015/2016</v>
      </c>
      <c r="I40">
        <f>VLOOKUP(H40,[1]products!$B:$D,3,0)</f>
        <v>1</v>
      </c>
      <c r="J40" t="str">
        <f>VLOOKUP(I40,[2]categories!$A$2:$B$8,2,0)</f>
        <v>Children Bicycles</v>
      </c>
    </row>
    <row r="41" spans="1:10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 s="1">
        <f t="shared" si="0"/>
        <v>1439.992</v>
      </c>
      <c r="H41" t="str">
        <f>VLOOKUP(C41,[1]products!$A:$B,2,0)</f>
        <v>Trek Remedy 29 Carbon Frameset - 2016</v>
      </c>
      <c r="I41">
        <f>VLOOKUP(H41,[1]products!$B:$D,3,0)</f>
        <v>6</v>
      </c>
      <c r="J41" t="str">
        <f>VLOOKUP(I41,[2]categories!$A$2:$B$8,2,0)</f>
        <v>Mountain Bikes</v>
      </c>
    </row>
    <row r="42" spans="1:10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 s="1">
        <f t="shared" si="0"/>
        <v>256.4905</v>
      </c>
      <c r="H42" t="str">
        <f>VLOOKUP(C42,[1]products!$A:$B,2,0)</f>
        <v>Electra Cruiser 1 (24-Inch) - 2016</v>
      </c>
      <c r="I42">
        <f>VLOOKUP(H42,[1]products!$B:$D,3,0)</f>
        <v>3</v>
      </c>
      <c r="J42" t="str">
        <f>VLOOKUP(I42,[2]categories!$A$2:$B$8,2,0)</f>
        <v>Cruisers Bicycles</v>
      </c>
    </row>
    <row r="43" spans="1:10">
      <c r="A43">
        <v>16</v>
      </c>
      <c r="B43">
        <v>3</v>
      </c>
      <c r="C43">
        <v>13</v>
      </c>
      <c r="D43">
        <v>2</v>
      </c>
      <c r="E43">
        <v>269.99</v>
      </c>
      <c r="F43">
        <v>0.07</v>
      </c>
      <c r="G43" s="1">
        <f t="shared" si="0"/>
        <v>502.1814</v>
      </c>
      <c r="H43" t="str">
        <f>VLOOKUP(C43,[1]products!$A:$B,2,0)</f>
        <v>Electra Cruiser 1 (24-Inch) - 2016</v>
      </c>
      <c r="I43">
        <f>VLOOKUP(H43,[1]products!$B:$D,3,0)</f>
        <v>3</v>
      </c>
      <c r="J43" t="str">
        <f>VLOOKUP(I43,[2]categories!$A$2:$B$8,2,0)</f>
        <v>Cruisers Bicycles</v>
      </c>
    </row>
    <row r="44" spans="1:10">
      <c r="A44">
        <v>16</v>
      </c>
      <c r="B44">
        <v>4</v>
      </c>
      <c r="C44">
        <v>14</v>
      </c>
      <c r="D44">
        <v>1</v>
      </c>
      <c r="E44">
        <v>269.99</v>
      </c>
      <c r="F44">
        <v>0.07</v>
      </c>
      <c r="G44" s="1">
        <f t="shared" si="0"/>
        <v>251.0907</v>
      </c>
      <c r="H44" t="str">
        <f>VLOOKUP(C44,[1]products!$A:$B,2,0)</f>
        <v>Electra Girl's Hawaii 1 (16-inch) - 2015/2016</v>
      </c>
      <c r="I44">
        <f>VLOOKUP(H44,[1]products!$B:$D,3,0)</f>
        <v>3</v>
      </c>
      <c r="J44" t="str">
        <f>VLOOKUP(I44,[2]categories!$A$2:$B$8,2,0)</f>
        <v>Cruisers Bicycles</v>
      </c>
    </row>
    <row r="45" spans="1:10">
      <c r="A45">
        <v>17</v>
      </c>
      <c r="B45">
        <v>1</v>
      </c>
      <c r="C45">
        <v>8</v>
      </c>
      <c r="D45">
        <v>1</v>
      </c>
      <c r="E45">
        <v>1799.99</v>
      </c>
      <c r="F45">
        <v>0.07</v>
      </c>
      <c r="G45" s="1">
        <f t="shared" si="0"/>
        <v>1673.9907</v>
      </c>
      <c r="H45" t="str">
        <f>VLOOKUP(C45,[1]products!$A:$B,2,0)</f>
        <v>Trek Remedy 29 Carbon Frameset - 2016</v>
      </c>
      <c r="I45">
        <f>VLOOKUP(H45,[1]products!$B:$D,3,0)</f>
        <v>6</v>
      </c>
      <c r="J45" t="str">
        <f>VLOOKUP(I45,[2]categories!$A$2:$B$8,2,0)</f>
        <v>Mountain Bikes</v>
      </c>
    </row>
    <row r="46" spans="1:10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 s="1">
        <f t="shared" si="0"/>
        <v>269.991</v>
      </c>
      <c r="H46" t="str">
        <f>VLOOKUP(C46,[1]products!$A:$B,2,0)</f>
        <v>Electra Girl's Hawaii 1 (20-inch) - 2015/2016</v>
      </c>
      <c r="I46">
        <f>VLOOKUP(H46,[1]products!$B:$D,3,0)</f>
        <v>1</v>
      </c>
      <c r="J46" t="str">
        <f>VLOOKUP(I46,[2]categories!$A$2:$B$8,2,0)</f>
        <v>Children Bicycles</v>
      </c>
    </row>
    <row r="47" spans="1:10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 s="1">
        <f t="shared" si="0"/>
        <v>1188.891</v>
      </c>
      <c r="H47" t="str">
        <f>VLOOKUP(C47,[1]products!$A:$B,2,0)</f>
        <v>Heller Shagamaw Frame - 2016</v>
      </c>
      <c r="I47">
        <f>VLOOKUP(H47,[1]products!$B:$D,3,0)</f>
        <v>6</v>
      </c>
      <c r="J47" t="str">
        <f>VLOOKUP(I47,[2]categories!$A$2:$B$8,2,0)</f>
        <v>Mountain Bikes</v>
      </c>
    </row>
    <row r="48" spans="1:10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 s="1">
        <f t="shared" si="0"/>
        <v>959.984</v>
      </c>
      <c r="H48" t="str">
        <f>VLOOKUP(C48,[1]products!$A:$B,2,0)</f>
        <v>Electra Townie Original 7D EQ - Women's - 2016</v>
      </c>
      <c r="I48">
        <f>VLOOKUP(H48,[1]products!$B:$D,3,0)</f>
        <v>3</v>
      </c>
      <c r="J48" t="str">
        <f>VLOOKUP(I48,[2]categories!$A$2:$B$8,2,0)</f>
        <v>Cruisers Bicycles</v>
      </c>
    </row>
    <row r="49" spans="1:10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 s="1">
        <f t="shared" si="0"/>
        <v>1199.984</v>
      </c>
      <c r="H49" t="str">
        <f>VLOOKUP(C49,[1]products!$A:$B,2,0)</f>
        <v>Ritchey Timberwolf Frameset - 2016</v>
      </c>
      <c r="I49">
        <f>VLOOKUP(H49,[1]products!$B:$D,3,0)</f>
        <v>6</v>
      </c>
      <c r="J49" t="str">
        <f>VLOOKUP(I49,[2]categories!$A$2:$B$8,2,0)</f>
        <v>Mountain Bikes</v>
      </c>
    </row>
    <row r="50" spans="1:10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 s="1">
        <f t="shared" si="0"/>
        <v>256.4905</v>
      </c>
      <c r="H50" t="str">
        <f>VLOOKUP(C50,[1]products!$A:$B,2,0)</f>
        <v>Electra Girl's Hawaii 1 (16-inch) - 2015/2016</v>
      </c>
      <c r="I50">
        <f>VLOOKUP(H50,[1]products!$B:$D,3,0)</f>
        <v>3</v>
      </c>
      <c r="J50" t="str">
        <f>VLOOKUP(I50,[2]categories!$A$2:$B$8,2,0)</f>
        <v>Cruisers Bicycles</v>
      </c>
    </row>
    <row r="51" spans="1:10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 s="1">
        <f t="shared" si="0"/>
        <v>3599.991</v>
      </c>
      <c r="H51" t="str">
        <f>VLOOKUP(C51,[1]products!$A:$B,2,0)</f>
        <v>Trek Slash 8 27.5 - 2016</v>
      </c>
      <c r="I51">
        <f>VLOOKUP(H51,[1]products!$B:$D,3,0)</f>
        <v>6</v>
      </c>
      <c r="J51" t="str">
        <f>VLOOKUP(I51,[2]categories!$A$2:$B$8,2,0)</f>
        <v>Mountain Bikes</v>
      </c>
    </row>
    <row r="52" spans="1:10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 s="1">
        <f t="shared" si="0"/>
        <v>949.981</v>
      </c>
      <c r="H52" t="str">
        <f>VLOOKUP(C52,[1]products!$A:$B,2,0)</f>
        <v>Electra Townie Original 7D - 2015/2016</v>
      </c>
      <c r="I52">
        <f>VLOOKUP(H52,[1]products!$B:$D,3,0)</f>
        <v>2</v>
      </c>
      <c r="J52" t="str">
        <f>VLOOKUP(I52,[2]categories!$A$2:$B$8,2,0)</f>
        <v>Comfort Bicycles</v>
      </c>
    </row>
    <row r="53" spans="1:10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 s="1">
        <f t="shared" si="0"/>
        <v>5399.982</v>
      </c>
      <c r="H53" t="str">
        <f>VLOOKUP(C53,[1]products!$A:$B,2,0)</f>
        <v>Trek Conduit+ - 2016</v>
      </c>
      <c r="I53">
        <f>VLOOKUP(H53,[1]products!$B:$D,3,0)</f>
        <v>5</v>
      </c>
      <c r="J53" t="str">
        <f>VLOOKUP(I53,[2]categories!$A$2:$B$8,2,0)</f>
        <v>Electric Bikes</v>
      </c>
    </row>
    <row r="54" spans="1:10">
      <c r="A54">
        <v>19</v>
      </c>
      <c r="B54">
        <v>1</v>
      </c>
      <c r="C54">
        <v>10</v>
      </c>
      <c r="D54">
        <v>1</v>
      </c>
      <c r="E54">
        <v>1549</v>
      </c>
      <c r="F54">
        <v>0.07</v>
      </c>
      <c r="G54" s="1">
        <f t="shared" si="0"/>
        <v>1440.57</v>
      </c>
      <c r="H54" t="str">
        <f>VLOOKUP(C54,[1]products!$A:$B,2,0)</f>
        <v>Surly Straggler - 2016</v>
      </c>
      <c r="I54">
        <f>VLOOKUP(H54,[1]products!$B:$D,3,0)</f>
        <v>4</v>
      </c>
      <c r="J54" t="str">
        <f>VLOOKUP(I54,[2]categories!$A$2:$B$8,2,0)</f>
        <v>Cyclocross Bicycles</v>
      </c>
    </row>
    <row r="55" spans="1:10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 s="1">
        <f t="shared" si="0"/>
        <v>4799.984</v>
      </c>
      <c r="H55" t="str">
        <f>VLOOKUP(C55,[1]products!$A:$B,2,0)</f>
        <v>Trek Conduit+ - 2016</v>
      </c>
      <c r="I55">
        <f>VLOOKUP(H55,[1]products!$B:$D,3,0)</f>
        <v>5</v>
      </c>
      <c r="J55" t="str">
        <f>VLOOKUP(I55,[2]categories!$A$2:$B$8,2,0)</f>
        <v>Electric Bikes</v>
      </c>
    </row>
    <row r="56" spans="1:10">
      <c r="A56">
        <v>20</v>
      </c>
      <c r="B56">
        <v>1</v>
      </c>
      <c r="C56">
        <v>9</v>
      </c>
      <c r="D56">
        <v>1</v>
      </c>
      <c r="E56">
        <v>2999.99</v>
      </c>
      <c r="F56">
        <v>0.07</v>
      </c>
      <c r="G56" s="1">
        <f t="shared" si="0"/>
        <v>2789.9907</v>
      </c>
      <c r="H56" t="str">
        <f>VLOOKUP(C56,[1]products!$A:$B,2,0)</f>
        <v>Trek Conduit+ - 2016</v>
      </c>
      <c r="I56">
        <f>VLOOKUP(H56,[1]products!$B:$D,3,0)</f>
        <v>5</v>
      </c>
      <c r="J56" t="str">
        <f>VLOOKUP(I56,[2]categories!$A$2:$B$8,2,0)</f>
        <v>Electric Bikes</v>
      </c>
    </row>
    <row r="57" spans="1:10">
      <c r="A57">
        <v>20</v>
      </c>
      <c r="B57">
        <v>2</v>
      </c>
      <c r="C57">
        <v>10</v>
      </c>
      <c r="D57">
        <v>2</v>
      </c>
      <c r="E57">
        <v>1549</v>
      </c>
      <c r="F57">
        <v>0.07</v>
      </c>
      <c r="G57" s="1">
        <f t="shared" si="0"/>
        <v>2881.14</v>
      </c>
      <c r="H57" t="str">
        <f>VLOOKUP(C57,[1]products!$A:$B,2,0)</f>
        <v>Surly Straggler - 2016</v>
      </c>
      <c r="I57">
        <f>VLOOKUP(H57,[1]products!$B:$D,3,0)</f>
        <v>4</v>
      </c>
      <c r="J57" t="str">
        <f>VLOOKUP(I57,[2]categories!$A$2:$B$8,2,0)</f>
        <v>Cyclocross Bicycles</v>
      </c>
    </row>
    <row r="58" spans="1:10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 s="1">
        <f t="shared" si="0"/>
        <v>256.4905</v>
      </c>
      <c r="H58" t="str">
        <f>VLOOKUP(C58,[1]products!$A:$B,2,0)</f>
        <v>Electra Girl's Hawaii 1 (16-inch) - 2015/2016</v>
      </c>
      <c r="I58">
        <f>VLOOKUP(H58,[1]products!$B:$D,3,0)</f>
        <v>3</v>
      </c>
      <c r="J58" t="str">
        <f>VLOOKUP(I58,[2]categories!$A$2:$B$8,2,0)</f>
        <v>Cruisers Bicycles</v>
      </c>
    </row>
    <row r="59" spans="1:10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 s="1">
        <f t="shared" si="0"/>
        <v>386.1</v>
      </c>
      <c r="H59" t="str">
        <f>VLOOKUP(C59,[1]products!$A:$B,2,0)</f>
        <v>Pure Cycles Vine 8-Speed - 2016</v>
      </c>
      <c r="I59">
        <f>VLOOKUP(H59,[1]products!$B:$D,3,0)</f>
        <v>3</v>
      </c>
      <c r="J59" t="str">
        <f>VLOOKUP(I59,[2]categories!$A$2:$B$8,2,0)</f>
        <v>Cruisers Bicycles</v>
      </c>
    </row>
    <row r="60" spans="1:10">
      <c r="A60">
        <v>21</v>
      </c>
      <c r="B60">
        <v>3</v>
      </c>
      <c r="C60">
        <v>10</v>
      </c>
      <c r="D60">
        <v>1</v>
      </c>
      <c r="E60">
        <v>1549</v>
      </c>
      <c r="F60">
        <v>0.07</v>
      </c>
      <c r="G60" s="1">
        <f t="shared" si="0"/>
        <v>1440.57</v>
      </c>
      <c r="H60" t="str">
        <f>VLOOKUP(C60,[1]products!$A:$B,2,0)</f>
        <v>Surly Straggler - 2016</v>
      </c>
      <c r="I60">
        <f>VLOOKUP(H60,[1]products!$B:$D,3,0)</f>
        <v>4</v>
      </c>
      <c r="J60" t="str">
        <f>VLOOKUP(I60,[2]categories!$A$2:$B$8,2,0)</f>
        <v>Cyclocross Bicycles</v>
      </c>
    </row>
    <row r="61" spans="1:10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 s="1">
        <f t="shared" si="0"/>
        <v>847.984</v>
      </c>
      <c r="H61" t="str">
        <f>VLOOKUP(C61,[1]products!$A:$B,2,0)</f>
        <v>Electra Moto 1 - 2016</v>
      </c>
      <c r="I61">
        <f>VLOOKUP(H61,[1]products!$B:$D,3,0)</f>
        <v>3</v>
      </c>
      <c r="J61" t="str">
        <f>VLOOKUP(I61,[2]categories!$A$2:$B$8,2,0)</f>
        <v>Cruisers Bicycles</v>
      </c>
    </row>
    <row r="62" spans="1:10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 s="1">
        <f t="shared" si="0"/>
        <v>256.4905</v>
      </c>
      <c r="H62" t="str">
        <f>VLOOKUP(C62,[1]products!$A:$B,2,0)</f>
        <v>Electra Girl's Hawaii 1 (16-inch) - 2015/2016</v>
      </c>
      <c r="I62">
        <f>VLOOKUP(H62,[1]products!$B:$D,3,0)</f>
        <v>3</v>
      </c>
      <c r="J62" t="str">
        <f>VLOOKUP(I62,[2]categories!$A$2:$B$8,2,0)</f>
        <v>Cruisers Bicycles</v>
      </c>
    </row>
    <row r="63" spans="1:10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 s="1">
        <f t="shared" si="0"/>
        <v>5509.981</v>
      </c>
      <c r="H63" t="str">
        <f>VLOOKUP(C63,[1]products!$A:$B,2,0)</f>
        <v>Trek Fuel EX 8 29 - 2016</v>
      </c>
      <c r="I63">
        <f>VLOOKUP(H63,[1]products!$B:$D,3,0)</f>
        <v>6</v>
      </c>
      <c r="J63" t="str">
        <f>VLOOKUP(I63,[2]categories!$A$2:$B$8,2,0)</f>
        <v>Mountain Bikes</v>
      </c>
    </row>
    <row r="64" spans="1:10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 s="1">
        <f t="shared" si="0"/>
        <v>539.982</v>
      </c>
      <c r="H64" t="str">
        <f>VLOOKUP(C64,[1]products!$A:$B,2,0)</f>
        <v>Electra Girl's Hawaii 1 (20-inch) - 2015/2016</v>
      </c>
      <c r="I64">
        <f>VLOOKUP(H64,[1]products!$B:$D,3,0)</f>
        <v>1</v>
      </c>
      <c r="J64" t="str">
        <f>VLOOKUP(I64,[2]categories!$A$2:$B$8,2,0)</f>
        <v>Children Bicycles</v>
      </c>
    </row>
    <row r="65" spans="1:10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 s="1">
        <f t="shared" si="0"/>
        <v>215.992</v>
      </c>
      <c r="H65" t="str">
        <f>VLOOKUP(C65,[1]products!$A:$B,2,0)</f>
        <v>Electra Cruiser 1 (24-Inch) - 2016</v>
      </c>
      <c r="I65">
        <f>VLOOKUP(H65,[1]products!$B:$D,3,0)</f>
        <v>3</v>
      </c>
      <c r="J65" t="str">
        <f>VLOOKUP(I65,[2]categories!$A$2:$B$8,2,0)</f>
        <v>Cruisers Bicycles</v>
      </c>
    </row>
    <row r="66" spans="1:10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 s="1">
        <f t="shared" ref="G66:G129" si="1">D66*E66*(1-F66)</f>
        <v>1799.982</v>
      </c>
      <c r="H66" t="str">
        <f>VLOOKUP(C66,[1]products!$A:$B,2,0)</f>
        <v>Surly Wednesday Frameset - 2016</v>
      </c>
      <c r="I66">
        <f>VLOOKUP(H66,[1]products!$B:$D,3,0)</f>
        <v>6</v>
      </c>
      <c r="J66" t="str">
        <f>VLOOKUP(I66,[2]categories!$A$2:$B$8,2,0)</f>
        <v>Mountain Bikes</v>
      </c>
    </row>
    <row r="67" spans="1:10">
      <c r="A67">
        <v>24</v>
      </c>
      <c r="B67">
        <v>2</v>
      </c>
      <c r="C67">
        <v>18</v>
      </c>
      <c r="D67">
        <v>2</v>
      </c>
      <c r="E67">
        <v>449</v>
      </c>
      <c r="F67">
        <v>0.07</v>
      </c>
      <c r="G67" s="1">
        <f t="shared" si="1"/>
        <v>835.14</v>
      </c>
      <c r="H67" t="str">
        <f>VLOOKUP(C67,[1]products!$A:$B,2,0)</f>
        <v>Pure Cycles Western 3-Speed - Women's - 2015/2016</v>
      </c>
      <c r="I67">
        <f>VLOOKUP(H67,[1]products!$B:$D,3,0)</f>
        <v>3</v>
      </c>
      <c r="J67" t="str">
        <f>VLOOKUP(I67,[2]categories!$A$2:$B$8,2,0)</f>
        <v>Cruisers Bicycles</v>
      </c>
    </row>
    <row r="68" spans="1:10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 s="1">
        <f t="shared" si="1"/>
        <v>479.984</v>
      </c>
      <c r="H68" t="str">
        <f>VLOOKUP(C68,[1]products!$A:$B,2,0)</f>
        <v>Electra Girl's Hawaii 1 (20-inch) - 2015/2016</v>
      </c>
      <c r="I68">
        <f>VLOOKUP(H68,[1]products!$B:$D,3,0)</f>
        <v>1</v>
      </c>
      <c r="J68" t="str">
        <f>VLOOKUP(I68,[2]categories!$A$2:$B$8,2,0)</f>
        <v>Children Bicycles</v>
      </c>
    </row>
    <row r="69" spans="1:10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 s="1">
        <f t="shared" si="1"/>
        <v>2478.4</v>
      </c>
      <c r="H69" t="str">
        <f>VLOOKUP(C69,[1]products!$A:$B,2,0)</f>
        <v>Surly Straggler - 2016</v>
      </c>
      <c r="I69">
        <f>VLOOKUP(H69,[1]products!$B:$D,3,0)</f>
        <v>4</v>
      </c>
      <c r="J69" t="str">
        <f>VLOOKUP(I69,[2]categories!$A$2:$B$8,2,0)</f>
        <v>Cyclocross Bicycles</v>
      </c>
    </row>
    <row r="70" spans="1:10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 s="1">
        <f t="shared" si="1"/>
        <v>215.992</v>
      </c>
      <c r="H70" t="str">
        <f>VLOOKUP(C70,[1]products!$A:$B,2,0)</f>
        <v>Electra Girl's Hawaii 1 (16-inch) - 2015/2016</v>
      </c>
      <c r="I70">
        <f>VLOOKUP(H70,[1]products!$B:$D,3,0)</f>
        <v>3</v>
      </c>
      <c r="J70" t="str">
        <f>VLOOKUP(I70,[2]categories!$A$2:$B$8,2,0)</f>
        <v>Cruisers Bicycles</v>
      </c>
    </row>
    <row r="71" spans="1:10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 s="1">
        <f t="shared" si="1"/>
        <v>215.992</v>
      </c>
      <c r="H71" t="str">
        <f>VLOOKUP(C71,[1]products!$A:$B,2,0)</f>
        <v>Electra Girl's Hawaii 1 (16-inch) - 2015/2016</v>
      </c>
      <c r="I71">
        <f>VLOOKUP(H71,[1]products!$B:$D,3,0)</f>
        <v>3</v>
      </c>
      <c r="J71" t="str">
        <f>VLOOKUP(I71,[2]categories!$A$2:$B$8,2,0)</f>
        <v>Cruisers Bicycles</v>
      </c>
    </row>
    <row r="72" spans="1:10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 s="1">
        <f t="shared" si="1"/>
        <v>242.991</v>
      </c>
      <c r="H72" t="str">
        <f>VLOOKUP(C72,[1]products!$A:$B,2,0)</f>
        <v>Electra Cruiser 1 (24-Inch) - 2016</v>
      </c>
      <c r="I72">
        <f>VLOOKUP(H72,[1]products!$B:$D,3,0)</f>
        <v>3</v>
      </c>
      <c r="J72" t="str">
        <f>VLOOKUP(I72,[2]categories!$A$2:$B$8,2,0)</f>
        <v>Cruisers Bicycles</v>
      </c>
    </row>
    <row r="73" spans="1:10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 s="1">
        <f t="shared" si="1"/>
        <v>3799.9905</v>
      </c>
      <c r="H73" t="str">
        <f>VLOOKUP(C73,[1]products!$A:$B,2,0)</f>
        <v>Trek Slash 8 27.5 - 2016</v>
      </c>
      <c r="I73">
        <f>VLOOKUP(H73,[1]products!$B:$D,3,0)</f>
        <v>6</v>
      </c>
      <c r="J73" t="str">
        <f>VLOOKUP(I73,[2]categories!$A$2:$B$8,2,0)</f>
        <v>Mountain Bikes</v>
      </c>
    </row>
    <row r="74" spans="1:10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 s="1">
        <f t="shared" si="1"/>
        <v>599.992</v>
      </c>
      <c r="H74" t="str">
        <f>VLOOKUP(C74,[1]products!$A:$B,2,0)</f>
        <v>Ritchey Timberwolf Frameset - 2016</v>
      </c>
      <c r="I74">
        <f>VLOOKUP(H74,[1]products!$B:$D,3,0)</f>
        <v>6</v>
      </c>
      <c r="J74" t="str">
        <f>VLOOKUP(I74,[2]categories!$A$2:$B$8,2,0)</f>
        <v>Mountain Bikes</v>
      </c>
    </row>
    <row r="75" spans="1:10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 s="1">
        <f t="shared" si="1"/>
        <v>439.992</v>
      </c>
      <c r="H75" t="str">
        <f>VLOOKUP(C75,[1]products!$A:$B,2,0)</f>
        <v>Electra Townie Original 21D - 2016</v>
      </c>
      <c r="I75">
        <f>VLOOKUP(H75,[1]products!$B:$D,3,0)</f>
        <v>3</v>
      </c>
      <c r="J75" t="str">
        <f>VLOOKUP(I75,[2]categories!$A$2:$B$8,2,0)</f>
        <v>Cruisers Bicycles</v>
      </c>
    </row>
    <row r="76" spans="1:10">
      <c r="A76">
        <v>26</v>
      </c>
      <c r="B76">
        <v>4</v>
      </c>
      <c r="C76">
        <v>21</v>
      </c>
      <c r="D76">
        <v>2</v>
      </c>
      <c r="E76">
        <v>269.99</v>
      </c>
      <c r="F76">
        <v>0.07</v>
      </c>
      <c r="G76" s="1">
        <f t="shared" si="1"/>
        <v>502.1814</v>
      </c>
      <c r="H76" t="str">
        <f>VLOOKUP(C76,[1]products!$A:$B,2,0)</f>
        <v>Electra Cruiser 1 (24-Inch) - 2016</v>
      </c>
      <c r="I76">
        <f>VLOOKUP(H76,[1]products!$B:$D,3,0)</f>
        <v>3</v>
      </c>
      <c r="J76" t="str">
        <f>VLOOKUP(I76,[2]categories!$A$2:$B$8,2,0)</f>
        <v>Cruisers Bicycles</v>
      </c>
    </row>
    <row r="77" spans="1:10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 s="1">
        <f t="shared" si="1"/>
        <v>1056.792</v>
      </c>
      <c r="H77" t="str">
        <f>VLOOKUP(C77,[1]products!$A:$B,2,0)</f>
        <v>Heller Shagamaw Frame - 2016</v>
      </c>
      <c r="I77">
        <f>VLOOKUP(H77,[1]products!$B:$D,3,0)</f>
        <v>6</v>
      </c>
      <c r="J77" t="str">
        <f>VLOOKUP(I77,[2]categories!$A$2:$B$8,2,0)</f>
        <v>Mountain Bikes</v>
      </c>
    </row>
    <row r="78" spans="1:10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 s="1">
        <f t="shared" si="1"/>
        <v>359.2</v>
      </c>
      <c r="H78" t="str">
        <f>VLOOKUP(C78,[1]products!$A:$B,2,0)</f>
        <v>Pure Cycles William 3-Speed - 2016</v>
      </c>
      <c r="I78">
        <f>VLOOKUP(H78,[1]products!$B:$D,3,0)</f>
        <v>3</v>
      </c>
      <c r="J78" t="str">
        <f>VLOOKUP(I78,[2]categories!$A$2:$B$8,2,0)</f>
        <v>Cruisers Bicycles</v>
      </c>
    </row>
    <row r="79" spans="1:10">
      <c r="A79">
        <v>27</v>
      </c>
      <c r="B79">
        <v>3</v>
      </c>
      <c r="C79">
        <v>26</v>
      </c>
      <c r="D79">
        <v>2</v>
      </c>
      <c r="E79">
        <v>599.99</v>
      </c>
      <c r="F79">
        <v>0.07</v>
      </c>
      <c r="G79" s="1">
        <f t="shared" si="1"/>
        <v>1115.9814</v>
      </c>
      <c r="H79" t="str">
        <f>VLOOKUP(C79,[1]products!$A:$B,2,0)</f>
        <v>Electra Townie Original 7D EQ - 2016</v>
      </c>
      <c r="I79">
        <f>VLOOKUP(H79,[1]products!$B:$D,3,0)</f>
        <v>3</v>
      </c>
      <c r="J79" t="str">
        <f>VLOOKUP(I79,[2]categories!$A$2:$B$8,2,0)</f>
        <v>Cruisers Bicycles</v>
      </c>
    </row>
    <row r="80" spans="1:10">
      <c r="A80">
        <v>27</v>
      </c>
      <c r="B80">
        <v>4</v>
      </c>
      <c r="C80">
        <v>8</v>
      </c>
      <c r="D80">
        <v>1</v>
      </c>
      <c r="E80">
        <v>1799.99</v>
      </c>
      <c r="F80">
        <v>0.07</v>
      </c>
      <c r="G80" s="1">
        <f t="shared" si="1"/>
        <v>1673.9907</v>
      </c>
      <c r="H80" t="str">
        <f>VLOOKUP(C80,[1]products!$A:$B,2,0)</f>
        <v>Trek Remedy 29 Carbon Frameset - 2016</v>
      </c>
      <c r="I80">
        <f>VLOOKUP(H80,[1]products!$B:$D,3,0)</f>
        <v>6</v>
      </c>
      <c r="J80" t="str">
        <f>VLOOKUP(I80,[2]categories!$A$2:$B$8,2,0)</f>
        <v>Mountain Bikes</v>
      </c>
    </row>
    <row r="81" spans="1:10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 s="1">
        <f t="shared" si="1"/>
        <v>1254.9405</v>
      </c>
      <c r="H81" t="str">
        <f>VLOOKUP(C81,[1]products!$A:$B,2,0)</f>
        <v>Heller Shagamaw Frame - 2016</v>
      </c>
      <c r="I81">
        <f>VLOOKUP(H81,[1]products!$B:$D,3,0)</f>
        <v>6</v>
      </c>
      <c r="J81" t="str">
        <f>VLOOKUP(I81,[2]categories!$A$2:$B$8,2,0)</f>
        <v>Mountain Bikes</v>
      </c>
    </row>
    <row r="82" spans="1:10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 s="1">
        <f t="shared" si="1"/>
        <v>6399.984</v>
      </c>
      <c r="H82" t="str">
        <f>VLOOKUP(C82,[1]products!$A:$B,2,0)</f>
        <v>Trek Slash 8 27.5 - 2016</v>
      </c>
      <c r="I82">
        <f>VLOOKUP(H82,[1]products!$B:$D,3,0)</f>
        <v>6</v>
      </c>
      <c r="J82" t="str">
        <f>VLOOKUP(I82,[2]categories!$A$2:$B$8,2,0)</f>
        <v>Mountain Bikes</v>
      </c>
    </row>
    <row r="83" spans="1:10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 s="1">
        <f t="shared" si="1"/>
        <v>485.982</v>
      </c>
      <c r="H83" t="str">
        <f>VLOOKUP(C83,[1]products!$A:$B,2,0)</f>
        <v>Electra Girl's Hawaii 1 (16-inch) - 2015/2016</v>
      </c>
      <c r="I83">
        <f>VLOOKUP(H83,[1]products!$B:$D,3,0)</f>
        <v>3</v>
      </c>
      <c r="J83" t="str">
        <f>VLOOKUP(I83,[2]categories!$A$2:$B$8,2,0)</f>
        <v>Cruisers Bicycles</v>
      </c>
    </row>
    <row r="84" spans="1:10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 s="1">
        <f t="shared" si="1"/>
        <v>446.4905</v>
      </c>
      <c r="H84" t="str">
        <f>VLOOKUP(C84,[1]products!$A:$B,2,0)</f>
        <v>Surly Ice Cream Truck Frameset - 2016</v>
      </c>
      <c r="I84">
        <f>VLOOKUP(H84,[1]products!$B:$D,3,0)</f>
        <v>6</v>
      </c>
      <c r="J84" t="str">
        <f>VLOOKUP(I84,[2]categories!$A$2:$B$8,2,0)</f>
        <v>Mountain Bikes</v>
      </c>
    </row>
    <row r="85" spans="1:10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 s="1">
        <f t="shared" si="1"/>
        <v>1044.981</v>
      </c>
      <c r="H85" t="str">
        <f>VLOOKUP(C85,[1]products!$A:$B,2,0)</f>
        <v>Electra Townie Original 21D - 2016</v>
      </c>
      <c r="I85">
        <f>VLOOKUP(H85,[1]products!$B:$D,3,0)</f>
        <v>3</v>
      </c>
      <c r="J85" t="str">
        <f>VLOOKUP(I85,[2]categories!$A$2:$B$8,2,0)</f>
        <v>Cruisers Bicycles</v>
      </c>
    </row>
    <row r="86" spans="1:10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 s="1">
        <f t="shared" si="1"/>
        <v>375.992</v>
      </c>
      <c r="H86" t="str">
        <f>VLOOKUP(C86,[1]products!$A:$B,2,0)</f>
        <v>Surly Ice Cream Truck Frameset - 2016</v>
      </c>
      <c r="I86">
        <f>VLOOKUP(H86,[1]products!$B:$D,3,0)</f>
        <v>6</v>
      </c>
      <c r="J86" t="str">
        <f>VLOOKUP(I86,[2]categories!$A$2:$B$8,2,0)</f>
        <v>Mountain Bikes</v>
      </c>
    </row>
    <row r="87" spans="1:10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 s="1">
        <f t="shared" si="1"/>
        <v>485.982</v>
      </c>
      <c r="H87" t="str">
        <f>VLOOKUP(C87,[1]products!$A:$B,2,0)</f>
        <v>Electra Cruiser 1 (24-Inch) - 2016</v>
      </c>
      <c r="I87">
        <f>VLOOKUP(H87,[1]products!$B:$D,3,0)</f>
        <v>3</v>
      </c>
      <c r="J87" t="str">
        <f>VLOOKUP(I87,[2]categories!$A$2:$B$8,2,0)</f>
        <v>Cruisers Bicycles</v>
      </c>
    </row>
    <row r="88" spans="1:10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 s="1">
        <f t="shared" si="1"/>
        <v>1439.992</v>
      </c>
      <c r="H88" t="str">
        <f>VLOOKUP(C88,[1]products!$A:$B,2,0)</f>
        <v>Trek Remedy 29 Carbon Frameset - 2016</v>
      </c>
      <c r="I88">
        <f>VLOOKUP(H88,[1]products!$B:$D,3,0)</f>
        <v>6</v>
      </c>
      <c r="J88" t="str">
        <f>VLOOKUP(I88,[2]categories!$A$2:$B$8,2,0)</f>
        <v>Mountain Bikes</v>
      </c>
    </row>
    <row r="89" spans="1:10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 s="1">
        <f t="shared" si="1"/>
        <v>512.981</v>
      </c>
      <c r="H89" t="str">
        <f>VLOOKUP(C89,[1]products!$A:$B,2,0)</f>
        <v>Electra Girl's Hawaii 1 (16-inch) - 2015/2016</v>
      </c>
      <c r="I89">
        <f>VLOOKUP(H89,[1]products!$B:$D,3,0)</f>
        <v>3</v>
      </c>
      <c r="J89" t="str">
        <f>VLOOKUP(I89,[2]categories!$A$2:$B$8,2,0)</f>
        <v>Cruisers Bicycles</v>
      </c>
    </row>
    <row r="90" spans="1:10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 s="1">
        <f t="shared" si="1"/>
        <v>569.9905</v>
      </c>
      <c r="H90" t="str">
        <f>VLOOKUP(C90,[1]products!$A:$B,2,0)</f>
        <v>Electra Townie Original 7D EQ - 2016</v>
      </c>
      <c r="I90">
        <f>VLOOKUP(H90,[1]products!$B:$D,3,0)</f>
        <v>3</v>
      </c>
      <c r="J90" t="str">
        <f>VLOOKUP(I90,[2]categories!$A$2:$B$8,2,0)</f>
        <v>Cruisers Bicycles</v>
      </c>
    </row>
    <row r="91" spans="1:10">
      <c r="A91">
        <v>30</v>
      </c>
      <c r="B91">
        <v>2</v>
      </c>
      <c r="C91">
        <v>17</v>
      </c>
      <c r="D91">
        <v>1</v>
      </c>
      <c r="E91">
        <v>429</v>
      </c>
      <c r="F91">
        <v>0.07</v>
      </c>
      <c r="G91" s="1">
        <f t="shared" si="1"/>
        <v>398.97</v>
      </c>
      <c r="H91" t="str">
        <f>VLOOKUP(C91,[1]products!$A:$B,2,0)</f>
        <v>Pure Cycles Vine 8-Speed - 2016</v>
      </c>
      <c r="I91">
        <f>VLOOKUP(H91,[1]products!$B:$D,3,0)</f>
        <v>3</v>
      </c>
      <c r="J91" t="str">
        <f>VLOOKUP(I91,[2]categories!$A$2:$B$8,2,0)</f>
        <v>Cruisers Bicycles</v>
      </c>
    </row>
    <row r="92" spans="1:10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 s="1">
        <f t="shared" si="1"/>
        <v>404.1</v>
      </c>
      <c r="H92" t="str">
        <f>VLOOKUP(C92,[1]products!$A:$B,2,0)</f>
        <v>Pure Cycles William 3-Speed - 2016</v>
      </c>
      <c r="I92">
        <f>VLOOKUP(H92,[1]products!$B:$D,3,0)</f>
        <v>3</v>
      </c>
      <c r="J92" t="str">
        <f>VLOOKUP(I92,[2]categories!$A$2:$B$8,2,0)</f>
        <v>Cruisers Bicycles</v>
      </c>
    </row>
    <row r="93" spans="1:10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 s="1">
        <f t="shared" si="1"/>
        <v>2609.991</v>
      </c>
      <c r="H93" t="str">
        <f>VLOOKUP(C93,[1]products!$A:$B,2,0)</f>
        <v>Trek Fuel EX 8 29 - 2016</v>
      </c>
      <c r="I93">
        <f>VLOOKUP(H93,[1]products!$B:$D,3,0)</f>
        <v>6</v>
      </c>
      <c r="J93" t="str">
        <f>VLOOKUP(I93,[2]categories!$A$2:$B$8,2,0)</f>
        <v>Mountain Bikes</v>
      </c>
    </row>
    <row r="94" spans="1:10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 s="1">
        <f t="shared" si="1"/>
        <v>7199.982</v>
      </c>
      <c r="H94" t="str">
        <f>VLOOKUP(C94,[1]products!$A:$B,2,0)</f>
        <v>Trek Slash 8 27.5 - 2016</v>
      </c>
      <c r="I94">
        <f>VLOOKUP(H94,[1]products!$B:$D,3,0)</f>
        <v>6</v>
      </c>
      <c r="J94" t="str">
        <f>VLOOKUP(I94,[2]categories!$A$2:$B$8,2,0)</f>
        <v>Mountain Bikes</v>
      </c>
    </row>
    <row r="95" spans="1:10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 s="1">
        <f t="shared" si="1"/>
        <v>3193.881</v>
      </c>
      <c r="H95" t="str">
        <f>VLOOKUP(C95,[1]products!$A:$B,2,0)</f>
        <v>Surly Straggler 650b - 2016</v>
      </c>
      <c r="I95">
        <f>VLOOKUP(H95,[1]products!$B:$D,3,0)</f>
        <v>4</v>
      </c>
      <c r="J95" t="str">
        <f>VLOOKUP(I95,[2]categories!$A$2:$B$8,2,0)</f>
        <v>Cyclocross Bicycles</v>
      </c>
    </row>
    <row r="96" spans="1:10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 s="1">
        <f t="shared" si="1"/>
        <v>4799.984</v>
      </c>
      <c r="H96" t="str">
        <f>VLOOKUP(C96,[1]products!$A:$B,2,0)</f>
        <v>Trek Conduit+ - 2016</v>
      </c>
      <c r="I96">
        <f>VLOOKUP(H96,[1]products!$B:$D,3,0)</f>
        <v>5</v>
      </c>
      <c r="J96" t="str">
        <f>VLOOKUP(I96,[2]categories!$A$2:$B$8,2,0)</f>
        <v>Electric Bikes</v>
      </c>
    </row>
    <row r="97" spans="1:10">
      <c r="A97">
        <v>32</v>
      </c>
      <c r="B97">
        <v>1</v>
      </c>
      <c r="C97">
        <v>8</v>
      </c>
      <c r="D97">
        <v>2</v>
      </c>
      <c r="E97">
        <v>1799.99</v>
      </c>
      <c r="F97">
        <v>0.07</v>
      </c>
      <c r="G97" s="1">
        <f t="shared" si="1"/>
        <v>3347.9814</v>
      </c>
      <c r="H97" t="str">
        <f>VLOOKUP(C97,[1]products!$A:$B,2,0)</f>
        <v>Trek Remedy 29 Carbon Frameset - 2016</v>
      </c>
      <c r="I97">
        <f>VLOOKUP(H97,[1]products!$B:$D,3,0)</f>
        <v>6</v>
      </c>
      <c r="J97" t="str">
        <f>VLOOKUP(I97,[2]categories!$A$2:$B$8,2,0)</f>
        <v>Mountain Bikes</v>
      </c>
    </row>
    <row r="98" spans="1:10">
      <c r="A98">
        <v>32</v>
      </c>
      <c r="B98">
        <v>2</v>
      </c>
      <c r="C98">
        <v>12</v>
      </c>
      <c r="D98">
        <v>2</v>
      </c>
      <c r="E98">
        <v>549.99</v>
      </c>
      <c r="F98">
        <v>0.07</v>
      </c>
      <c r="G98" s="1">
        <f t="shared" si="1"/>
        <v>1022.9814</v>
      </c>
      <c r="H98" t="str">
        <f>VLOOKUP(C98,[1]products!$A:$B,2,0)</f>
        <v>Electra Townie Original 21D - 2016</v>
      </c>
      <c r="I98">
        <f>VLOOKUP(H98,[1]products!$B:$D,3,0)</f>
        <v>3</v>
      </c>
      <c r="J98" t="str">
        <f>VLOOKUP(I98,[2]categories!$A$2:$B$8,2,0)</f>
        <v>Cruisers Bicycles</v>
      </c>
    </row>
    <row r="99" spans="1:10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 s="1">
        <f t="shared" si="1"/>
        <v>899.982</v>
      </c>
      <c r="H99" t="str">
        <f>VLOOKUP(C99,[1]products!$A:$B,2,0)</f>
        <v>Electra Townie Original 7D - 2015/2016</v>
      </c>
      <c r="I99">
        <f>VLOOKUP(H99,[1]products!$B:$D,3,0)</f>
        <v>2</v>
      </c>
      <c r="J99" t="str">
        <f>VLOOKUP(I99,[2]categories!$A$2:$B$8,2,0)</f>
        <v>Comfort Bicycles</v>
      </c>
    </row>
    <row r="100" spans="1:10">
      <c r="A100">
        <v>33</v>
      </c>
      <c r="B100">
        <v>1</v>
      </c>
      <c r="C100">
        <v>23</v>
      </c>
      <c r="D100">
        <v>2</v>
      </c>
      <c r="E100">
        <v>299.99</v>
      </c>
      <c r="F100">
        <v>0.07</v>
      </c>
      <c r="G100" s="1">
        <f t="shared" si="1"/>
        <v>557.9814</v>
      </c>
      <c r="H100" t="str">
        <f>VLOOKUP(C100,[1]products!$A:$B,2,0)</f>
        <v>Electra Girl's Hawaii 1 (20-inch) - 2015/2016</v>
      </c>
      <c r="I100">
        <f>VLOOKUP(H100,[1]products!$B:$D,3,0)</f>
        <v>1</v>
      </c>
      <c r="J100" t="str">
        <f>VLOOKUP(I100,[2]categories!$A$2:$B$8,2,0)</f>
        <v>Children Bicycles</v>
      </c>
    </row>
    <row r="101" spans="1:10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 s="1">
        <f t="shared" si="1"/>
        <v>3599.991</v>
      </c>
      <c r="H101" t="str">
        <f>VLOOKUP(C101,[1]products!$A:$B,2,0)</f>
        <v>Trek Slash 8 27.5 - 2016</v>
      </c>
      <c r="I101">
        <f>VLOOKUP(H101,[1]products!$B:$D,3,0)</f>
        <v>6</v>
      </c>
      <c r="J101" t="str">
        <f>VLOOKUP(I101,[2]categories!$A$2:$B$8,2,0)</f>
        <v>Mountain Bikes</v>
      </c>
    </row>
    <row r="102" spans="1:10">
      <c r="A102">
        <v>34</v>
      </c>
      <c r="B102">
        <v>1</v>
      </c>
      <c r="C102">
        <v>8</v>
      </c>
      <c r="D102">
        <v>2</v>
      </c>
      <c r="E102">
        <v>1799.99</v>
      </c>
      <c r="F102">
        <v>0.07</v>
      </c>
      <c r="G102" s="1">
        <f t="shared" si="1"/>
        <v>3347.9814</v>
      </c>
      <c r="H102" t="str">
        <f>VLOOKUP(C102,[1]products!$A:$B,2,0)</f>
        <v>Trek Remedy 29 Carbon Frameset - 2016</v>
      </c>
      <c r="I102">
        <f>VLOOKUP(H102,[1]products!$B:$D,3,0)</f>
        <v>6</v>
      </c>
      <c r="J102" t="str">
        <f>VLOOKUP(I102,[2]categories!$A$2:$B$8,2,0)</f>
        <v>Mountain Bikes</v>
      </c>
    </row>
    <row r="103" spans="1:10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 s="1">
        <f t="shared" si="1"/>
        <v>2788.2</v>
      </c>
      <c r="H103" t="str">
        <f>VLOOKUP(C103,[1]products!$A:$B,2,0)</f>
        <v>Surly Straggler - 2016</v>
      </c>
      <c r="I103">
        <f>VLOOKUP(H103,[1]products!$B:$D,3,0)</f>
        <v>4</v>
      </c>
      <c r="J103" t="str">
        <f>VLOOKUP(I103,[2]categories!$A$2:$B$8,2,0)</f>
        <v>Cyclocross Bicycles</v>
      </c>
    </row>
    <row r="104" spans="1:10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 s="1">
        <f t="shared" si="1"/>
        <v>686.4</v>
      </c>
      <c r="H104" t="str">
        <f>VLOOKUP(C104,[1]products!$A:$B,2,0)</f>
        <v>Pure Cycles Vine 8-Speed - 2016</v>
      </c>
      <c r="I104">
        <f>VLOOKUP(H104,[1]products!$B:$D,3,0)</f>
        <v>3</v>
      </c>
      <c r="J104" t="str">
        <f>VLOOKUP(I104,[2]categories!$A$2:$B$8,2,0)</f>
        <v>Cruisers Bicycles</v>
      </c>
    </row>
    <row r="105" spans="1:10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 s="1">
        <f t="shared" si="1"/>
        <v>426.55</v>
      </c>
      <c r="H105" t="str">
        <f>VLOOKUP(C105,[1]products!$A:$B,2,0)</f>
        <v>Pure Cycles Western 3-Speed - Women's - 2015/2016</v>
      </c>
      <c r="I105">
        <f>VLOOKUP(H105,[1]products!$B:$D,3,0)</f>
        <v>3</v>
      </c>
      <c r="J105" t="str">
        <f>VLOOKUP(I105,[2]categories!$A$2:$B$8,2,0)</f>
        <v>Cruisers Bicycles</v>
      </c>
    </row>
    <row r="106" spans="1:10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 s="1">
        <f t="shared" si="1"/>
        <v>1139.981</v>
      </c>
      <c r="H106" t="str">
        <f>VLOOKUP(C106,[1]products!$A:$B,2,0)</f>
        <v>Electra Townie Original 7D EQ - Women's - 2016</v>
      </c>
      <c r="I106">
        <f>VLOOKUP(H106,[1]products!$B:$D,3,0)</f>
        <v>3</v>
      </c>
      <c r="J106" t="str">
        <f>VLOOKUP(I106,[2]categories!$A$2:$B$8,2,0)</f>
        <v>Cruisers Bicycles</v>
      </c>
    </row>
    <row r="107" spans="1:10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 s="1">
        <f t="shared" si="1"/>
        <v>1056.792</v>
      </c>
      <c r="H107" t="str">
        <f>VLOOKUP(C107,[1]products!$A:$B,2,0)</f>
        <v>Heller Shagamaw Frame - 2016</v>
      </c>
      <c r="I107">
        <f>VLOOKUP(H107,[1]products!$B:$D,3,0)</f>
        <v>6</v>
      </c>
      <c r="J107" t="str">
        <f>VLOOKUP(I107,[2]categories!$A$2:$B$8,2,0)</f>
        <v>Mountain Bikes</v>
      </c>
    </row>
    <row r="108" spans="1:10">
      <c r="A108">
        <v>35</v>
      </c>
      <c r="B108">
        <v>4</v>
      </c>
      <c r="C108">
        <v>21</v>
      </c>
      <c r="D108">
        <v>2</v>
      </c>
      <c r="E108">
        <v>269.99</v>
      </c>
      <c r="F108">
        <v>0.07</v>
      </c>
      <c r="G108" s="1">
        <f t="shared" si="1"/>
        <v>502.1814</v>
      </c>
      <c r="H108" t="str">
        <f>VLOOKUP(C108,[1]products!$A:$B,2,0)</f>
        <v>Electra Cruiser 1 (24-Inch) - 2016</v>
      </c>
      <c r="I108">
        <f>VLOOKUP(H108,[1]products!$B:$D,3,0)</f>
        <v>3</v>
      </c>
      <c r="J108" t="str">
        <f>VLOOKUP(I108,[2]categories!$A$2:$B$8,2,0)</f>
        <v>Cruisers Bicycles</v>
      </c>
    </row>
    <row r="109" spans="1:10">
      <c r="A109">
        <v>35</v>
      </c>
      <c r="B109">
        <v>5</v>
      </c>
      <c r="C109">
        <v>22</v>
      </c>
      <c r="D109">
        <v>1</v>
      </c>
      <c r="E109">
        <v>269.99</v>
      </c>
      <c r="F109">
        <v>0.07</v>
      </c>
      <c r="G109" s="1">
        <f t="shared" si="1"/>
        <v>251.0907</v>
      </c>
      <c r="H109" t="str">
        <f>VLOOKUP(C109,[1]products!$A:$B,2,0)</f>
        <v>Electra Girl's Hawaii 1 (16-inch) - 2015/2016</v>
      </c>
      <c r="I109">
        <f>VLOOKUP(H109,[1]products!$B:$D,3,0)</f>
        <v>3</v>
      </c>
      <c r="J109" t="str">
        <f>VLOOKUP(I109,[2]categories!$A$2:$B$8,2,0)</f>
        <v>Cruisers Bicycles</v>
      </c>
    </row>
    <row r="110" spans="1:10">
      <c r="A110">
        <v>36</v>
      </c>
      <c r="B110">
        <v>1</v>
      </c>
      <c r="C110">
        <v>9</v>
      </c>
      <c r="D110">
        <v>1</v>
      </c>
      <c r="E110">
        <v>2999.99</v>
      </c>
      <c r="F110">
        <v>0.07</v>
      </c>
      <c r="G110" s="1">
        <f t="shared" si="1"/>
        <v>2789.9907</v>
      </c>
      <c r="H110" t="str">
        <f>VLOOKUP(C110,[1]products!$A:$B,2,0)</f>
        <v>Trek Conduit+ - 2016</v>
      </c>
      <c r="I110">
        <f>VLOOKUP(H110,[1]products!$B:$D,3,0)</f>
        <v>5</v>
      </c>
      <c r="J110" t="str">
        <f>VLOOKUP(I110,[2]categories!$A$2:$B$8,2,0)</f>
        <v>Electric Bikes</v>
      </c>
    </row>
    <row r="111" spans="1:10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 s="1">
        <f t="shared" si="1"/>
        <v>1254.9405</v>
      </c>
      <c r="H111" t="str">
        <f>VLOOKUP(C111,[1]products!$A:$B,2,0)</f>
        <v>Heller Shagamaw Frame - 2016</v>
      </c>
      <c r="I111">
        <f>VLOOKUP(H111,[1]products!$B:$D,3,0)</f>
        <v>6</v>
      </c>
      <c r="J111" t="str">
        <f>VLOOKUP(I111,[2]categories!$A$2:$B$8,2,0)</f>
        <v>Mountain Bikes</v>
      </c>
    </row>
    <row r="112" spans="1:10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 s="1">
        <f t="shared" si="1"/>
        <v>1599.984</v>
      </c>
      <c r="H112" t="str">
        <f>VLOOKUP(C112,[1]products!$A:$B,2,0)</f>
        <v>Surly Wednesday Frameset - 2016</v>
      </c>
      <c r="I112">
        <f>VLOOKUP(H112,[1]products!$B:$D,3,0)</f>
        <v>6</v>
      </c>
      <c r="J112" t="str">
        <f>VLOOKUP(I112,[2]categories!$A$2:$B$8,2,0)</f>
        <v>Mountain Bikes</v>
      </c>
    </row>
    <row r="113" spans="1:10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 s="1">
        <f t="shared" si="1"/>
        <v>1139.981</v>
      </c>
      <c r="H113" t="str">
        <f>VLOOKUP(C113,[1]products!$A:$B,2,0)</f>
        <v>Electra Townie Original 7D EQ - 2016</v>
      </c>
      <c r="I113">
        <f>VLOOKUP(H113,[1]products!$B:$D,3,0)</f>
        <v>3</v>
      </c>
      <c r="J113" t="str">
        <f>VLOOKUP(I113,[2]categories!$A$2:$B$8,2,0)</f>
        <v>Cruisers Bicycles</v>
      </c>
    </row>
    <row r="114" spans="1:10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 s="1">
        <f t="shared" si="1"/>
        <v>7599.981</v>
      </c>
      <c r="H114" t="str">
        <f>VLOOKUP(C114,[1]products!$A:$B,2,0)</f>
        <v>Trek Slash 8 27.5 - 2016</v>
      </c>
      <c r="I114">
        <f>VLOOKUP(H114,[1]products!$B:$D,3,0)</f>
        <v>6</v>
      </c>
      <c r="J114" t="str">
        <f>VLOOKUP(I114,[2]categories!$A$2:$B$8,2,0)</f>
        <v>Mountain Bikes</v>
      </c>
    </row>
    <row r="115" spans="1:10">
      <c r="A115">
        <v>38</v>
      </c>
      <c r="B115">
        <v>2</v>
      </c>
      <c r="C115">
        <v>23</v>
      </c>
      <c r="D115">
        <v>1</v>
      </c>
      <c r="E115">
        <v>299.99</v>
      </c>
      <c r="F115">
        <v>0.07</v>
      </c>
      <c r="G115" s="1">
        <f t="shared" si="1"/>
        <v>278.9907</v>
      </c>
      <c r="H115" t="str">
        <f>VLOOKUP(C115,[1]products!$A:$B,2,0)</f>
        <v>Electra Girl's Hawaii 1 (20-inch) - 2015/2016</v>
      </c>
      <c r="I115">
        <f>VLOOKUP(H115,[1]products!$B:$D,3,0)</f>
        <v>1</v>
      </c>
      <c r="J115" t="str">
        <f>VLOOKUP(I115,[2]categories!$A$2:$B$8,2,0)</f>
        <v>Children Bicycles</v>
      </c>
    </row>
    <row r="116" spans="1:10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 s="1">
        <f t="shared" si="1"/>
        <v>399.992</v>
      </c>
      <c r="H116" t="str">
        <f>VLOOKUP(C116,[1]products!$A:$B,2,0)</f>
        <v>Electra Townie Original 7D - 2015/2016</v>
      </c>
      <c r="I116">
        <f>VLOOKUP(H116,[1]products!$B:$D,3,0)</f>
        <v>2</v>
      </c>
      <c r="J116" t="str">
        <f>VLOOKUP(I116,[2]categories!$A$2:$B$8,2,0)</f>
        <v>Comfort Bicycles</v>
      </c>
    </row>
    <row r="117" spans="1:10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 s="1">
        <f t="shared" si="1"/>
        <v>2788.2</v>
      </c>
      <c r="H117" t="str">
        <f>VLOOKUP(C117,[1]products!$A:$B,2,0)</f>
        <v>Surly Straggler - 2016</v>
      </c>
      <c r="I117">
        <f>VLOOKUP(H117,[1]products!$B:$D,3,0)</f>
        <v>4</v>
      </c>
      <c r="J117" t="str">
        <f>VLOOKUP(I117,[2]categories!$A$2:$B$8,2,0)</f>
        <v>Cyclocross Bicycles</v>
      </c>
    </row>
    <row r="118" spans="1:10">
      <c r="A118">
        <v>38</v>
      </c>
      <c r="B118">
        <v>5</v>
      </c>
      <c r="C118">
        <v>24</v>
      </c>
      <c r="D118">
        <v>1</v>
      </c>
      <c r="E118">
        <v>549.99</v>
      </c>
      <c r="F118">
        <v>0.07</v>
      </c>
      <c r="G118" s="1">
        <f t="shared" si="1"/>
        <v>511.4907</v>
      </c>
      <c r="H118" t="str">
        <f>VLOOKUP(C118,[1]products!$A:$B,2,0)</f>
        <v>Electra Townie Original 21D - 2016</v>
      </c>
      <c r="I118">
        <f>VLOOKUP(H118,[1]products!$B:$D,3,0)</f>
        <v>3</v>
      </c>
      <c r="J118" t="str">
        <f>VLOOKUP(I118,[2]categories!$A$2:$B$8,2,0)</f>
        <v>Cruisers Bicycles</v>
      </c>
    </row>
    <row r="119" spans="1:10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 s="1">
        <f t="shared" si="1"/>
        <v>431.984</v>
      </c>
      <c r="H119" t="str">
        <f>VLOOKUP(C119,[1]products!$A:$B,2,0)</f>
        <v>Electra Girl's Hawaii 1 (16-inch) - 2015/2016</v>
      </c>
      <c r="I119">
        <f>VLOOKUP(H119,[1]products!$B:$D,3,0)</f>
        <v>3</v>
      </c>
      <c r="J119" t="str">
        <f>VLOOKUP(I119,[2]categories!$A$2:$B$8,2,0)</f>
        <v>Cruisers Bicycles</v>
      </c>
    </row>
    <row r="120" spans="1:10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 s="1">
        <f t="shared" si="1"/>
        <v>959.984</v>
      </c>
      <c r="H120" t="str">
        <f>VLOOKUP(C120,[1]products!$A:$B,2,0)</f>
        <v>Electra Townie Original 7D EQ - 2016</v>
      </c>
      <c r="I120">
        <f>VLOOKUP(H120,[1]products!$B:$D,3,0)</f>
        <v>3</v>
      </c>
      <c r="J120" t="str">
        <f>VLOOKUP(I120,[2]categories!$A$2:$B$8,2,0)</f>
        <v>Cruisers Bicycles</v>
      </c>
    </row>
    <row r="121" spans="1:10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 s="1">
        <f t="shared" si="1"/>
        <v>1899.981</v>
      </c>
      <c r="H121" t="str">
        <f>VLOOKUP(C121,[1]products!$A:$B,2,0)</f>
        <v>Surly Wednesday Frameset - 2016</v>
      </c>
      <c r="I121">
        <f>VLOOKUP(H121,[1]products!$B:$D,3,0)</f>
        <v>6</v>
      </c>
      <c r="J121" t="str">
        <f>VLOOKUP(I121,[2]categories!$A$2:$B$8,2,0)</f>
        <v>Mountain Bikes</v>
      </c>
    </row>
    <row r="122" spans="1:10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 s="1">
        <f t="shared" si="1"/>
        <v>476.991</v>
      </c>
      <c r="H122" t="str">
        <f>VLOOKUP(C122,[1]products!$A:$B,2,0)</f>
        <v>Electra Moto 1 - 2016</v>
      </c>
      <c r="I122">
        <f>VLOOKUP(H122,[1]products!$B:$D,3,0)</f>
        <v>3</v>
      </c>
      <c r="J122" t="str">
        <f>VLOOKUP(I122,[2]categories!$A$2:$B$8,2,0)</f>
        <v>Cruisers Bicycles</v>
      </c>
    </row>
    <row r="123" spans="1:10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 s="1">
        <f t="shared" si="1"/>
        <v>343.2</v>
      </c>
      <c r="H123" t="str">
        <f>VLOOKUP(C123,[1]products!$A:$B,2,0)</f>
        <v>Pure Cycles Vine 8-Speed - 2016</v>
      </c>
      <c r="I123">
        <f>VLOOKUP(H123,[1]products!$B:$D,3,0)</f>
        <v>3</v>
      </c>
      <c r="J123" t="str">
        <f>VLOOKUP(I123,[2]categories!$A$2:$B$8,2,0)</f>
        <v>Cruisers Bicycles</v>
      </c>
    </row>
    <row r="124" spans="1:10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 s="1">
        <f t="shared" si="1"/>
        <v>2879.984</v>
      </c>
      <c r="H124" t="str">
        <f>VLOOKUP(C124,[1]products!$A:$B,2,0)</f>
        <v>Trek Remedy 29 Carbon Frameset - 2016</v>
      </c>
      <c r="I124">
        <f>VLOOKUP(H124,[1]products!$B:$D,3,0)</f>
        <v>6</v>
      </c>
      <c r="J124" t="str">
        <f>VLOOKUP(I124,[2]categories!$A$2:$B$8,2,0)</f>
        <v>Mountain Bikes</v>
      </c>
    </row>
    <row r="125" spans="1:10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 s="1">
        <f t="shared" si="1"/>
        <v>1188.891</v>
      </c>
      <c r="H125" t="str">
        <f>VLOOKUP(C125,[1]products!$A:$B,2,0)</f>
        <v>Heller Shagamaw Frame - 2016</v>
      </c>
      <c r="I125">
        <f>VLOOKUP(H125,[1]products!$B:$D,3,0)</f>
        <v>6</v>
      </c>
      <c r="J125" t="str">
        <f>VLOOKUP(I125,[2]categories!$A$2:$B$8,2,0)</f>
        <v>Mountain Bikes</v>
      </c>
    </row>
    <row r="126" spans="1:10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 s="1">
        <f t="shared" si="1"/>
        <v>718.4</v>
      </c>
      <c r="H126" t="str">
        <f>VLOOKUP(C126,[1]products!$A:$B,2,0)</f>
        <v>Pure Cycles William 3-Speed - 2016</v>
      </c>
      <c r="I126">
        <f>VLOOKUP(H126,[1]products!$B:$D,3,0)</f>
        <v>3</v>
      </c>
      <c r="J126" t="str">
        <f>VLOOKUP(I126,[2]categories!$A$2:$B$8,2,0)</f>
        <v>Cruisers Bicycles</v>
      </c>
    </row>
    <row r="127" spans="1:10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 s="1">
        <f t="shared" si="1"/>
        <v>959.984</v>
      </c>
      <c r="H127" t="str">
        <f>VLOOKUP(C127,[1]products!$A:$B,2,0)</f>
        <v>Electra Townie Original 7D EQ - 2016</v>
      </c>
      <c r="I127">
        <f>VLOOKUP(H127,[1]products!$B:$D,3,0)</f>
        <v>3</v>
      </c>
      <c r="J127" t="str">
        <f>VLOOKUP(I127,[2]categories!$A$2:$B$8,2,0)</f>
        <v>Cruisers Bicycles</v>
      </c>
    </row>
    <row r="128" spans="1:10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 s="1">
        <f t="shared" si="1"/>
        <v>426.55</v>
      </c>
      <c r="H128" t="str">
        <f>VLOOKUP(C128,[1]products!$A:$B,2,0)</f>
        <v>Pure Cycles William 3-Speed - 2016</v>
      </c>
      <c r="I128">
        <f>VLOOKUP(H128,[1]products!$B:$D,3,0)</f>
        <v>3</v>
      </c>
      <c r="J128" t="str">
        <f>VLOOKUP(I128,[2]categories!$A$2:$B$8,2,0)</f>
        <v>Cruisers Bicycles</v>
      </c>
    </row>
    <row r="129" spans="1:10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 s="1">
        <f t="shared" si="1"/>
        <v>485.982</v>
      </c>
      <c r="H129" t="str">
        <f>VLOOKUP(C129,[1]products!$A:$B,2,0)</f>
        <v>Electra Cruiser 1 (24-Inch) - 2016</v>
      </c>
      <c r="I129">
        <f>VLOOKUP(H129,[1]products!$B:$D,3,0)</f>
        <v>3</v>
      </c>
      <c r="J129" t="str">
        <f>VLOOKUP(I129,[2]categories!$A$2:$B$8,2,0)</f>
        <v>Cruisers Bicycles</v>
      </c>
    </row>
    <row r="130" spans="1:10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 s="1">
        <f t="shared" ref="G130:G193" si="2">D130*E130*(1-F130)</f>
        <v>1044.981</v>
      </c>
      <c r="H130" t="str">
        <f>VLOOKUP(C130,[1]products!$A:$B,2,0)</f>
        <v>Electra Townie Original 21D - 2016</v>
      </c>
      <c r="I130">
        <f>VLOOKUP(H130,[1]products!$B:$D,3,0)</f>
        <v>3</v>
      </c>
      <c r="J130" t="str">
        <f>VLOOKUP(I130,[2]categories!$A$2:$B$8,2,0)</f>
        <v>Cruisers Bicycles</v>
      </c>
    </row>
    <row r="131" spans="1:10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 s="1">
        <f t="shared" si="2"/>
        <v>3599.991</v>
      </c>
      <c r="H131" t="str">
        <f>VLOOKUP(C131,[1]products!$A:$B,2,0)</f>
        <v>Trek Slash 8 27.5 - 2016</v>
      </c>
      <c r="I131">
        <f>VLOOKUP(H131,[1]products!$B:$D,3,0)</f>
        <v>6</v>
      </c>
      <c r="J131" t="str">
        <f>VLOOKUP(I131,[2]categories!$A$2:$B$8,2,0)</f>
        <v>Mountain Bikes</v>
      </c>
    </row>
    <row r="132" spans="1:10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 s="1">
        <f t="shared" si="2"/>
        <v>569.9905</v>
      </c>
      <c r="H132" t="str">
        <f>VLOOKUP(C132,[1]products!$A:$B,2,0)</f>
        <v>Electra Townie Original 7D EQ - 2016</v>
      </c>
      <c r="I132">
        <f>VLOOKUP(H132,[1]products!$B:$D,3,0)</f>
        <v>3</v>
      </c>
      <c r="J132" t="str">
        <f>VLOOKUP(I132,[2]categories!$A$2:$B$8,2,0)</f>
        <v>Cruisers Bicycles</v>
      </c>
    </row>
    <row r="133" spans="1:10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 s="1">
        <f t="shared" si="2"/>
        <v>4639.984</v>
      </c>
      <c r="H133" t="str">
        <f>VLOOKUP(C133,[1]products!$A:$B,2,0)</f>
        <v>Trek Fuel EX 8 29 - 2016</v>
      </c>
      <c r="I133">
        <f>VLOOKUP(H133,[1]products!$B:$D,3,0)</f>
        <v>6</v>
      </c>
      <c r="J133" t="str">
        <f>VLOOKUP(I133,[2]categories!$A$2:$B$8,2,0)</f>
        <v>Mountain Bikes</v>
      </c>
    </row>
    <row r="134" spans="1:10">
      <c r="A134">
        <v>45</v>
      </c>
      <c r="B134">
        <v>2</v>
      </c>
      <c r="C134">
        <v>22</v>
      </c>
      <c r="D134">
        <v>1</v>
      </c>
      <c r="E134">
        <v>269.99</v>
      </c>
      <c r="F134">
        <v>0.07</v>
      </c>
      <c r="G134" s="1">
        <f t="shared" si="2"/>
        <v>251.0907</v>
      </c>
      <c r="H134" t="str">
        <f>VLOOKUP(C134,[1]products!$A:$B,2,0)</f>
        <v>Electra Girl's Hawaii 1 (16-inch) - 2015/2016</v>
      </c>
      <c r="I134">
        <f>VLOOKUP(H134,[1]products!$B:$D,3,0)</f>
        <v>3</v>
      </c>
      <c r="J134" t="str">
        <f>VLOOKUP(I134,[2]categories!$A$2:$B$8,2,0)</f>
        <v>Cruisers Bicycles</v>
      </c>
    </row>
    <row r="135" spans="1:10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 s="1">
        <f t="shared" si="2"/>
        <v>512.981</v>
      </c>
      <c r="H135" t="str">
        <f>VLOOKUP(C135,[1]products!$A:$B,2,0)</f>
        <v>Electra Cruiser 1 (24-Inch) - 2016</v>
      </c>
      <c r="I135">
        <f>VLOOKUP(H135,[1]products!$B:$D,3,0)</f>
        <v>3</v>
      </c>
      <c r="J135" t="str">
        <f>VLOOKUP(I135,[2]categories!$A$2:$B$8,2,0)</f>
        <v>Cruisers Bicycles</v>
      </c>
    </row>
    <row r="136" spans="1:10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 s="1">
        <f t="shared" si="2"/>
        <v>386.1</v>
      </c>
      <c r="H136" t="str">
        <f>VLOOKUP(C136,[1]products!$A:$B,2,0)</f>
        <v>Pure Cycles Vine 8-Speed - 2016</v>
      </c>
      <c r="I136">
        <f>VLOOKUP(H136,[1]products!$B:$D,3,0)</f>
        <v>3</v>
      </c>
      <c r="J136" t="str">
        <f>VLOOKUP(I136,[2]categories!$A$2:$B$8,2,0)</f>
        <v>Cruisers Bicycles</v>
      </c>
    </row>
    <row r="137" spans="1:10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 s="1">
        <f t="shared" si="2"/>
        <v>446.4905</v>
      </c>
      <c r="H137" t="str">
        <f>VLOOKUP(C137,[1]products!$A:$B,2,0)</f>
        <v>Surly Ice Cream Truck Frameset - 2016</v>
      </c>
      <c r="I137">
        <f>VLOOKUP(H137,[1]products!$B:$D,3,0)</f>
        <v>6</v>
      </c>
      <c r="J137" t="str">
        <f>VLOOKUP(I137,[2]categories!$A$2:$B$8,2,0)</f>
        <v>Mountain Bikes</v>
      </c>
    </row>
    <row r="138" spans="1:10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 s="1">
        <f t="shared" si="2"/>
        <v>476.991</v>
      </c>
      <c r="H138" t="str">
        <f>VLOOKUP(C138,[1]products!$A:$B,2,0)</f>
        <v>Electra Moto 1 - 2016</v>
      </c>
      <c r="I138">
        <f>VLOOKUP(H138,[1]products!$B:$D,3,0)</f>
        <v>3</v>
      </c>
      <c r="J138" t="str">
        <f>VLOOKUP(I138,[2]categories!$A$2:$B$8,2,0)</f>
        <v>Cruisers Bicycles</v>
      </c>
    </row>
    <row r="139" spans="1:10">
      <c r="A139">
        <v>47</v>
      </c>
      <c r="B139">
        <v>3</v>
      </c>
      <c r="C139">
        <v>25</v>
      </c>
      <c r="D139">
        <v>2</v>
      </c>
      <c r="E139">
        <v>499.99</v>
      </c>
      <c r="F139">
        <v>0.07</v>
      </c>
      <c r="G139" s="1">
        <f t="shared" si="2"/>
        <v>929.9814</v>
      </c>
      <c r="H139" t="str">
        <f>VLOOKUP(C139,[1]products!$A:$B,2,0)</f>
        <v>Electra Townie Original 7D - 2015/2016</v>
      </c>
      <c r="I139">
        <f>VLOOKUP(H139,[1]products!$B:$D,3,0)</f>
        <v>2</v>
      </c>
      <c r="J139" t="str">
        <f>VLOOKUP(I139,[2]categories!$A$2:$B$8,2,0)</f>
        <v>Comfort Bicycles</v>
      </c>
    </row>
    <row r="140" spans="1:10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 s="1">
        <f t="shared" si="2"/>
        <v>215.992</v>
      </c>
      <c r="H140" t="str">
        <f>VLOOKUP(C140,[1]products!$A:$B,2,0)</f>
        <v>Electra Cruiser 1 (24-Inch) - 2016</v>
      </c>
      <c r="I140">
        <f>VLOOKUP(H140,[1]products!$B:$D,3,0)</f>
        <v>3</v>
      </c>
      <c r="J140" t="str">
        <f>VLOOKUP(I140,[2]categories!$A$2:$B$8,2,0)</f>
        <v>Cruisers Bicycles</v>
      </c>
    </row>
    <row r="141" spans="1:10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 s="1">
        <f t="shared" si="2"/>
        <v>1512.891</v>
      </c>
      <c r="H141" t="str">
        <f>VLOOKUP(C141,[1]products!$A:$B,2,0)</f>
        <v>Surly Straggler 650b - 2016</v>
      </c>
      <c r="I141">
        <f>VLOOKUP(H141,[1]products!$B:$D,3,0)</f>
        <v>4</v>
      </c>
      <c r="J141" t="str">
        <f>VLOOKUP(I141,[2]categories!$A$2:$B$8,2,0)</f>
        <v>Cyclocross Bicycles</v>
      </c>
    </row>
    <row r="142" spans="1:10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 s="1">
        <f t="shared" si="2"/>
        <v>2319.992</v>
      </c>
      <c r="H142" t="str">
        <f>VLOOKUP(C142,[1]products!$A:$B,2,0)</f>
        <v>Trek Fuel EX 8 29 - 2016</v>
      </c>
      <c r="I142">
        <f>VLOOKUP(H142,[1]products!$B:$D,3,0)</f>
        <v>6</v>
      </c>
      <c r="J142" t="str">
        <f>VLOOKUP(I142,[2]categories!$A$2:$B$8,2,0)</f>
        <v>Mountain Bikes</v>
      </c>
    </row>
    <row r="143" spans="1:10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 s="1">
        <f t="shared" si="2"/>
        <v>2377.782</v>
      </c>
      <c r="H143" t="str">
        <f>VLOOKUP(C143,[1]products!$A:$B,2,0)</f>
        <v>Heller Shagamaw Frame - 2016</v>
      </c>
      <c r="I143">
        <f>VLOOKUP(H143,[1]products!$B:$D,3,0)</f>
        <v>6</v>
      </c>
      <c r="J143" t="str">
        <f>VLOOKUP(I143,[2]categories!$A$2:$B$8,2,0)</f>
        <v>Mountain Bikes</v>
      </c>
    </row>
    <row r="144" spans="1:10">
      <c r="A144">
        <v>48</v>
      </c>
      <c r="B144">
        <v>4</v>
      </c>
      <c r="C144">
        <v>14</v>
      </c>
      <c r="D144">
        <v>2</v>
      </c>
      <c r="E144">
        <v>269.99</v>
      </c>
      <c r="F144">
        <v>0.07</v>
      </c>
      <c r="G144" s="1">
        <f t="shared" si="2"/>
        <v>502.1814</v>
      </c>
      <c r="H144" t="str">
        <f>VLOOKUP(C144,[1]products!$A:$B,2,0)</f>
        <v>Electra Girl's Hawaii 1 (16-inch) - 2015/2016</v>
      </c>
      <c r="I144">
        <f>VLOOKUP(H144,[1]products!$B:$D,3,0)</f>
        <v>3</v>
      </c>
      <c r="J144" t="str">
        <f>VLOOKUP(I144,[2]categories!$A$2:$B$8,2,0)</f>
        <v>Cruisers Bicycles</v>
      </c>
    </row>
    <row r="145" spans="1:10">
      <c r="A145">
        <v>49</v>
      </c>
      <c r="B145">
        <v>1</v>
      </c>
      <c r="C145">
        <v>13</v>
      </c>
      <c r="D145">
        <v>2</v>
      </c>
      <c r="E145">
        <v>269.99</v>
      </c>
      <c r="F145">
        <v>0.07</v>
      </c>
      <c r="G145" s="1">
        <f t="shared" si="2"/>
        <v>502.1814</v>
      </c>
      <c r="H145" t="str">
        <f>VLOOKUP(C145,[1]products!$A:$B,2,0)</f>
        <v>Electra Cruiser 1 (24-Inch) - 2016</v>
      </c>
      <c r="I145">
        <f>VLOOKUP(H145,[1]products!$B:$D,3,0)</f>
        <v>3</v>
      </c>
      <c r="J145" t="str">
        <f>VLOOKUP(I145,[2]categories!$A$2:$B$8,2,0)</f>
        <v>Cruisers Bicycles</v>
      </c>
    </row>
    <row r="146" spans="1:10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 s="1">
        <f t="shared" si="2"/>
        <v>949.9905</v>
      </c>
      <c r="H146" t="str">
        <f>VLOOKUP(C146,[1]products!$A:$B,2,0)</f>
        <v>Surly Wednesday Frameset - 2016</v>
      </c>
      <c r="I146">
        <f>VLOOKUP(H146,[1]products!$B:$D,3,0)</f>
        <v>6</v>
      </c>
      <c r="J146" t="str">
        <f>VLOOKUP(I146,[2]categories!$A$2:$B$8,2,0)</f>
        <v>Mountain Bikes</v>
      </c>
    </row>
    <row r="147" spans="1:10">
      <c r="A147">
        <v>50</v>
      </c>
      <c r="B147">
        <v>2</v>
      </c>
      <c r="C147">
        <v>26</v>
      </c>
      <c r="D147">
        <v>2</v>
      </c>
      <c r="E147">
        <v>599.99</v>
      </c>
      <c r="F147">
        <v>0.07</v>
      </c>
      <c r="G147" s="1">
        <f t="shared" si="2"/>
        <v>1115.9814</v>
      </c>
      <c r="H147" t="str">
        <f>VLOOKUP(C147,[1]products!$A:$B,2,0)</f>
        <v>Electra Townie Original 7D EQ - 2016</v>
      </c>
      <c r="I147">
        <f>VLOOKUP(H147,[1]products!$B:$D,3,0)</f>
        <v>3</v>
      </c>
      <c r="J147" t="str">
        <f>VLOOKUP(I147,[2]categories!$A$2:$B$8,2,0)</f>
        <v>Cruisers Bicycles</v>
      </c>
    </row>
    <row r="148" spans="1:10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 s="1">
        <f t="shared" si="2"/>
        <v>431.984</v>
      </c>
      <c r="H148" t="str">
        <f>VLOOKUP(C148,[1]products!$A:$B,2,0)</f>
        <v>Electra Cruiser 1 (24-Inch) - 2016</v>
      </c>
      <c r="I148">
        <f>VLOOKUP(H148,[1]products!$B:$D,3,0)</f>
        <v>3</v>
      </c>
      <c r="J148" t="str">
        <f>VLOOKUP(I148,[2]categories!$A$2:$B$8,2,0)</f>
        <v>Cruisers Bicycles</v>
      </c>
    </row>
    <row r="149" spans="1:10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 s="1">
        <f t="shared" si="2"/>
        <v>256.4905</v>
      </c>
      <c r="H149" t="str">
        <f>VLOOKUP(C149,[1]products!$A:$B,2,0)</f>
        <v>Electra Cruiser 1 (24-Inch) - 2016</v>
      </c>
      <c r="I149">
        <f>VLOOKUP(H149,[1]products!$B:$D,3,0)</f>
        <v>3</v>
      </c>
      <c r="J149" t="str">
        <f>VLOOKUP(I149,[2]categories!$A$2:$B$8,2,0)</f>
        <v>Cruisers Bicycles</v>
      </c>
    </row>
    <row r="150" spans="1:10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 s="1">
        <f t="shared" si="2"/>
        <v>569.9905</v>
      </c>
      <c r="H150" t="str">
        <f>VLOOKUP(C150,[1]products!$A:$B,2,0)</f>
        <v>Electra Townie Original 7D EQ - Women's - 2016</v>
      </c>
      <c r="I150">
        <f>VLOOKUP(H150,[1]products!$B:$D,3,0)</f>
        <v>3</v>
      </c>
      <c r="J150" t="str">
        <f>VLOOKUP(I150,[2]categories!$A$2:$B$8,2,0)</f>
        <v>Cruisers Bicycles</v>
      </c>
    </row>
    <row r="151" spans="1:10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 s="1">
        <f t="shared" si="2"/>
        <v>959.984</v>
      </c>
      <c r="H151" t="str">
        <f>VLOOKUP(C151,[1]products!$A:$B,2,0)</f>
        <v>Electra Townie Original 7D EQ - 2016</v>
      </c>
      <c r="I151">
        <f>VLOOKUP(H151,[1]products!$B:$D,3,0)</f>
        <v>3</v>
      </c>
      <c r="J151" t="str">
        <f>VLOOKUP(I151,[2]categories!$A$2:$B$8,2,0)</f>
        <v>Cruisers Bicycles</v>
      </c>
    </row>
    <row r="152" spans="1:10">
      <c r="A152">
        <v>52</v>
      </c>
      <c r="B152">
        <v>1</v>
      </c>
      <c r="C152">
        <v>25</v>
      </c>
      <c r="D152">
        <v>1</v>
      </c>
      <c r="E152">
        <v>499.99</v>
      </c>
      <c r="F152">
        <v>0.07</v>
      </c>
      <c r="G152" s="1">
        <f t="shared" si="2"/>
        <v>464.9907</v>
      </c>
      <c r="H152" t="str">
        <f>VLOOKUP(C152,[1]products!$A:$B,2,0)</f>
        <v>Electra Townie Original 7D - 2015/2016</v>
      </c>
      <c r="I152">
        <f>VLOOKUP(H152,[1]products!$B:$D,3,0)</f>
        <v>2</v>
      </c>
      <c r="J152" t="str">
        <f>VLOOKUP(I152,[2]categories!$A$2:$B$8,2,0)</f>
        <v>Comfort Bicycles</v>
      </c>
    </row>
    <row r="153" spans="1:10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 s="1">
        <f t="shared" si="2"/>
        <v>2879.984</v>
      </c>
      <c r="H153" t="str">
        <f>VLOOKUP(C153,[1]products!$A:$B,2,0)</f>
        <v>Trek Remedy 29 Carbon Frameset - 2016</v>
      </c>
      <c r="I153">
        <f>VLOOKUP(H153,[1]products!$B:$D,3,0)</f>
        <v>6</v>
      </c>
      <c r="J153" t="str">
        <f>VLOOKUP(I153,[2]categories!$A$2:$B$8,2,0)</f>
        <v>Mountain Bikes</v>
      </c>
    </row>
    <row r="154" spans="1:10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 s="1">
        <f t="shared" si="2"/>
        <v>569.981</v>
      </c>
      <c r="H154" t="str">
        <f>VLOOKUP(C154,[1]products!$A:$B,2,0)</f>
        <v>Electra Girl's Hawaii 1 (20-inch) - 2015/2016</v>
      </c>
      <c r="I154">
        <f>VLOOKUP(H154,[1]products!$B:$D,3,0)</f>
        <v>1</v>
      </c>
      <c r="J154" t="str">
        <f>VLOOKUP(I154,[2]categories!$A$2:$B$8,2,0)</f>
        <v>Children Bicycles</v>
      </c>
    </row>
    <row r="155" spans="1:10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 s="1">
        <f t="shared" si="2"/>
        <v>431.984</v>
      </c>
      <c r="H155" t="str">
        <f>VLOOKUP(C155,[1]products!$A:$B,2,0)</f>
        <v>Electra Girl's Hawaii 1 (16-inch) - 2015/2016</v>
      </c>
      <c r="I155">
        <f>VLOOKUP(H155,[1]products!$B:$D,3,0)</f>
        <v>3</v>
      </c>
      <c r="J155" t="str">
        <f>VLOOKUP(I155,[2]categories!$A$2:$B$8,2,0)</f>
        <v>Cruisers Bicycles</v>
      </c>
    </row>
    <row r="156" spans="1:10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 s="1">
        <f t="shared" si="2"/>
        <v>899.982</v>
      </c>
      <c r="H156" t="str">
        <f>VLOOKUP(C156,[1]products!$A:$B,2,0)</f>
        <v>Electra Townie Original 7D - 2015/2016</v>
      </c>
      <c r="I156">
        <f>VLOOKUP(H156,[1]products!$B:$D,3,0)</f>
        <v>2</v>
      </c>
      <c r="J156" t="str">
        <f>VLOOKUP(I156,[2]categories!$A$2:$B$8,2,0)</f>
        <v>Comfort Bicycles</v>
      </c>
    </row>
    <row r="157" spans="1:10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 s="1">
        <f t="shared" si="2"/>
        <v>959.984</v>
      </c>
      <c r="H157" t="str">
        <f>VLOOKUP(C157,[1]products!$A:$B,2,0)</f>
        <v>Electra Townie Original 7D EQ - 2016</v>
      </c>
      <c r="I157">
        <f>VLOOKUP(H157,[1]products!$B:$D,3,0)</f>
        <v>3</v>
      </c>
      <c r="J157" t="str">
        <f>VLOOKUP(I157,[2]categories!$A$2:$B$8,2,0)</f>
        <v>Cruisers Bicycles</v>
      </c>
    </row>
    <row r="158" spans="1:10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 s="1">
        <f t="shared" si="2"/>
        <v>799.992</v>
      </c>
      <c r="H158" t="str">
        <f>VLOOKUP(C158,[1]products!$A:$B,2,0)</f>
        <v>Surly Wednesday Frameset - 2016</v>
      </c>
      <c r="I158">
        <f>VLOOKUP(H158,[1]products!$B:$D,3,0)</f>
        <v>6</v>
      </c>
      <c r="J158" t="str">
        <f>VLOOKUP(I158,[2]categories!$A$2:$B$8,2,0)</f>
        <v>Mountain Bikes</v>
      </c>
    </row>
    <row r="159" spans="1:10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 s="1">
        <f t="shared" si="2"/>
        <v>256.4905</v>
      </c>
      <c r="H159" t="str">
        <f>VLOOKUP(C159,[1]products!$A:$B,2,0)</f>
        <v>Electra Cruiser 1 (24-Inch) - 2016</v>
      </c>
      <c r="I159">
        <f>VLOOKUP(H159,[1]products!$B:$D,3,0)</f>
        <v>3</v>
      </c>
      <c r="J159" t="str">
        <f>VLOOKUP(I159,[2]categories!$A$2:$B$8,2,0)</f>
        <v>Cruisers Bicycles</v>
      </c>
    </row>
    <row r="160" spans="1:10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 s="1">
        <f t="shared" si="2"/>
        <v>799.984</v>
      </c>
      <c r="H160" t="str">
        <f>VLOOKUP(C160,[1]products!$A:$B,2,0)</f>
        <v>Electra Townie Original 7D - 2015/2016</v>
      </c>
      <c r="I160">
        <f>VLOOKUP(H160,[1]products!$B:$D,3,0)</f>
        <v>2</v>
      </c>
      <c r="J160" t="str">
        <f>VLOOKUP(I160,[2]categories!$A$2:$B$8,2,0)</f>
        <v>Comfort Bicycles</v>
      </c>
    </row>
    <row r="161" spans="1:10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 s="1">
        <f t="shared" si="2"/>
        <v>847.984</v>
      </c>
      <c r="H161" t="str">
        <f>VLOOKUP(C161,[1]products!$A:$B,2,0)</f>
        <v>Electra Moto 1 - 2016</v>
      </c>
      <c r="I161">
        <f>VLOOKUP(H161,[1]products!$B:$D,3,0)</f>
        <v>3</v>
      </c>
      <c r="J161" t="str">
        <f>VLOOKUP(I161,[2]categories!$A$2:$B$8,2,0)</f>
        <v>Cruisers Bicycles</v>
      </c>
    </row>
    <row r="162" spans="1:10">
      <c r="A162">
        <v>56</v>
      </c>
      <c r="B162">
        <v>1</v>
      </c>
      <c r="C162">
        <v>20</v>
      </c>
      <c r="D162">
        <v>2</v>
      </c>
      <c r="E162">
        <v>599.99</v>
      </c>
      <c r="F162">
        <v>0.07</v>
      </c>
      <c r="G162" s="1">
        <f t="shared" si="2"/>
        <v>1115.9814</v>
      </c>
      <c r="H162" t="str">
        <f>VLOOKUP(C162,[1]products!$A:$B,2,0)</f>
        <v>Electra Townie Original 7D EQ - Women's - 2016</v>
      </c>
      <c r="I162">
        <f>VLOOKUP(H162,[1]products!$B:$D,3,0)</f>
        <v>3</v>
      </c>
      <c r="J162" t="str">
        <f>VLOOKUP(I162,[2]categories!$A$2:$B$8,2,0)</f>
        <v>Cruisers Bicycles</v>
      </c>
    </row>
    <row r="163" spans="1:10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 s="1">
        <f t="shared" si="2"/>
        <v>539.982</v>
      </c>
      <c r="H163" t="str">
        <f>VLOOKUP(C163,[1]products!$A:$B,2,0)</f>
        <v>Electra Girl's Hawaii 1 (20-inch) - 2015/2016</v>
      </c>
      <c r="I163">
        <f>VLOOKUP(H163,[1]products!$B:$D,3,0)</f>
        <v>1</v>
      </c>
      <c r="J163" t="str">
        <f>VLOOKUP(I163,[2]categories!$A$2:$B$8,2,0)</f>
        <v>Children Bicycles</v>
      </c>
    </row>
    <row r="164" spans="1:10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 s="1">
        <f t="shared" si="2"/>
        <v>718.4</v>
      </c>
      <c r="H164" t="str">
        <f>VLOOKUP(C164,[1]products!$A:$B,2,0)</f>
        <v>Pure Cycles William 3-Speed - 2016</v>
      </c>
      <c r="I164">
        <f>VLOOKUP(H164,[1]products!$B:$D,3,0)</f>
        <v>3</v>
      </c>
      <c r="J164" t="str">
        <f>VLOOKUP(I164,[2]categories!$A$2:$B$8,2,0)</f>
        <v>Cruisers Bicycles</v>
      </c>
    </row>
    <row r="165" spans="1:10">
      <c r="A165">
        <v>57</v>
      </c>
      <c r="B165">
        <v>3</v>
      </c>
      <c r="C165">
        <v>13</v>
      </c>
      <c r="D165">
        <v>1</v>
      </c>
      <c r="E165">
        <v>269.99</v>
      </c>
      <c r="F165">
        <v>0.07</v>
      </c>
      <c r="G165" s="1">
        <f t="shared" si="2"/>
        <v>251.0907</v>
      </c>
      <c r="H165" t="str">
        <f>VLOOKUP(C165,[1]products!$A:$B,2,0)</f>
        <v>Electra Cruiser 1 (24-Inch) - 2016</v>
      </c>
      <c r="I165">
        <f>VLOOKUP(H165,[1]products!$B:$D,3,0)</f>
        <v>3</v>
      </c>
      <c r="J165" t="str">
        <f>VLOOKUP(I165,[2]categories!$A$2:$B$8,2,0)</f>
        <v>Cruisers Bicycles</v>
      </c>
    </row>
    <row r="166" spans="1:10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 s="1">
        <f t="shared" si="2"/>
        <v>512.981</v>
      </c>
      <c r="H166" t="str">
        <f>VLOOKUP(C166,[1]products!$A:$B,2,0)</f>
        <v>Electra Girl's Hawaii 1 (16-inch) - 2015/2016</v>
      </c>
      <c r="I166">
        <f>VLOOKUP(H166,[1]products!$B:$D,3,0)</f>
        <v>3</v>
      </c>
      <c r="J166" t="str">
        <f>VLOOKUP(I166,[2]categories!$A$2:$B$8,2,0)</f>
        <v>Cruisers Bicycles</v>
      </c>
    </row>
    <row r="167" spans="1:10">
      <c r="A167">
        <v>58</v>
      </c>
      <c r="B167">
        <v>2</v>
      </c>
      <c r="C167">
        <v>18</v>
      </c>
      <c r="D167">
        <v>1</v>
      </c>
      <c r="E167">
        <v>449</v>
      </c>
      <c r="F167">
        <v>0.07</v>
      </c>
      <c r="G167" s="1">
        <f t="shared" si="2"/>
        <v>417.57</v>
      </c>
      <c r="H167" t="str">
        <f>VLOOKUP(C167,[1]products!$A:$B,2,0)</f>
        <v>Pure Cycles Western 3-Speed - Women's - 2015/2016</v>
      </c>
      <c r="I167">
        <f>VLOOKUP(H167,[1]products!$B:$D,3,0)</f>
        <v>3</v>
      </c>
      <c r="J167" t="str">
        <f>VLOOKUP(I167,[2]categories!$A$2:$B$8,2,0)</f>
        <v>Cruisers Bicycles</v>
      </c>
    </row>
    <row r="168" spans="1:10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 s="1">
        <f t="shared" si="2"/>
        <v>269.991</v>
      </c>
      <c r="H168" t="str">
        <f>VLOOKUP(C168,[1]products!$A:$B,2,0)</f>
        <v>Electra Girl's Hawaii 1 (20-inch) - 2015/2016</v>
      </c>
      <c r="I168">
        <f>VLOOKUP(H168,[1]products!$B:$D,3,0)</f>
        <v>1</v>
      </c>
      <c r="J168" t="str">
        <f>VLOOKUP(I168,[2]categories!$A$2:$B$8,2,0)</f>
        <v>Children Bicycles</v>
      </c>
    </row>
    <row r="169" spans="1:10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 s="1">
        <f t="shared" si="2"/>
        <v>256.4905</v>
      </c>
      <c r="H169" t="str">
        <f>VLOOKUP(C169,[1]products!$A:$B,2,0)</f>
        <v>Electra Cruiser 1 (24-Inch) - 2016</v>
      </c>
      <c r="I169">
        <f>VLOOKUP(H169,[1]products!$B:$D,3,0)</f>
        <v>3</v>
      </c>
      <c r="J169" t="str">
        <f>VLOOKUP(I169,[2]categories!$A$2:$B$8,2,0)</f>
        <v>Cruisers Bicycles</v>
      </c>
    </row>
    <row r="170" spans="1:10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 s="1">
        <f t="shared" si="2"/>
        <v>674.991</v>
      </c>
      <c r="H170" t="str">
        <f>VLOOKUP(C170,[1]products!$A:$B,2,0)</f>
        <v>Ritchey Timberwolf Frameset - 2016</v>
      </c>
      <c r="I170">
        <f>VLOOKUP(H170,[1]products!$B:$D,3,0)</f>
        <v>6</v>
      </c>
      <c r="J170" t="str">
        <f>VLOOKUP(I170,[2]categories!$A$2:$B$8,2,0)</f>
        <v>Mountain Bikes</v>
      </c>
    </row>
    <row r="171" spans="1:10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 s="1">
        <f t="shared" si="2"/>
        <v>772.2</v>
      </c>
      <c r="H171" t="str">
        <f>VLOOKUP(C171,[1]products!$A:$B,2,0)</f>
        <v>Pure Cycles Vine 8-Speed - 2016</v>
      </c>
      <c r="I171">
        <f>VLOOKUP(H171,[1]products!$B:$D,3,0)</f>
        <v>3</v>
      </c>
      <c r="J171" t="str">
        <f>VLOOKUP(I171,[2]categories!$A$2:$B$8,2,0)</f>
        <v>Cruisers Bicycles</v>
      </c>
    </row>
    <row r="172" spans="1:10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 s="1">
        <f t="shared" si="2"/>
        <v>512.981</v>
      </c>
      <c r="H172" t="str">
        <f>VLOOKUP(C172,[1]products!$A:$B,2,0)</f>
        <v>Electra Girl's Hawaii 1 (16-inch) - 2015/2016</v>
      </c>
      <c r="I172">
        <f>VLOOKUP(H172,[1]products!$B:$D,3,0)</f>
        <v>3</v>
      </c>
      <c r="J172" t="str">
        <f>VLOOKUP(I172,[2]categories!$A$2:$B$8,2,0)</f>
        <v>Cruisers Bicycles</v>
      </c>
    </row>
    <row r="173" spans="1:10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 s="1">
        <f t="shared" si="2"/>
        <v>2609.991</v>
      </c>
      <c r="H173" t="str">
        <f>VLOOKUP(C173,[1]products!$A:$B,2,0)</f>
        <v>Trek Fuel EX 8 29 - 2016</v>
      </c>
      <c r="I173">
        <f>VLOOKUP(H173,[1]products!$B:$D,3,0)</f>
        <v>6</v>
      </c>
      <c r="J173" t="str">
        <f>VLOOKUP(I173,[2]categories!$A$2:$B$8,2,0)</f>
        <v>Mountain Bikes</v>
      </c>
    </row>
    <row r="174" spans="1:10">
      <c r="A174">
        <v>60</v>
      </c>
      <c r="B174">
        <v>3</v>
      </c>
      <c r="C174">
        <v>15</v>
      </c>
      <c r="D174">
        <v>1</v>
      </c>
      <c r="E174">
        <v>529.99</v>
      </c>
      <c r="F174">
        <v>0.07</v>
      </c>
      <c r="G174" s="1">
        <f t="shared" si="2"/>
        <v>492.8907</v>
      </c>
      <c r="H174" t="str">
        <f>VLOOKUP(C174,[1]products!$A:$B,2,0)</f>
        <v>Electra Moto 1 - 2016</v>
      </c>
      <c r="I174">
        <f>VLOOKUP(H174,[1]products!$B:$D,3,0)</f>
        <v>3</v>
      </c>
      <c r="J174" t="str">
        <f>VLOOKUP(I174,[2]categories!$A$2:$B$8,2,0)</f>
        <v>Cruisers Bicycles</v>
      </c>
    </row>
    <row r="175" spans="1:10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 s="1">
        <f t="shared" si="2"/>
        <v>215.992</v>
      </c>
      <c r="H175" t="str">
        <f>VLOOKUP(C175,[1]products!$A:$B,2,0)</f>
        <v>Electra Girl's Hawaii 1 (16-inch) - 2015/2016</v>
      </c>
      <c r="I175">
        <f>VLOOKUP(H175,[1]products!$B:$D,3,0)</f>
        <v>3</v>
      </c>
      <c r="J175" t="str">
        <f>VLOOKUP(I175,[2]categories!$A$2:$B$8,2,0)</f>
        <v>Cruisers Bicycles</v>
      </c>
    </row>
    <row r="176" spans="1:10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 s="1">
        <f t="shared" si="2"/>
        <v>449.991</v>
      </c>
      <c r="H176" t="str">
        <f>VLOOKUP(C176,[1]products!$A:$B,2,0)</f>
        <v>Electra Townie Original 7D - 2015/2016</v>
      </c>
      <c r="I176">
        <f>VLOOKUP(H176,[1]products!$B:$D,3,0)</f>
        <v>2</v>
      </c>
      <c r="J176" t="str">
        <f>VLOOKUP(I176,[2]categories!$A$2:$B$8,2,0)</f>
        <v>Comfort Bicycles</v>
      </c>
    </row>
    <row r="177" spans="1:10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 s="1">
        <f t="shared" si="2"/>
        <v>1006.981</v>
      </c>
      <c r="H177" t="str">
        <f>VLOOKUP(C177,[1]products!$A:$B,2,0)</f>
        <v>Electra Moto 1 - 2016</v>
      </c>
      <c r="I177">
        <f>VLOOKUP(H177,[1]products!$B:$D,3,0)</f>
        <v>3</v>
      </c>
      <c r="J177" t="str">
        <f>VLOOKUP(I177,[2]categories!$A$2:$B$8,2,0)</f>
        <v>Cruisers Bicycles</v>
      </c>
    </row>
    <row r="178" spans="1:10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 s="1">
        <f t="shared" si="2"/>
        <v>2113.584</v>
      </c>
      <c r="H178" t="str">
        <f>VLOOKUP(C178,[1]products!$A:$B,2,0)</f>
        <v>Heller Shagamaw Frame - 2016</v>
      </c>
      <c r="I178">
        <f>VLOOKUP(H178,[1]products!$B:$D,3,0)</f>
        <v>6</v>
      </c>
      <c r="J178" t="str">
        <f>VLOOKUP(I178,[2]categories!$A$2:$B$8,2,0)</f>
        <v>Mountain Bikes</v>
      </c>
    </row>
    <row r="179" spans="1:10">
      <c r="A179">
        <v>62</v>
      </c>
      <c r="B179">
        <v>1</v>
      </c>
      <c r="C179">
        <v>14</v>
      </c>
      <c r="D179">
        <v>1</v>
      </c>
      <c r="E179">
        <v>269.99</v>
      </c>
      <c r="F179">
        <v>0.07</v>
      </c>
      <c r="G179" s="1">
        <f t="shared" si="2"/>
        <v>251.0907</v>
      </c>
      <c r="H179" t="str">
        <f>VLOOKUP(C179,[1]products!$A:$B,2,0)</f>
        <v>Electra Girl's Hawaii 1 (16-inch) - 2015/2016</v>
      </c>
      <c r="I179">
        <f>VLOOKUP(H179,[1]products!$B:$D,3,0)</f>
        <v>3</v>
      </c>
      <c r="J179" t="str">
        <f>VLOOKUP(I179,[2]categories!$A$2:$B$8,2,0)</f>
        <v>Cruisers Bicycles</v>
      </c>
    </row>
    <row r="180" spans="1:10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 s="1">
        <f t="shared" si="2"/>
        <v>3239.982</v>
      </c>
      <c r="H180" t="str">
        <f>VLOOKUP(C180,[1]products!$A:$B,2,0)</f>
        <v>Trek Remedy 29 Carbon Frameset - 2016</v>
      </c>
      <c r="I180">
        <f>VLOOKUP(H180,[1]products!$B:$D,3,0)</f>
        <v>6</v>
      </c>
      <c r="J180" t="str">
        <f>VLOOKUP(I180,[2]categories!$A$2:$B$8,2,0)</f>
        <v>Mountain Bikes</v>
      </c>
    </row>
    <row r="181" spans="1:10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 s="1">
        <f t="shared" si="2"/>
        <v>485.982</v>
      </c>
      <c r="H181" t="str">
        <f>VLOOKUP(C181,[1]products!$A:$B,2,0)</f>
        <v>Electra Girl's Hawaii 1 (16-inch) - 2015/2016</v>
      </c>
      <c r="I181">
        <f>VLOOKUP(H181,[1]products!$B:$D,3,0)</f>
        <v>3</v>
      </c>
      <c r="J181" t="str">
        <f>VLOOKUP(I181,[2]categories!$A$2:$B$8,2,0)</f>
        <v>Cruisers Bicycles</v>
      </c>
    </row>
    <row r="182" spans="1:10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 s="1">
        <f t="shared" si="2"/>
        <v>899.982</v>
      </c>
      <c r="H182" t="str">
        <f>VLOOKUP(C182,[1]products!$A:$B,2,0)</f>
        <v>Electra Townie Original 7D - 2015/2016</v>
      </c>
      <c r="I182">
        <f>VLOOKUP(H182,[1]products!$B:$D,3,0)</f>
        <v>2</v>
      </c>
      <c r="J182" t="str">
        <f>VLOOKUP(I182,[2]categories!$A$2:$B$8,2,0)</f>
        <v>Comfort Bicycles</v>
      </c>
    </row>
    <row r="183" spans="1:10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 s="1">
        <f t="shared" si="2"/>
        <v>853.1</v>
      </c>
      <c r="H183" t="str">
        <f>VLOOKUP(C183,[1]products!$A:$B,2,0)</f>
        <v>Pure Cycles William 3-Speed - 2016</v>
      </c>
      <c r="I183">
        <f>VLOOKUP(H183,[1]products!$B:$D,3,0)</f>
        <v>3</v>
      </c>
      <c r="J183" t="str">
        <f>VLOOKUP(I183,[2]categories!$A$2:$B$8,2,0)</f>
        <v>Cruisers Bicycles</v>
      </c>
    </row>
    <row r="184" spans="1:10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 s="1">
        <f t="shared" si="2"/>
        <v>899.991</v>
      </c>
      <c r="H184" t="str">
        <f>VLOOKUP(C184,[1]products!$A:$B,2,0)</f>
        <v>Surly Wednesday Frameset - 2016</v>
      </c>
      <c r="I184">
        <f>VLOOKUP(H184,[1]products!$B:$D,3,0)</f>
        <v>6</v>
      </c>
      <c r="J184" t="str">
        <f>VLOOKUP(I184,[2]categories!$A$2:$B$8,2,0)</f>
        <v>Mountain Bikes</v>
      </c>
    </row>
    <row r="185" spans="1:10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 s="1">
        <f t="shared" si="2"/>
        <v>899.982</v>
      </c>
      <c r="H185" t="str">
        <f>VLOOKUP(C185,[1]products!$A:$B,2,0)</f>
        <v>Electra Townie Original 7D - 2015/2016</v>
      </c>
      <c r="I185">
        <f>VLOOKUP(H185,[1]products!$B:$D,3,0)</f>
        <v>2</v>
      </c>
      <c r="J185" t="str">
        <f>VLOOKUP(I185,[2]categories!$A$2:$B$8,2,0)</f>
        <v>Comfort Bicycles</v>
      </c>
    </row>
    <row r="186" spans="1:10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 s="1">
        <f t="shared" si="2"/>
        <v>431.984</v>
      </c>
      <c r="H186" t="str">
        <f>VLOOKUP(C186,[1]products!$A:$B,2,0)</f>
        <v>Electra Girl's Hawaii 1 (16-inch) - 2015/2016</v>
      </c>
      <c r="I186">
        <f>VLOOKUP(H186,[1]products!$B:$D,3,0)</f>
        <v>3</v>
      </c>
      <c r="J186" t="str">
        <f>VLOOKUP(I186,[2]categories!$A$2:$B$8,2,0)</f>
        <v>Cruisers Bicycles</v>
      </c>
    </row>
    <row r="187" spans="1:10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 s="1">
        <f t="shared" si="2"/>
        <v>479.984</v>
      </c>
      <c r="H187" t="str">
        <f>VLOOKUP(C187,[1]products!$A:$B,2,0)</f>
        <v>Electra Girl's Hawaii 1 (20-inch) - 2015/2016</v>
      </c>
      <c r="I187">
        <f>VLOOKUP(H187,[1]products!$B:$D,3,0)</f>
        <v>1</v>
      </c>
      <c r="J187" t="str">
        <f>VLOOKUP(I187,[2]categories!$A$2:$B$8,2,0)</f>
        <v>Children Bicycles</v>
      </c>
    </row>
    <row r="188" spans="1:10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 s="1">
        <f t="shared" si="2"/>
        <v>989.982</v>
      </c>
      <c r="H188" t="str">
        <f>VLOOKUP(C188,[1]products!$A:$B,2,0)</f>
        <v>Electra Townie Original 21D - 2016</v>
      </c>
      <c r="I188">
        <f>VLOOKUP(H188,[1]products!$B:$D,3,0)</f>
        <v>3</v>
      </c>
      <c r="J188" t="str">
        <f>VLOOKUP(I188,[2]categories!$A$2:$B$8,2,0)</f>
        <v>Cruisers Bicycles</v>
      </c>
    </row>
    <row r="189" spans="1:10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 s="1">
        <f t="shared" si="2"/>
        <v>494.991</v>
      </c>
      <c r="H189" t="str">
        <f>VLOOKUP(C189,[1]products!$A:$B,2,0)</f>
        <v>Electra Townie Original 21D - 2016</v>
      </c>
      <c r="I189">
        <f>VLOOKUP(H189,[1]products!$B:$D,3,0)</f>
        <v>3</v>
      </c>
      <c r="J189" t="str">
        <f>VLOOKUP(I189,[2]categories!$A$2:$B$8,2,0)</f>
        <v>Cruisers Bicycles</v>
      </c>
    </row>
    <row r="190" spans="1:10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 s="1">
        <f t="shared" si="2"/>
        <v>599.992</v>
      </c>
      <c r="H190" t="str">
        <f>VLOOKUP(C190,[1]products!$A:$B,2,0)</f>
        <v>Ritchey Timberwolf Frameset - 2016</v>
      </c>
      <c r="I190">
        <f>VLOOKUP(H190,[1]products!$B:$D,3,0)</f>
        <v>6</v>
      </c>
      <c r="J190" t="str">
        <f>VLOOKUP(I190,[2]categories!$A$2:$B$8,2,0)</f>
        <v>Mountain Bikes</v>
      </c>
    </row>
    <row r="191" spans="1:10">
      <c r="A191">
        <v>66</v>
      </c>
      <c r="B191">
        <v>2</v>
      </c>
      <c r="C191">
        <v>23</v>
      </c>
      <c r="D191">
        <v>1</v>
      </c>
      <c r="E191">
        <v>299.99</v>
      </c>
      <c r="F191">
        <v>0.07</v>
      </c>
      <c r="G191" s="1">
        <f t="shared" si="2"/>
        <v>278.9907</v>
      </c>
      <c r="H191" t="str">
        <f>VLOOKUP(C191,[1]products!$A:$B,2,0)</f>
        <v>Electra Girl's Hawaii 1 (20-inch) - 2015/2016</v>
      </c>
      <c r="I191">
        <f>VLOOKUP(H191,[1]products!$B:$D,3,0)</f>
        <v>1</v>
      </c>
      <c r="J191" t="str">
        <f>VLOOKUP(I191,[2]categories!$A$2:$B$8,2,0)</f>
        <v>Children Bicycles</v>
      </c>
    </row>
    <row r="192" spans="1:10">
      <c r="A192">
        <v>66</v>
      </c>
      <c r="B192">
        <v>3</v>
      </c>
      <c r="C192">
        <v>12</v>
      </c>
      <c r="D192">
        <v>1</v>
      </c>
      <c r="E192">
        <v>549.99</v>
      </c>
      <c r="F192">
        <v>0.07</v>
      </c>
      <c r="G192" s="1">
        <f t="shared" si="2"/>
        <v>511.4907</v>
      </c>
      <c r="H192" t="str">
        <f>VLOOKUP(C192,[1]products!$A:$B,2,0)</f>
        <v>Electra Townie Original 21D - 2016</v>
      </c>
      <c r="I192">
        <f>VLOOKUP(H192,[1]products!$B:$D,3,0)</f>
        <v>3</v>
      </c>
      <c r="J192" t="str">
        <f>VLOOKUP(I192,[2]categories!$A$2:$B$8,2,0)</f>
        <v>Cruisers Bicycles</v>
      </c>
    </row>
    <row r="193" spans="1:10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 s="1">
        <f t="shared" si="2"/>
        <v>479.984</v>
      </c>
      <c r="H193" t="str">
        <f>VLOOKUP(C193,[1]products!$A:$B,2,0)</f>
        <v>Electra Girl's Hawaii 1 (20-inch) - 2015/2016</v>
      </c>
      <c r="I193">
        <f>VLOOKUP(H193,[1]products!$B:$D,3,0)</f>
        <v>1</v>
      </c>
      <c r="J193" t="str">
        <f>VLOOKUP(I193,[2]categories!$A$2:$B$8,2,0)</f>
        <v>Children Bicycles</v>
      </c>
    </row>
    <row r="194" spans="1:10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 s="1">
        <f t="shared" ref="G194:G257" si="3">D194*E194*(1-F194)</f>
        <v>989.982</v>
      </c>
      <c r="H194" t="str">
        <f>VLOOKUP(C194,[1]products!$A:$B,2,0)</f>
        <v>Electra Townie Original 21D - 2016</v>
      </c>
      <c r="I194">
        <f>VLOOKUP(H194,[1]products!$B:$D,3,0)</f>
        <v>3</v>
      </c>
      <c r="J194" t="str">
        <f>VLOOKUP(I194,[2]categories!$A$2:$B$8,2,0)</f>
        <v>Cruisers Bicycles</v>
      </c>
    </row>
    <row r="195" spans="1:10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 s="1">
        <f t="shared" si="3"/>
        <v>215.992</v>
      </c>
      <c r="H195" t="str">
        <f>VLOOKUP(C195,[1]products!$A:$B,2,0)</f>
        <v>Electra Cruiser 1 (24-Inch) - 2016</v>
      </c>
      <c r="I195">
        <f>VLOOKUP(H195,[1]products!$B:$D,3,0)</f>
        <v>3</v>
      </c>
      <c r="J195" t="str">
        <f>VLOOKUP(I195,[2]categories!$A$2:$B$8,2,0)</f>
        <v>Cruisers Bicycles</v>
      </c>
    </row>
    <row r="196" spans="1:10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 s="1">
        <f t="shared" si="3"/>
        <v>2377.782</v>
      </c>
      <c r="H196" t="str">
        <f>VLOOKUP(C196,[1]products!$A:$B,2,0)</f>
        <v>Heller Shagamaw Frame - 2016</v>
      </c>
      <c r="I196">
        <f>VLOOKUP(H196,[1]products!$B:$D,3,0)</f>
        <v>6</v>
      </c>
      <c r="J196" t="str">
        <f>VLOOKUP(I196,[2]categories!$A$2:$B$8,2,0)</f>
        <v>Mountain Bikes</v>
      </c>
    </row>
    <row r="197" spans="1:10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 s="1">
        <f t="shared" si="3"/>
        <v>359.2</v>
      </c>
      <c r="H197" t="str">
        <f>VLOOKUP(C197,[1]products!$A:$B,2,0)</f>
        <v>Pure Cycles William 3-Speed - 2016</v>
      </c>
      <c r="I197">
        <f>VLOOKUP(H197,[1]products!$B:$D,3,0)</f>
        <v>3</v>
      </c>
      <c r="J197" t="str">
        <f>VLOOKUP(I197,[2]categories!$A$2:$B$8,2,0)</f>
        <v>Cruisers Bicycles</v>
      </c>
    </row>
    <row r="198" spans="1:10">
      <c r="A198">
        <v>68</v>
      </c>
      <c r="B198">
        <v>1</v>
      </c>
      <c r="C198">
        <v>13</v>
      </c>
      <c r="D198">
        <v>2</v>
      </c>
      <c r="E198">
        <v>269.99</v>
      </c>
      <c r="F198">
        <v>0.07</v>
      </c>
      <c r="G198" s="1">
        <f t="shared" si="3"/>
        <v>502.1814</v>
      </c>
      <c r="H198" t="str">
        <f>VLOOKUP(C198,[1]products!$A:$B,2,0)</f>
        <v>Electra Cruiser 1 (24-Inch) - 2016</v>
      </c>
      <c r="I198">
        <f>VLOOKUP(H198,[1]products!$B:$D,3,0)</f>
        <v>3</v>
      </c>
      <c r="J198" t="str">
        <f>VLOOKUP(I198,[2]categories!$A$2:$B$8,2,0)</f>
        <v>Cruisers Bicycles</v>
      </c>
    </row>
    <row r="199" spans="1:10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 s="1">
        <f t="shared" si="3"/>
        <v>386.1</v>
      </c>
      <c r="H199" t="str">
        <f>VLOOKUP(C199,[1]products!$A:$B,2,0)</f>
        <v>Pure Cycles Vine 8-Speed - 2016</v>
      </c>
      <c r="I199">
        <f>VLOOKUP(H199,[1]products!$B:$D,3,0)</f>
        <v>3</v>
      </c>
      <c r="J199" t="str">
        <f>VLOOKUP(I199,[2]categories!$A$2:$B$8,2,0)</f>
        <v>Cruisers Bicycles</v>
      </c>
    </row>
    <row r="200" spans="1:10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 s="1">
        <f t="shared" si="3"/>
        <v>485.982</v>
      </c>
      <c r="H200" t="str">
        <f>VLOOKUP(C200,[1]products!$A:$B,2,0)</f>
        <v>Electra Girl's Hawaii 1 (16-inch) - 2015/2016</v>
      </c>
      <c r="I200">
        <f>VLOOKUP(H200,[1]products!$B:$D,3,0)</f>
        <v>3</v>
      </c>
      <c r="J200" t="str">
        <f>VLOOKUP(I200,[2]categories!$A$2:$B$8,2,0)</f>
        <v>Cruisers Bicycles</v>
      </c>
    </row>
    <row r="201" spans="1:10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 s="1">
        <f t="shared" si="3"/>
        <v>1056.792</v>
      </c>
      <c r="H201" t="str">
        <f>VLOOKUP(C201,[1]products!$A:$B,2,0)</f>
        <v>Heller Shagamaw Frame - 2016</v>
      </c>
      <c r="I201">
        <f>VLOOKUP(H201,[1]products!$B:$D,3,0)</f>
        <v>6</v>
      </c>
      <c r="J201" t="str">
        <f>VLOOKUP(I201,[2]categories!$A$2:$B$8,2,0)</f>
        <v>Mountain Bikes</v>
      </c>
    </row>
    <row r="202" spans="1:10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 s="1">
        <f t="shared" si="3"/>
        <v>1471.55</v>
      </c>
      <c r="H202" t="str">
        <f>VLOOKUP(C202,[1]products!$A:$B,2,0)</f>
        <v>Surly Straggler - 2016</v>
      </c>
      <c r="I202">
        <f>VLOOKUP(H202,[1]products!$B:$D,3,0)</f>
        <v>4</v>
      </c>
      <c r="J202" t="str">
        <f>VLOOKUP(I202,[2]categories!$A$2:$B$8,2,0)</f>
        <v>Cyclocross Bicycles</v>
      </c>
    </row>
    <row r="203" spans="1:10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 s="1">
        <f t="shared" si="3"/>
        <v>1899.981</v>
      </c>
      <c r="H203" t="str">
        <f>VLOOKUP(C203,[1]products!$A:$B,2,0)</f>
        <v>Surly Wednesday Frameset - 2016</v>
      </c>
      <c r="I203">
        <f>VLOOKUP(H203,[1]products!$B:$D,3,0)</f>
        <v>6</v>
      </c>
      <c r="J203" t="str">
        <f>VLOOKUP(I203,[2]categories!$A$2:$B$8,2,0)</f>
        <v>Mountain Bikes</v>
      </c>
    </row>
    <row r="204" spans="1:10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 s="1">
        <f t="shared" si="3"/>
        <v>359.2</v>
      </c>
      <c r="H204" t="str">
        <f>VLOOKUP(C204,[1]products!$A:$B,2,0)</f>
        <v>Pure Cycles Western 3-Speed - Women's - 2015/2016</v>
      </c>
      <c r="I204">
        <f>VLOOKUP(H204,[1]products!$B:$D,3,0)</f>
        <v>3</v>
      </c>
      <c r="J204" t="str">
        <f>VLOOKUP(I204,[2]categories!$A$2:$B$8,2,0)</f>
        <v>Cruisers Bicycles</v>
      </c>
    </row>
    <row r="205" spans="1:10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 s="1">
        <f t="shared" si="3"/>
        <v>569.9905</v>
      </c>
      <c r="H205" t="str">
        <f>VLOOKUP(C205,[1]products!$A:$B,2,0)</f>
        <v>Electra Townie Original 7D EQ - Women's - 2016</v>
      </c>
      <c r="I205">
        <f>VLOOKUP(H205,[1]products!$B:$D,3,0)</f>
        <v>3</v>
      </c>
      <c r="J205" t="str">
        <f>VLOOKUP(I205,[2]categories!$A$2:$B$8,2,0)</f>
        <v>Cruisers Bicycles</v>
      </c>
    </row>
    <row r="206" spans="1:10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 s="1">
        <f t="shared" si="3"/>
        <v>1139.981</v>
      </c>
      <c r="H206" t="str">
        <f>VLOOKUP(C206,[1]products!$A:$B,2,0)</f>
        <v>Electra Townie Original 7D EQ - 2016</v>
      </c>
      <c r="I206">
        <f>VLOOKUP(H206,[1]products!$B:$D,3,0)</f>
        <v>3</v>
      </c>
      <c r="J206" t="str">
        <f>VLOOKUP(I206,[2]categories!$A$2:$B$8,2,0)</f>
        <v>Cruisers Bicycles</v>
      </c>
    </row>
    <row r="207" spans="1:10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 s="1">
        <f t="shared" si="3"/>
        <v>439.992</v>
      </c>
      <c r="H207" t="str">
        <f>VLOOKUP(C207,[1]products!$A:$B,2,0)</f>
        <v>Electra Townie Original 21D - 2016</v>
      </c>
      <c r="I207">
        <f>VLOOKUP(H207,[1]products!$B:$D,3,0)</f>
        <v>3</v>
      </c>
      <c r="J207" t="str">
        <f>VLOOKUP(I207,[2]categories!$A$2:$B$8,2,0)</f>
        <v>Cruisers Bicycles</v>
      </c>
    </row>
    <row r="208" spans="1:10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 s="1">
        <f t="shared" si="3"/>
        <v>404.1</v>
      </c>
      <c r="H208" t="str">
        <f>VLOOKUP(C208,[1]products!$A:$B,2,0)</f>
        <v>Pure Cycles Western 3-Speed - Women's - 2015/2016</v>
      </c>
      <c r="I208">
        <f>VLOOKUP(H208,[1]products!$B:$D,3,0)</f>
        <v>3</v>
      </c>
      <c r="J208" t="str">
        <f>VLOOKUP(I208,[2]categories!$A$2:$B$8,2,0)</f>
        <v>Cruisers Bicycles</v>
      </c>
    </row>
    <row r="209" spans="1:10">
      <c r="A209">
        <v>72</v>
      </c>
      <c r="B209">
        <v>1</v>
      </c>
      <c r="C209">
        <v>17</v>
      </c>
      <c r="D209">
        <v>2</v>
      </c>
      <c r="E209">
        <v>429</v>
      </c>
      <c r="F209">
        <v>0.07</v>
      </c>
      <c r="G209" s="1">
        <f t="shared" si="3"/>
        <v>797.94</v>
      </c>
      <c r="H209" t="str">
        <f>VLOOKUP(C209,[1]products!$A:$B,2,0)</f>
        <v>Pure Cycles Vine 8-Speed - 2016</v>
      </c>
      <c r="I209">
        <f>VLOOKUP(H209,[1]products!$B:$D,3,0)</f>
        <v>3</v>
      </c>
      <c r="J209" t="str">
        <f>VLOOKUP(I209,[2]categories!$A$2:$B$8,2,0)</f>
        <v>Cruisers Bicycles</v>
      </c>
    </row>
    <row r="210" spans="1:10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 s="1">
        <f t="shared" si="3"/>
        <v>522.4905</v>
      </c>
      <c r="H210" t="str">
        <f>VLOOKUP(C210,[1]products!$A:$B,2,0)</f>
        <v>Electra Townie Original 21D - 2016</v>
      </c>
      <c r="I210">
        <f>VLOOKUP(H210,[1]products!$B:$D,3,0)</f>
        <v>3</v>
      </c>
      <c r="J210" t="str">
        <f>VLOOKUP(I210,[2]categories!$A$2:$B$8,2,0)</f>
        <v>Cruisers Bicycles</v>
      </c>
    </row>
    <row r="211" spans="1:10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 s="1">
        <f t="shared" si="3"/>
        <v>485.982</v>
      </c>
      <c r="H211" t="str">
        <f>VLOOKUP(C211,[1]products!$A:$B,2,0)</f>
        <v>Electra Cruiser 1 (24-Inch) - 2016</v>
      </c>
      <c r="I211">
        <f>VLOOKUP(H211,[1]products!$B:$D,3,0)</f>
        <v>3</v>
      </c>
      <c r="J211" t="str">
        <f>VLOOKUP(I211,[2]categories!$A$2:$B$8,2,0)</f>
        <v>Cruisers Bicycles</v>
      </c>
    </row>
    <row r="212" spans="1:10">
      <c r="A212">
        <v>73</v>
      </c>
      <c r="B212">
        <v>1</v>
      </c>
      <c r="C212">
        <v>22</v>
      </c>
      <c r="D212">
        <v>1</v>
      </c>
      <c r="E212">
        <v>269.99</v>
      </c>
      <c r="F212">
        <v>0.07</v>
      </c>
      <c r="G212" s="1">
        <f t="shared" si="3"/>
        <v>251.0907</v>
      </c>
      <c r="H212" t="str">
        <f>VLOOKUP(C212,[1]products!$A:$B,2,0)</f>
        <v>Electra Girl's Hawaii 1 (16-inch) - 2015/2016</v>
      </c>
      <c r="I212">
        <f>VLOOKUP(H212,[1]products!$B:$D,3,0)</f>
        <v>3</v>
      </c>
      <c r="J212" t="str">
        <f>VLOOKUP(I212,[2]categories!$A$2:$B$8,2,0)</f>
        <v>Cruisers Bicycles</v>
      </c>
    </row>
    <row r="213" spans="1:10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 s="1">
        <f t="shared" si="3"/>
        <v>1139.981</v>
      </c>
      <c r="H213" t="str">
        <f>VLOOKUP(C213,[1]products!$A:$B,2,0)</f>
        <v>Electra Townie Original 7D EQ - 2016</v>
      </c>
      <c r="I213">
        <f>VLOOKUP(H213,[1]products!$B:$D,3,0)</f>
        <v>3</v>
      </c>
      <c r="J213" t="str">
        <f>VLOOKUP(I213,[2]categories!$A$2:$B$8,2,0)</f>
        <v>Cruisers Bicycles</v>
      </c>
    </row>
    <row r="214" spans="1:10">
      <c r="A214">
        <v>73</v>
      </c>
      <c r="B214">
        <v>3</v>
      </c>
      <c r="C214">
        <v>3</v>
      </c>
      <c r="D214">
        <v>2</v>
      </c>
      <c r="E214">
        <v>999.99</v>
      </c>
      <c r="F214">
        <v>0.07</v>
      </c>
      <c r="G214" s="1">
        <f t="shared" si="3"/>
        <v>1859.9814</v>
      </c>
      <c r="H214" t="str">
        <f>VLOOKUP(C214,[1]products!$A:$B,2,0)</f>
        <v>Surly Wednesday Frameset - 2016</v>
      </c>
      <c r="I214">
        <f>VLOOKUP(H214,[1]products!$B:$D,3,0)</f>
        <v>6</v>
      </c>
      <c r="J214" t="str">
        <f>VLOOKUP(I214,[2]categories!$A$2:$B$8,2,0)</f>
        <v>Mountain Bikes</v>
      </c>
    </row>
    <row r="215" spans="1:10">
      <c r="A215">
        <v>73</v>
      </c>
      <c r="B215">
        <v>4</v>
      </c>
      <c r="C215">
        <v>25</v>
      </c>
      <c r="D215">
        <v>1</v>
      </c>
      <c r="E215">
        <v>499.99</v>
      </c>
      <c r="F215">
        <v>0.07</v>
      </c>
      <c r="G215" s="1">
        <f t="shared" si="3"/>
        <v>464.9907</v>
      </c>
      <c r="H215" t="str">
        <f>VLOOKUP(C215,[1]products!$A:$B,2,0)</f>
        <v>Electra Townie Original 7D - 2015/2016</v>
      </c>
      <c r="I215">
        <f>VLOOKUP(H215,[1]products!$B:$D,3,0)</f>
        <v>2</v>
      </c>
      <c r="J215" t="str">
        <f>VLOOKUP(I215,[2]categories!$A$2:$B$8,2,0)</f>
        <v>Comfort Bicycles</v>
      </c>
    </row>
    <row r="216" spans="1:10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 s="1">
        <f t="shared" si="3"/>
        <v>479.984</v>
      </c>
      <c r="H216" t="str">
        <f>VLOOKUP(C216,[1]products!$A:$B,2,0)</f>
        <v>Electra Girl's Hawaii 1 (20-inch) - 2015/2016</v>
      </c>
      <c r="I216">
        <f>VLOOKUP(H216,[1]products!$B:$D,3,0)</f>
        <v>1</v>
      </c>
      <c r="J216" t="str">
        <f>VLOOKUP(I216,[2]categories!$A$2:$B$8,2,0)</f>
        <v>Children Bicycles</v>
      </c>
    </row>
    <row r="217" spans="1:10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 s="1">
        <f t="shared" si="3"/>
        <v>1139.981</v>
      </c>
      <c r="H217" t="str">
        <f>VLOOKUP(C217,[1]products!$A:$B,2,0)</f>
        <v>Electra Townie Original 7D EQ - 2016</v>
      </c>
      <c r="I217">
        <f>VLOOKUP(H217,[1]products!$B:$D,3,0)</f>
        <v>3</v>
      </c>
      <c r="J217" t="str">
        <f>VLOOKUP(I217,[2]categories!$A$2:$B$8,2,0)</f>
        <v>Cruisers Bicycles</v>
      </c>
    </row>
    <row r="218" spans="1:10">
      <c r="A218">
        <v>74</v>
      </c>
      <c r="B218">
        <v>2</v>
      </c>
      <c r="C218">
        <v>6</v>
      </c>
      <c r="D218">
        <v>1</v>
      </c>
      <c r="E218">
        <v>469.99</v>
      </c>
      <c r="F218">
        <v>0.07</v>
      </c>
      <c r="G218" s="1">
        <f t="shared" si="3"/>
        <v>437.0907</v>
      </c>
      <c r="H218" t="str">
        <f>VLOOKUP(C218,[1]products!$A:$B,2,0)</f>
        <v>Surly Ice Cream Truck Frameset - 2016</v>
      </c>
      <c r="I218">
        <f>VLOOKUP(H218,[1]products!$B:$D,3,0)</f>
        <v>6</v>
      </c>
      <c r="J218" t="str">
        <f>VLOOKUP(I218,[2]categories!$A$2:$B$8,2,0)</f>
        <v>Mountain Bikes</v>
      </c>
    </row>
    <row r="219" spans="1:10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 s="1">
        <f t="shared" si="3"/>
        <v>899.991</v>
      </c>
      <c r="H219" t="str">
        <f>VLOOKUP(C219,[1]products!$A:$B,2,0)</f>
        <v>Surly Wednesday Frameset - 2016</v>
      </c>
      <c r="I219">
        <f>VLOOKUP(H219,[1]products!$B:$D,3,0)</f>
        <v>6</v>
      </c>
      <c r="J219" t="str">
        <f>VLOOKUP(I219,[2]categories!$A$2:$B$8,2,0)</f>
        <v>Mountain Bikes</v>
      </c>
    </row>
    <row r="220" spans="1:10">
      <c r="A220">
        <v>75</v>
      </c>
      <c r="B220">
        <v>2</v>
      </c>
      <c r="C220">
        <v>7</v>
      </c>
      <c r="D220">
        <v>2</v>
      </c>
      <c r="E220">
        <v>3999.99</v>
      </c>
      <c r="F220">
        <v>0.07</v>
      </c>
      <c r="G220" s="1">
        <f t="shared" si="3"/>
        <v>7439.9814</v>
      </c>
      <c r="H220" t="str">
        <f>VLOOKUP(C220,[1]products!$A:$B,2,0)</f>
        <v>Trek Slash 8 27.5 - 2016</v>
      </c>
      <c r="I220">
        <f>VLOOKUP(H220,[1]products!$B:$D,3,0)</f>
        <v>6</v>
      </c>
      <c r="J220" t="str">
        <f>VLOOKUP(I220,[2]categories!$A$2:$B$8,2,0)</f>
        <v>Mountain Bikes</v>
      </c>
    </row>
    <row r="221" spans="1:10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 s="1">
        <f t="shared" si="3"/>
        <v>423.992</v>
      </c>
      <c r="H221" t="str">
        <f>VLOOKUP(C221,[1]products!$A:$B,2,0)</f>
        <v>Electra Moto 1 - 2016</v>
      </c>
      <c r="I221">
        <f>VLOOKUP(H221,[1]products!$B:$D,3,0)</f>
        <v>3</v>
      </c>
      <c r="J221" t="str">
        <f>VLOOKUP(I221,[2]categories!$A$2:$B$8,2,0)</f>
        <v>Cruisers Bicycles</v>
      </c>
    </row>
    <row r="222" spans="1:10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 s="1">
        <f t="shared" si="3"/>
        <v>522.4905</v>
      </c>
      <c r="H222" t="str">
        <f>VLOOKUP(C222,[1]products!$A:$B,2,0)</f>
        <v>Electra Townie Original 21D - 2016</v>
      </c>
      <c r="I222">
        <f>VLOOKUP(H222,[1]products!$B:$D,3,0)</f>
        <v>3</v>
      </c>
      <c r="J222" t="str">
        <f>VLOOKUP(I222,[2]categories!$A$2:$B$8,2,0)</f>
        <v>Cruisers Bicycles</v>
      </c>
    </row>
    <row r="223" spans="1:10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 s="1">
        <f t="shared" si="3"/>
        <v>3025.782</v>
      </c>
      <c r="H223" t="str">
        <f>VLOOKUP(C223,[1]products!$A:$B,2,0)</f>
        <v>Surly Straggler 650b - 2016</v>
      </c>
      <c r="I223">
        <f>VLOOKUP(H223,[1]products!$B:$D,3,0)</f>
        <v>4</v>
      </c>
      <c r="J223" t="str">
        <f>VLOOKUP(I223,[2]categories!$A$2:$B$8,2,0)</f>
        <v>Cyclocross Bicycles</v>
      </c>
    </row>
    <row r="224" spans="1:10">
      <c r="A224">
        <v>76</v>
      </c>
      <c r="B224">
        <v>3</v>
      </c>
      <c r="C224">
        <v>5</v>
      </c>
      <c r="D224">
        <v>1</v>
      </c>
      <c r="E224">
        <v>1320.99</v>
      </c>
      <c r="F224">
        <v>0.07</v>
      </c>
      <c r="G224" s="1">
        <f t="shared" si="3"/>
        <v>1228.5207</v>
      </c>
      <c r="H224" t="str">
        <f>VLOOKUP(C224,[1]products!$A:$B,2,0)</f>
        <v>Heller Shagamaw Frame - 2016</v>
      </c>
      <c r="I224">
        <f>VLOOKUP(H224,[1]products!$B:$D,3,0)</f>
        <v>6</v>
      </c>
      <c r="J224" t="str">
        <f>VLOOKUP(I224,[2]categories!$A$2:$B$8,2,0)</f>
        <v>Mountain Bikes</v>
      </c>
    </row>
    <row r="225" spans="1:10">
      <c r="A225">
        <v>77</v>
      </c>
      <c r="B225">
        <v>1</v>
      </c>
      <c r="C225">
        <v>20</v>
      </c>
      <c r="D225">
        <v>1</v>
      </c>
      <c r="E225">
        <v>599.99</v>
      </c>
      <c r="F225">
        <v>0.07</v>
      </c>
      <c r="G225" s="1">
        <f t="shared" si="3"/>
        <v>557.9907</v>
      </c>
      <c r="H225" t="str">
        <f>VLOOKUP(C225,[1]products!$A:$B,2,0)</f>
        <v>Electra Townie Original 7D EQ - Women's - 2016</v>
      </c>
      <c r="I225">
        <f>VLOOKUP(H225,[1]products!$B:$D,3,0)</f>
        <v>3</v>
      </c>
      <c r="J225" t="str">
        <f>VLOOKUP(I225,[2]categories!$A$2:$B$8,2,0)</f>
        <v>Cruisers Bicycles</v>
      </c>
    </row>
    <row r="226" spans="1:10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 s="1">
        <f t="shared" si="3"/>
        <v>989.982</v>
      </c>
      <c r="H226" t="str">
        <f>VLOOKUP(C226,[1]products!$A:$B,2,0)</f>
        <v>Electra Townie Original 21D - 2016</v>
      </c>
      <c r="I226">
        <f>VLOOKUP(H226,[1]products!$B:$D,3,0)</f>
        <v>3</v>
      </c>
      <c r="J226" t="str">
        <f>VLOOKUP(I226,[2]categories!$A$2:$B$8,2,0)</f>
        <v>Cruisers Bicycles</v>
      </c>
    </row>
    <row r="227" spans="1:10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 s="1">
        <f t="shared" si="3"/>
        <v>479.992</v>
      </c>
      <c r="H227" t="str">
        <f>VLOOKUP(C227,[1]products!$A:$B,2,0)</f>
        <v>Electra Townie Original 7D EQ - 2016</v>
      </c>
      <c r="I227">
        <f>VLOOKUP(H227,[1]products!$B:$D,3,0)</f>
        <v>3</v>
      </c>
      <c r="J227" t="str">
        <f>VLOOKUP(I227,[2]categories!$A$2:$B$8,2,0)</f>
        <v>Cruisers Bicycles</v>
      </c>
    </row>
    <row r="228" spans="1:10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 s="1">
        <f t="shared" si="3"/>
        <v>399.992</v>
      </c>
      <c r="H228" t="str">
        <f>VLOOKUP(C228,[1]products!$A:$B,2,0)</f>
        <v>Electra Townie Original 7D - 2015/2016</v>
      </c>
      <c r="I228">
        <f>VLOOKUP(H228,[1]products!$B:$D,3,0)</f>
        <v>2</v>
      </c>
      <c r="J228" t="str">
        <f>VLOOKUP(I228,[2]categories!$A$2:$B$8,2,0)</f>
        <v>Comfort Bicycles</v>
      </c>
    </row>
    <row r="229" spans="1:10">
      <c r="A229">
        <v>78</v>
      </c>
      <c r="B229">
        <v>1</v>
      </c>
      <c r="C229">
        <v>17</v>
      </c>
      <c r="D229">
        <v>1</v>
      </c>
      <c r="E229">
        <v>429</v>
      </c>
      <c r="F229">
        <v>0.07</v>
      </c>
      <c r="G229" s="1">
        <f t="shared" si="3"/>
        <v>398.97</v>
      </c>
      <c r="H229" t="str">
        <f>VLOOKUP(C229,[1]products!$A:$B,2,0)</f>
        <v>Pure Cycles Vine 8-Speed - 2016</v>
      </c>
      <c r="I229">
        <f>VLOOKUP(H229,[1]products!$B:$D,3,0)</f>
        <v>3</v>
      </c>
      <c r="J229" t="str">
        <f>VLOOKUP(I229,[2]categories!$A$2:$B$8,2,0)</f>
        <v>Cruisers Bicycles</v>
      </c>
    </row>
    <row r="230" spans="1:10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 s="1">
        <f t="shared" si="3"/>
        <v>359.2</v>
      </c>
      <c r="H230" t="str">
        <f>VLOOKUP(C230,[1]products!$A:$B,2,0)</f>
        <v>Pure Cycles William 3-Speed - 2016</v>
      </c>
      <c r="I230">
        <f>VLOOKUP(H230,[1]products!$B:$D,3,0)</f>
        <v>3</v>
      </c>
      <c r="J230" t="str">
        <f>VLOOKUP(I230,[2]categories!$A$2:$B$8,2,0)</f>
        <v>Cruisers Bicycles</v>
      </c>
    </row>
    <row r="231" spans="1:10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 s="1">
        <f t="shared" si="3"/>
        <v>808.2</v>
      </c>
      <c r="H231" t="str">
        <f>VLOOKUP(C231,[1]products!$A:$B,2,0)</f>
        <v>Pure Cycles Western 3-Speed - Women's - 2015/2016</v>
      </c>
      <c r="I231">
        <f>VLOOKUP(H231,[1]products!$B:$D,3,0)</f>
        <v>3</v>
      </c>
      <c r="J231" t="str">
        <f>VLOOKUP(I231,[2]categories!$A$2:$B$8,2,0)</f>
        <v>Cruisers Bicycles</v>
      </c>
    </row>
    <row r="232" spans="1:10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 s="1">
        <f t="shared" si="3"/>
        <v>485.982</v>
      </c>
      <c r="H232" t="str">
        <f>VLOOKUP(C232,[1]products!$A:$B,2,0)</f>
        <v>Electra Girl's Hawaii 1 (16-inch) - 2015/2016</v>
      </c>
      <c r="I232">
        <f>VLOOKUP(H232,[1]products!$B:$D,3,0)</f>
        <v>3</v>
      </c>
      <c r="J232" t="str">
        <f>VLOOKUP(I232,[2]categories!$A$2:$B$8,2,0)</f>
        <v>Cruisers Bicycles</v>
      </c>
    </row>
    <row r="233" spans="1:10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 s="1">
        <f t="shared" si="3"/>
        <v>5399.982</v>
      </c>
      <c r="H233" t="str">
        <f>VLOOKUP(C233,[1]products!$A:$B,2,0)</f>
        <v>Trek Conduit+ - 2016</v>
      </c>
      <c r="I233">
        <f>VLOOKUP(H233,[1]products!$B:$D,3,0)</f>
        <v>5</v>
      </c>
      <c r="J233" t="str">
        <f>VLOOKUP(I233,[2]categories!$A$2:$B$8,2,0)</f>
        <v>Electric Bikes</v>
      </c>
    </row>
    <row r="234" spans="1:10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 s="1">
        <f t="shared" si="3"/>
        <v>815.1</v>
      </c>
      <c r="H234" t="str">
        <f>VLOOKUP(C234,[1]products!$A:$B,2,0)</f>
        <v>Pure Cycles Vine 8-Speed - 2016</v>
      </c>
      <c r="I234">
        <f>VLOOKUP(H234,[1]products!$B:$D,3,0)</f>
        <v>3</v>
      </c>
      <c r="J234" t="str">
        <f>VLOOKUP(I234,[2]categories!$A$2:$B$8,2,0)</f>
        <v>Cruisers Bicycles</v>
      </c>
    </row>
    <row r="235" spans="1:10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 s="1">
        <f t="shared" si="3"/>
        <v>422.991</v>
      </c>
      <c r="H235" t="str">
        <f>VLOOKUP(C235,[1]products!$A:$B,2,0)</f>
        <v>Surly Ice Cream Truck Frameset - 2016</v>
      </c>
      <c r="I235">
        <f>VLOOKUP(H235,[1]products!$B:$D,3,0)</f>
        <v>6</v>
      </c>
      <c r="J235" t="str">
        <f>VLOOKUP(I235,[2]categories!$A$2:$B$8,2,0)</f>
        <v>Mountain Bikes</v>
      </c>
    </row>
    <row r="236" spans="1:10">
      <c r="A236">
        <v>79</v>
      </c>
      <c r="B236">
        <v>4</v>
      </c>
      <c r="C236">
        <v>25</v>
      </c>
      <c r="D236">
        <v>2</v>
      </c>
      <c r="E236">
        <v>499.99</v>
      </c>
      <c r="F236">
        <v>0.07</v>
      </c>
      <c r="G236" s="1">
        <f t="shared" si="3"/>
        <v>929.9814</v>
      </c>
      <c r="H236" t="str">
        <f>VLOOKUP(C236,[1]products!$A:$B,2,0)</f>
        <v>Electra Townie Original 7D - 2015/2016</v>
      </c>
      <c r="I236">
        <f>VLOOKUP(H236,[1]products!$B:$D,3,0)</f>
        <v>2</v>
      </c>
      <c r="J236" t="str">
        <f>VLOOKUP(I236,[2]categories!$A$2:$B$8,2,0)</f>
        <v>Comfort Bicycles</v>
      </c>
    </row>
    <row r="237" spans="1:10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 s="1">
        <f t="shared" si="3"/>
        <v>539.991</v>
      </c>
      <c r="H237" t="str">
        <f>VLOOKUP(C237,[1]products!$A:$B,2,0)</f>
        <v>Electra Townie Original 7D EQ - 2016</v>
      </c>
      <c r="I237">
        <f>VLOOKUP(H237,[1]products!$B:$D,3,0)</f>
        <v>3</v>
      </c>
      <c r="J237" t="str">
        <f>VLOOKUP(I237,[2]categories!$A$2:$B$8,2,0)</f>
        <v>Cruisers Bicycles</v>
      </c>
    </row>
    <row r="238" spans="1:10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 s="1">
        <f t="shared" si="3"/>
        <v>494.991</v>
      </c>
      <c r="H238" t="str">
        <f>VLOOKUP(C238,[1]products!$A:$B,2,0)</f>
        <v>Electra Townie Original 21D - 2016</v>
      </c>
      <c r="I238">
        <f>VLOOKUP(H238,[1]products!$B:$D,3,0)</f>
        <v>3</v>
      </c>
      <c r="J238" t="str">
        <f>VLOOKUP(I238,[2]categories!$A$2:$B$8,2,0)</f>
        <v>Cruisers Bicycles</v>
      </c>
    </row>
    <row r="239" spans="1:10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 s="1">
        <f t="shared" si="3"/>
        <v>343.2</v>
      </c>
      <c r="H239" t="str">
        <f>VLOOKUP(C239,[1]products!$A:$B,2,0)</f>
        <v>Pure Cycles Vine 8-Speed - 2016</v>
      </c>
      <c r="I239">
        <f>VLOOKUP(H239,[1]products!$B:$D,3,0)</f>
        <v>3</v>
      </c>
      <c r="J239" t="str">
        <f>VLOOKUP(I239,[2]categories!$A$2:$B$8,2,0)</f>
        <v>Cruisers Bicycles</v>
      </c>
    </row>
    <row r="240" spans="1:10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 s="1">
        <f t="shared" si="3"/>
        <v>2478.4</v>
      </c>
      <c r="H240" t="str">
        <f>VLOOKUP(C240,[1]products!$A:$B,2,0)</f>
        <v>Surly Straggler - 2016</v>
      </c>
      <c r="I240">
        <f>VLOOKUP(H240,[1]products!$B:$D,3,0)</f>
        <v>4</v>
      </c>
      <c r="J240" t="str">
        <f>VLOOKUP(I240,[2]categories!$A$2:$B$8,2,0)</f>
        <v>Cyclocross Bicycles</v>
      </c>
    </row>
    <row r="241" spans="1:10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 s="1">
        <f t="shared" si="3"/>
        <v>569.981</v>
      </c>
      <c r="H241" t="str">
        <f>VLOOKUP(C241,[1]products!$A:$B,2,0)</f>
        <v>Electra Girl's Hawaii 1 (20-inch) - 2015/2016</v>
      </c>
      <c r="I241">
        <f>VLOOKUP(H241,[1]products!$B:$D,3,0)</f>
        <v>1</v>
      </c>
      <c r="J241" t="str">
        <f>VLOOKUP(I241,[2]categories!$A$2:$B$8,2,0)</f>
        <v>Children Bicycles</v>
      </c>
    </row>
    <row r="242" spans="1:10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 s="1">
        <f t="shared" si="3"/>
        <v>949.981</v>
      </c>
      <c r="H242" t="str">
        <f>VLOOKUP(C242,[1]products!$A:$B,2,0)</f>
        <v>Electra Townie Original 7D - 2015/2016</v>
      </c>
      <c r="I242">
        <f>VLOOKUP(H242,[1]products!$B:$D,3,0)</f>
        <v>2</v>
      </c>
      <c r="J242" t="str">
        <f>VLOOKUP(I242,[2]categories!$A$2:$B$8,2,0)</f>
        <v>Comfort Bicycles</v>
      </c>
    </row>
    <row r="243" spans="1:10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 s="1">
        <f t="shared" si="3"/>
        <v>899.982</v>
      </c>
      <c r="H243" t="str">
        <f>VLOOKUP(C243,[1]products!$A:$B,2,0)</f>
        <v>Electra Townie Original 7D - 2015/2016</v>
      </c>
      <c r="I243">
        <f>VLOOKUP(H243,[1]products!$B:$D,3,0)</f>
        <v>2</v>
      </c>
      <c r="J243" t="str">
        <f>VLOOKUP(I243,[2]categories!$A$2:$B$8,2,0)</f>
        <v>Comfort Bicycles</v>
      </c>
    </row>
    <row r="244" spans="1:10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 s="1">
        <f t="shared" si="3"/>
        <v>2689.584</v>
      </c>
      <c r="H244" t="str">
        <f>VLOOKUP(C244,[1]products!$A:$B,2,0)</f>
        <v>Surly Straggler 650b - 2016</v>
      </c>
      <c r="I244">
        <f>VLOOKUP(H244,[1]products!$B:$D,3,0)</f>
        <v>4</v>
      </c>
      <c r="J244" t="str">
        <f>VLOOKUP(I244,[2]categories!$A$2:$B$8,2,0)</f>
        <v>Cyclocross Bicycles</v>
      </c>
    </row>
    <row r="245" spans="1:10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 s="1">
        <f t="shared" si="3"/>
        <v>479.992</v>
      </c>
      <c r="H245" t="str">
        <f>VLOOKUP(C245,[1]products!$A:$B,2,0)</f>
        <v>Electra Townie Original 7D EQ - Women's - 2016</v>
      </c>
      <c r="I245">
        <f>VLOOKUP(H245,[1]products!$B:$D,3,0)</f>
        <v>3</v>
      </c>
      <c r="J245" t="str">
        <f>VLOOKUP(I245,[2]categories!$A$2:$B$8,2,0)</f>
        <v>Cruisers Bicycles</v>
      </c>
    </row>
    <row r="246" spans="1:10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 s="1">
        <f t="shared" si="3"/>
        <v>1899.981</v>
      </c>
      <c r="H246" t="str">
        <f>VLOOKUP(C246,[1]products!$A:$B,2,0)</f>
        <v>Surly Wednesday Frameset - 2016</v>
      </c>
      <c r="I246">
        <f>VLOOKUP(H246,[1]products!$B:$D,3,0)</f>
        <v>6</v>
      </c>
      <c r="J246" t="str">
        <f>VLOOKUP(I246,[2]categories!$A$2:$B$8,2,0)</f>
        <v>Mountain Bikes</v>
      </c>
    </row>
    <row r="247" spans="1:10">
      <c r="A247">
        <v>84</v>
      </c>
      <c r="B247">
        <v>1</v>
      </c>
      <c r="C247">
        <v>23</v>
      </c>
      <c r="D247">
        <v>2</v>
      </c>
      <c r="E247">
        <v>299.99</v>
      </c>
      <c r="F247">
        <v>0.07</v>
      </c>
      <c r="G247" s="1">
        <f t="shared" si="3"/>
        <v>557.9814</v>
      </c>
      <c r="H247" t="str">
        <f>VLOOKUP(C247,[1]products!$A:$B,2,0)</f>
        <v>Electra Girl's Hawaii 1 (20-inch) - 2015/2016</v>
      </c>
      <c r="I247">
        <f>VLOOKUP(H247,[1]products!$B:$D,3,0)</f>
        <v>1</v>
      </c>
      <c r="J247" t="str">
        <f>VLOOKUP(I247,[2]categories!$A$2:$B$8,2,0)</f>
        <v>Children Bicycles</v>
      </c>
    </row>
    <row r="248" spans="1:10">
      <c r="A248">
        <v>84</v>
      </c>
      <c r="B248">
        <v>2</v>
      </c>
      <c r="C248">
        <v>15</v>
      </c>
      <c r="D248">
        <v>2</v>
      </c>
      <c r="E248">
        <v>529.99</v>
      </c>
      <c r="F248">
        <v>0.07</v>
      </c>
      <c r="G248" s="1">
        <f t="shared" si="3"/>
        <v>985.7814</v>
      </c>
      <c r="H248" t="str">
        <f>VLOOKUP(C248,[1]products!$A:$B,2,0)</f>
        <v>Electra Moto 1 - 2016</v>
      </c>
      <c r="I248">
        <f>VLOOKUP(H248,[1]products!$B:$D,3,0)</f>
        <v>3</v>
      </c>
      <c r="J248" t="str">
        <f>VLOOKUP(I248,[2]categories!$A$2:$B$8,2,0)</f>
        <v>Cruisers Bicycles</v>
      </c>
    </row>
    <row r="249" spans="1:10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 s="1">
        <f t="shared" si="3"/>
        <v>5509.981</v>
      </c>
      <c r="H249" t="str">
        <f>VLOOKUP(C249,[1]products!$A:$B,2,0)</f>
        <v>Trek Fuel EX 8 29 - 2016</v>
      </c>
      <c r="I249">
        <f>VLOOKUP(H249,[1]products!$B:$D,3,0)</f>
        <v>6</v>
      </c>
      <c r="J249" t="str">
        <f>VLOOKUP(I249,[2]categories!$A$2:$B$8,2,0)</f>
        <v>Mountain Bikes</v>
      </c>
    </row>
    <row r="250" spans="1:10">
      <c r="A250">
        <v>85</v>
      </c>
      <c r="B250">
        <v>2</v>
      </c>
      <c r="C250">
        <v>18</v>
      </c>
      <c r="D250">
        <v>1</v>
      </c>
      <c r="E250">
        <v>449</v>
      </c>
      <c r="F250">
        <v>0.07</v>
      </c>
      <c r="G250" s="1">
        <f t="shared" si="3"/>
        <v>417.57</v>
      </c>
      <c r="H250" t="str">
        <f>VLOOKUP(C250,[1]products!$A:$B,2,0)</f>
        <v>Pure Cycles Western 3-Speed - Women's - 2015/2016</v>
      </c>
      <c r="I250">
        <f>VLOOKUP(H250,[1]products!$B:$D,3,0)</f>
        <v>3</v>
      </c>
      <c r="J250" t="str">
        <f>VLOOKUP(I250,[2]categories!$A$2:$B$8,2,0)</f>
        <v>Cruisers Bicycles</v>
      </c>
    </row>
    <row r="251" spans="1:10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 s="1">
        <f t="shared" si="3"/>
        <v>5399.982</v>
      </c>
      <c r="H251" t="str">
        <f>VLOOKUP(C251,[1]products!$A:$B,2,0)</f>
        <v>Trek Conduit+ - 2016</v>
      </c>
      <c r="I251">
        <f>VLOOKUP(H251,[1]products!$B:$D,3,0)</f>
        <v>5</v>
      </c>
      <c r="J251" t="str">
        <f>VLOOKUP(I251,[2]categories!$A$2:$B$8,2,0)</f>
        <v>Electric Bikes</v>
      </c>
    </row>
    <row r="252" spans="1:10">
      <c r="A252">
        <v>86</v>
      </c>
      <c r="B252">
        <v>2</v>
      </c>
      <c r="C252">
        <v>23</v>
      </c>
      <c r="D252">
        <v>2</v>
      </c>
      <c r="E252">
        <v>299.99</v>
      </c>
      <c r="F252">
        <v>0.07</v>
      </c>
      <c r="G252" s="1">
        <f t="shared" si="3"/>
        <v>557.9814</v>
      </c>
      <c r="H252" t="str">
        <f>VLOOKUP(C252,[1]products!$A:$B,2,0)</f>
        <v>Electra Girl's Hawaii 1 (20-inch) - 2015/2016</v>
      </c>
      <c r="I252">
        <f>VLOOKUP(H252,[1]products!$B:$D,3,0)</f>
        <v>1</v>
      </c>
      <c r="J252" t="str">
        <f>VLOOKUP(I252,[2]categories!$A$2:$B$8,2,0)</f>
        <v>Children Bicycles</v>
      </c>
    </row>
    <row r="253" spans="1:10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 s="1">
        <f t="shared" si="3"/>
        <v>431.984</v>
      </c>
      <c r="H253" t="str">
        <f>VLOOKUP(C253,[1]products!$A:$B,2,0)</f>
        <v>Electra Cruiser 1 (24-Inch) - 2016</v>
      </c>
      <c r="I253">
        <f>VLOOKUP(H253,[1]products!$B:$D,3,0)</f>
        <v>3</v>
      </c>
      <c r="J253" t="str">
        <f>VLOOKUP(I253,[2]categories!$A$2:$B$8,2,0)</f>
        <v>Cruisers Bicycles</v>
      </c>
    </row>
    <row r="254" spans="1:10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 s="1">
        <f t="shared" si="3"/>
        <v>476.991</v>
      </c>
      <c r="H254" t="str">
        <f>VLOOKUP(C254,[1]products!$A:$B,2,0)</f>
        <v>Electra Moto 1 - 2016</v>
      </c>
      <c r="I254">
        <f>VLOOKUP(H254,[1]products!$B:$D,3,0)</f>
        <v>3</v>
      </c>
      <c r="J254" t="str">
        <f>VLOOKUP(I254,[2]categories!$A$2:$B$8,2,0)</f>
        <v>Cruisers Bicycles</v>
      </c>
    </row>
    <row r="255" spans="1:10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 s="1">
        <f t="shared" si="3"/>
        <v>959.984</v>
      </c>
      <c r="H255" t="str">
        <f>VLOOKUP(C255,[1]products!$A:$B,2,0)</f>
        <v>Electra Townie Original 7D EQ - Women's - 2016</v>
      </c>
      <c r="I255">
        <f>VLOOKUP(H255,[1]products!$B:$D,3,0)</f>
        <v>3</v>
      </c>
      <c r="J255" t="str">
        <f>VLOOKUP(I255,[2]categories!$A$2:$B$8,2,0)</f>
        <v>Cruisers Bicycles</v>
      </c>
    </row>
    <row r="256" spans="1:10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 s="1">
        <f t="shared" si="3"/>
        <v>539.982</v>
      </c>
      <c r="H256" t="str">
        <f>VLOOKUP(C256,[1]products!$A:$B,2,0)</f>
        <v>Electra Girl's Hawaii 1 (20-inch) - 2015/2016</v>
      </c>
      <c r="I256">
        <f>VLOOKUP(H256,[1]products!$B:$D,3,0)</f>
        <v>1</v>
      </c>
      <c r="J256" t="str">
        <f>VLOOKUP(I256,[2]categories!$A$2:$B$8,2,0)</f>
        <v>Children Bicycles</v>
      </c>
    </row>
    <row r="257" spans="1:10">
      <c r="A257">
        <v>88</v>
      </c>
      <c r="B257">
        <v>1</v>
      </c>
      <c r="C257">
        <v>10</v>
      </c>
      <c r="D257">
        <v>1</v>
      </c>
      <c r="E257">
        <v>1549</v>
      </c>
      <c r="F257">
        <v>0.07</v>
      </c>
      <c r="G257" s="1">
        <f t="shared" si="3"/>
        <v>1440.57</v>
      </c>
      <c r="H257" t="str">
        <f>VLOOKUP(C257,[1]products!$A:$B,2,0)</f>
        <v>Surly Straggler - 2016</v>
      </c>
      <c r="I257">
        <f>VLOOKUP(H257,[1]products!$B:$D,3,0)</f>
        <v>4</v>
      </c>
      <c r="J257" t="str">
        <f>VLOOKUP(I257,[2]categories!$A$2:$B$8,2,0)</f>
        <v>Cyclocross Bicycles</v>
      </c>
    </row>
    <row r="258" spans="1:10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 s="1">
        <f t="shared" ref="G258:G321" si="4">D258*E258*(1-F258)</f>
        <v>3239.982</v>
      </c>
      <c r="H258" t="str">
        <f>VLOOKUP(C258,[1]products!$A:$B,2,0)</f>
        <v>Trek Remedy 29 Carbon Frameset - 2016</v>
      </c>
      <c r="I258">
        <f>VLOOKUP(H258,[1]products!$B:$D,3,0)</f>
        <v>6</v>
      </c>
      <c r="J258" t="str">
        <f>VLOOKUP(I258,[2]categories!$A$2:$B$8,2,0)</f>
        <v>Mountain Bikes</v>
      </c>
    </row>
    <row r="259" spans="1:10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 s="1">
        <f t="shared" si="4"/>
        <v>3599.991</v>
      </c>
      <c r="H259" t="str">
        <f>VLOOKUP(C259,[1]products!$A:$B,2,0)</f>
        <v>Trek Slash 8 27.5 - 2016</v>
      </c>
      <c r="I259">
        <f>VLOOKUP(H259,[1]products!$B:$D,3,0)</f>
        <v>6</v>
      </c>
      <c r="J259" t="str">
        <f>VLOOKUP(I259,[2]categories!$A$2:$B$8,2,0)</f>
        <v>Mountain Bikes</v>
      </c>
    </row>
    <row r="260" spans="1:10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 s="1">
        <f t="shared" si="4"/>
        <v>1254.9405</v>
      </c>
      <c r="H260" t="str">
        <f>VLOOKUP(C260,[1]products!$A:$B,2,0)</f>
        <v>Heller Shagamaw Frame - 2016</v>
      </c>
      <c r="I260">
        <f>VLOOKUP(H260,[1]products!$B:$D,3,0)</f>
        <v>6</v>
      </c>
      <c r="J260" t="str">
        <f>VLOOKUP(I260,[2]categories!$A$2:$B$8,2,0)</f>
        <v>Mountain Bikes</v>
      </c>
    </row>
    <row r="261" spans="1:10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 s="1">
        <f t="shared" si="4"/>
        <v>845.982</v>
      </c>
      <c r="H261" t="str">
        <f>VLOOKUP(C261,[1]products!$A:$B,2,0)</f>
        <v>Surly Ice Cream Truck Frameset - 2016</v>
      </c>
      <c r="I261">
        <f>VLOOKUP(H261,[1]products!$B:$D,3,0)</f>
        <v>6</v>
      </c>
      <c r="J261" t="str">
        <f>VLOOKUP(I261,[2]categories!$A$2:$B$8,2,0)</f>
        <v>Mountain Bikes</v>
      </c>
    </row>
    <row r="262" spans="1:10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 s="1">
        <f t="shared" si="4"/>
        <v>899.991</v>
      </c>
      <c r="H262" t="str">
        <f>VLOOKUP(C262,[1]products!$A:$B,2,0)</f>
        <v>Surly Wednesday Frameset - 2016</v>
      </c>
      <c r="I262">
        <f>VLOOKUP(H262,[1]products!$B:$D,3,0)</f>
        <v>6</v>
      </c>
      <c r="J262" t="str">
        <f>VLOOKUP(I262,[2]categories!$A$2:$B$8,2,0)</f>
        <v>Mountain Bikes</v>
      </c>
    </row>
    <row r="263" spans="1:10">
      <c r="A263">
        <v>90</v>
      </c>
      <c r="B263">
        <v>2</v>
      </c>
      <c r="C263">
        <v>6</v>
      </c>
      <c r="D263">
        <v>1</v>
      </c>
      <c r="E263">
        <v>469.99</v>
      </c>
      <c r="F263">
        <v>0.07</v>
      </c>
      <c r="G263" s="1">
        <f t="shared" si="4"/>
        <v>437.0907</v>
      </c>
      <c r="H263" t="str">
        <f>VLOOKUP(C263,[1]products!$A:$B,2,0)</f>
        <v>Surly Ice Cream Truck Frameset - 2016</v>
      </c>
      <c r="I263">
        <f>VLOOKUP(H263,[1]products!$B:$D,3,0)</f>
        <v>6</v>
      </c>
      <c r="J263" t="str">
        <f>VLOOKUP(I263,[2]categories!$A$2:$B$8,2,0)</f>
        <v>Mountain Bikes</v>
      </c>
    </row>
    <row r="264" spans="1:10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 s="1">
        <f t="shared" si="4"/>
        <v>1512.891</v>
      </c>
      <c r="H264" t="str">
        <f>VLOOKUP(C264,[1]products!$A:$B,2,0)</f>
        <v>Surly Straggler 650b - 2016</v>
      </c>
      <c r="I264">
        <f>VLOOKUP(H264,[1]products!$B:$D,3,0)</f>
        <v>4</v>
      </c>
      <c r="J264" t="str">
        <f>VLOOKUP(I264,[2]categories!$A$2:$B$8,2,0)</f>
        <v>Cyclocross Bicycles</v>
      </c>
    </row>
    <row r="265" spans="1:10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 s="1">
        <f t="shared" si="4"/>
        <v>474.9905</v>
      </c>
      <c r="H265" t="str">
        <f>VLOOKUP(C265,[1]products!$A:$B,2,0)</f>
        <v>Electra Townie Original 7D - 2015/2016</v>
      </c>
      <c r="I265">
        <f>VLOOKUP(H265,[1]products!$B:$D,3,0)</f>
        <v>2</v>
      </c>
      <c r="J265" t="str">
        <f>VLOOKUP(I265,[2]categories!$A$2:$B$8,2,0)</f>
        <v>Comfort Bicycles</v>
      </c>
    </row>
    <row r="266" spans="1:10">
      <c r="A266">
        <v>91</v>
      </c>
      <c r="B266">
        <v>3</v>
      </c>
      <c r="C266">
        <v>15</v>
      </c>
      <c r="D266">
        <v>2</v>
      </c>
      <c r="E266">
        <v>529.99</v>
      </c>
      <c r="F266">
        <v>0.07</v>
      </c>
      <c r="G266" s="1">
        <f t="shared" si="4"/>
        <v>985.7814</v>
      </c>
      <c r="H266" t="str">
        <f>VLOOKUP(C266,[1]products!$A:$B,2,0)</f>
        <v>Electra Moto 1 - 2016</v>
      </c>
      <c r="I266">
        <f>VLOOKUP(H266,[1]products!$B:$D,3,0)</f>
        <v>3</v>
      </c>
      <c r="J266" t="str">
        <f>VLOOKUP(I266,[2]categories!$A$2:$B$8,2,0)</f>
        <v>Cruisers Bicycles</v>
      </c>
    </row>
    <row r="267" spans="1:10">
      <c r="A267">
        <v>91</v>
      </c>
      <c r="B267">
        <v>4</v>
      </c>
      <c r="C267">
        <v>13</v>
      </c>
      <c r="D267">
        <v>2</v>
      </c>
      <c r="E267">
        <v>269.99</v>
      </c>
      <c r="F267">
        <v>0.07</v>
      </c>
      <c r="G267" s="1">
        <f t="shared" si="4"/>
        <v>502.1814</v>
      </c>
      <c r="H267" t="str">
        <f>VLOOKUP(C267,[1]products!$A:$B,2,0)</f>
        <v>Electra Cruiser 1 (24-Inch) - 2016</v>
      </c>
      <c r="I267">
        <f>VLOOKUP(H267,[1]products!$B:$D,3,0)</f>
        <v>3</v>
      </c>
      <c r="J267" t="str">
        <f>VLOOKUP(I267,[2]categories!$A$2:$B$8,2,0)</f>
        <v>Cruisers Bicycles</v>
      </c>
    </row>
    <row r="268" spans="1:10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 s="1">
        <f t="shared" si="4"/>
        <v>1619.991</v>
      </c>
      <c r="H268" t="str">
        <f>VLOOKUP(C268,[1]products!$A:$B,2,0)</f>
        <v>Trek Remedy 29 Carbon Frameset - 2016</v>
      </c>
      <c r="I268">
        <f>VLOOKUP(H268,[1]products!$B:$D,3,0)</f>
        <v>6</v>
      </c>
      <c r="J268" t="str">
        <f>VLOOKUP(I268,[2]categories!$A$2:$B$8,2,0)</f>
        <v>Mountain Bikes</v>
      </c>
    </row>
    <row r="269" spans="1:10">
      <c r="A269">
        <v>93</v>
      </c>
      <c r="B269">
        <v>1</v>
      </c>
      <c r="C269">
        <v>22</v>
      </c>
      <c r="D269">
        <v>2</v>
      </c>
      <c r="E269">
        <v>269.99</v>
      </c>
      <c r="F269">
        <v>0.07</v>
      </c>
      <c r="G269" s="1">
        <f t="shared" si="4"/>
        <v>502.1814</v>
      </c>
      <c r="H269" t="str">
        <f>VLOOKUP(C269,[1]products!$A:$B,2,0)</f>
        <v>Electra Girl's Hawaii 1 (16-inch) - 2015/2016</v>
      </c>
      <c r="I269">
        <f>VLOOKUP(H269,[1]products!$B:$D,3,0)</f>
        <v>3</v>
      </c>
      <c r="J269" t="str">
        <f>VLOOKUP(I269,[2]categories!$A$2:$B$8,2,0)</f>
        <v>Cruisers Bicycles</v>
      </c>
    </row>
    <row r="270" spans="1:10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 s="1">
        <f t="shared" si="4"/>
        <v>407.55</v>
      </c>
      <c r="H270" t="str">
        <f>VLOOKUP(C270,[1]products!$A:$B,2,0)</f>
        <v>Pure Cycles Vine 8-Speed - 2016</v>
      </c>
      <c r="I270">
        <f>VLOOKUP(H270,[1]products!$B:$D,3,0)</f>
        <v>3</v>
      </c>
      <c r="J270" t="str">
        <f>VLOOKUP(I270,[2]categories!$A$2:$B$8,2,0)</f>
        <v>Cruisers Bicycles</v>
      </c>
    </row>
    <row r="271" spans="1:10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 s="1">
        <f t="shared" si="4"/>
        <v>242.991</v>
      </c>
      <c r="H271" t="str">
        <f>VLOOKUP(C271,[1]products!$A:$B,2,0)</f>
        <v>Electra Cruiser 1 (24-Inch) - 2016</v>
      </c>
      <c r="I271">
        <f>VLOOKUP(H271,[1]products!$B:$D,3,0)</f>
        <v>3</v>
      </c>
      <c r="J271" t="str">
        <f>VLOOKUP(I271,[2]categories!$A$2:$B$8,2,0)</f>
        <v>Cruisers Bicycles</v>
      </c>
    </row>
    <row r="272" spans="1:10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 s="1">
        <f t="shared" si="4"/>
        <v>599.992</v>
      </c>
      <c r="H272" t="str">
        <f>VLOOKUP(C272,[1]products!$A:$B,2,0)</f>
        <v>Ritchey Timberwolf Frameset - 2016</v>
      </c>
      <c r="I272">
        <f>VLOOKUP(H272,[1]products!$B:$D,3,0)</f>
        <v>6</v>
      </c>
      <c r="J272" t="str">
        <f>VLOOKUP(I272,[2]categories!$A$2:$B$8,2,0)</f>
        <v>Mountain Bikes</v>
      </c>
    </row>
    <row r="273" spans="1:10">
      <c r="A273">
        <v>93</v>
      </c>
      <c r="B273">
        <v>5</v>
      </c>
      <c r="C273">
        <v>10</v>
      </c>
      <c r="D273">
        <v>2</v>
      </c>
      <c r="E273">
        <v>1549</v>
      </c>
      <c r="F273">
        <v>0.07</v>
      </c>
      <c r="G273" s="1">
        <f t="shared" si="4"/>
        <v>2881.14</v>
      </c>
      <c r="H273" t="str">
        <f>VLOOKUP(C273,[1]products!$A:$B,2,0)</f>
        <v>Surly Straggler - 2016</v>
      </c>
      <c r="I273">
        <f>VLOOKUP(H273,[1]products!$B:$D,3,0)</f>
        <v>4</v>
      </c>
      <c r="J273" t="str">
        <f>VLOOKUP(I273,[2]categories!$A$2:$B$8,2,0)</f>
        <v>Cyclocross Bicycles</v>
      </c>
    </row>
    <row r="274" spans="1:10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 s="1">
        <f t="shared" si="4"/>
        <v>522.4905</v>
      </c>
      <c r="H274" t="str">
        <f>VLOOKUP(C274,[1]products!$A:$B,2,0)</f>
        <v>Electra Townie Original 21D - 2016</v>
      </c>
      <c r="I274">
        <f>VLOOKUP(H274,[1]products!$B:$D,3,0)</f>
        <v>3</v>
      </c>
      <c r="J274" t="str">
        <f>VLOOKUP(I274,[2]categories!$A$2:$B$8,2,0)</f>
        <v>Cruisers Bicycles</v>
      </c>
    </row>
    <row r="275" spans="1:10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 s="1">
        <f t="shared" si="4"/>
        <v>2319.992</v>
      </c>
      <c r="H275" t="str">
        <f>VLOOKUP(C275,[1]products!$A:$B,2,0)</f>
        <v>Trek Fuel EX 8 29 - 2016</v>
      </c>
      <c r="I275">
        <f>VLOOKUP(H275,[1]products!$B:$D,3,0)</f>
        <v>6</v>
      </c>
      <c r="J275" t="str">
        <f>VLOOKUP(I275,[2]categories!$A$2:$B$8,2,0)</f>
        <v>Mountain Bikes</v>
      </c>
    </row>
    <row r="276" spans="1:10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 s="1">
        <f t="shared" si="4"/>
        <v>1344.792</v>
      </c>
      <c r="H276" t="str">
        <f>VLOOKUP(C276,[1]products!$A:$B,2,0)</f>
        <v>Surly Straggler 650b - 2016</v>
      </c>
      <c r="I276">
        <f>VLOOKUP(H276,[1]products!$B:$D,3,0)</f>
        <v>4</v>
      </c>
      <c r="J276" t="str">
        <f>VLOOKUP(I276,[2]categories!$A$2:$B$8,2,0)</f>
        <v>Cyclocross Bicycles</v>
      </c>
    </row>
    <row r="277" spans="1:10">
      <c r="A277">
        <v>94</v>
      </c>
      <c r="B277">
        <v>4</v>
      </c>
      <c r="C277">
        <v>21</v>
      </c>
      <c r="D277">
        <v>2</v>
      </c>
      <c r="E277">
        <v>269.99</v>
      </c>
      <c r="F277">
        <v>0.07</v>
      </c>
      <c r="G277" s="1">
        <f t="shared" si="4"/>
        <v>502.1814</v>
      </c>
      <c r="H277" t="str">
        <f>VLOOKUP(C277,[1]products!$A:$B,2,0)</f>
        <v>Electra Cruiser 1 (24-Inch) - 2016</v>
      </c>
      <c r="I277">
        <f>VLOOKUP(H277,[1]products!$B:$D,3,0)</f>
        <v>3</v>
      </c>
      <c r="J277" t="str">
        <f>VLOOKUP(I277,[2]categories!$A$2:$B$8,2,0)</f>
        <v>Cruisers Bicycles</v>
      </c>
    </row>
    <row r="278" spans="1:10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 s="1">
        <f t="shared" si="4"/>
        <v>2478.4</v>
      </c>
      <c r="H278" t="str">
        <f>VLOOKUP(C278,[1]products!$A:$B,2,0)</f>
        <v>Surly Straggler - 2016</v>
      </c>
      <c r="I278">
        <f>VLOOKUP(H278,[1]products!$B:$D,3,0)</f>
        <v>4</v>
      </c>
      <c r="J278" t="str">
        <f>VLOOKUP(I278,[2]categories!$A$2:$B$8,2,0)</f>
        <v>Cyclocross Bicycles</v>
      </c>
    </row>
    <row r="279" spans="1:10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 s="1">
        <f t="shared" si="4"/>
        <v>404.1</v>
      </c>
      <c r="H279" t="str">
        <f>VLOOKUP(C279,[1]products!$A:$B,2,0)</f>
        <v>Pure Cycles William 3-Speed - 2016</v>
      </c>
      <c r="I279">
        <f>VLOOKUP(H279,[1]products!$B:$D,3,0)</f>
        <v>3</v>
      </c>
      <c r="J279" t="str">
        <f>VLOOKUP(I279,[2]categories!$A$2:$B$8,2,0)</f>
        <v>Cruisers Bicycles</v>
      </c>
    </row>
    <row r="280" spans="1:10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 s="1">
        <f t="shared" si="4"/>
        <v>2879.984</v>
      </c>
      <c r="H280" t="str">
        <f>VLOOKUP(C280,[1]products!$A:$B,2,0)</f>
        <v>Trek Remedy 29 Carbon Frameset - 2016</v>
      </c>
      <c r="I280">
        <f>VLOOKUP(H280,[1]products!$B:$D,3,0)</f>
        <v>6</v>
      </c>
      <c r="J280" t="str">
        <f>VLOOKUP(I280,[2]categories!$A$2:$B$8,2,0)</f>
        <v>Mountain Bikes</v>
      </c>
    </row>
    <row r="281" spans="1:10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 s="1">
        <f t="shared" si="4"/>
        <v>1139.981</v>
      </c>
      <c r="H281" t="str">
        <f>VLOOKUP(C281,[1]products!$A:$B,2,0)</f>
        <v>Electra Townie Original 7D EQ - Women's - 2016</v>
      </c>
      <c r="I281">
        <f>VLOOKUP(H281,[1]products!$B:$D,3,0)</f>
        <v>3</v>
      </c>
      <c r="J281" t="str">
        <f>VLOOKUP(I281,[2]categories!$A$2:$B$8,2,0)</f>
        <v>Cruisers Bicycles</v>
      </c>
    </row>
    <row r="282" spans="1:10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 s="1">
        <f t="shared" si="4"/>
        <v>539.991</v>
      </c>
      <c r="H282" t="str">
        <f>VLOOKUP(C282,[1]products!$A:$B,2,0)</f>
        <v>Electra Townie Original 7D EQ - 2016</v>
      </c>
      <c r="I282">
        <f>VLOOKUP(H282,[1]products!$B:$D,3,0)</f>
        <v>3</v>
      </c>
      <c r="J282" t="str">
        <f>VLOOKUP(I282,[2]categories!$A$2:$B$8,2,0)</f>
        <v>Cruisers Bicycles</v>
      </c>
    </row>
    <row r="283" spans="1:10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 s="1">
        <f t="shared" si="4"/>
        <v>284.9905</v>
      </c>
      <c r="H283" t="str">
        <f>VLOOKUP(C283,[1]products!$A:$B,2,0)</f>
        <v>Electra Girl's Hawaii 1 (20-inch) - 2015/2016</v>
      </c>
      <c r="I283">
        <f>VLOOKUP(H283,[1]products!$B:$D,3,0)</f>
        <v>1</v>
      </c>
      <c r="J283" t="str">
        <f>VLOOKUP(I283,[2]categories!$A$2:$B$8,2,0)</f>
        <v>Children Bicycles</v>
      </c>
    </row>
    <row r="284" spans="1:10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 s="1">
        <f t="shared" si="4"/>
        <v>959.984</v>
      </c>
      <c r="H284" t="str">
        <f>VLOOKUP(C284,[1]products!$A:$B,2,0)</f>
        <v>Electra Townie Original 7D EQ - Women's - 2016</v>
      </c>
      <c r="I284">
        <f>VLOOKUP(H284,[1]products!$B:$D,3,0)</f>
        <v>3</v>
      </c>
      <c r="J284" t="str">
        <f>VLOOKUP(I284,[2]categories!$A$2:$B$8,2,0)</f>
        <v>Cruisers Bicycles</v>
      </c>
    </row>
    <row r="285" spans="1:10">
      <c r="A285">
        <v>97</v>
      </c>
      <c r="B285">
        <v>2</v>
      </c>
      <c r="C285">
        <v>2</v>
      </c>
      <c r="D285">
        <v>1</v>
      </c>
      <c r="E285">
        <v>749.99</v>
      </c>
      <c r="F285">
        <v>0.07</v>
      </c>
      <c r="G285" s="1">
        <f t="shared" si="4"/>
        <v>697.4907</v>
      </c>
      <c r="H285" t="str">
        <f>VLOOKUP(C285,[1]products!$A:$B,2,0)</f>
        <v>Ritchey Timberwolf Frameset - 2016</v>
      </c>
      <c r="I285">
        <f>VLOOKUP(H285,[1]products!$B:$D,3,0)</f>
        <v>6</v>
      </c>
      <c r="J285" t="str">
        <f>VLOOKUP(I285,[2]categories!$A$2:$B$8,2,0)</f>
        <v>Mountain Bikes</v>
      </c>
    </row>
    <row r="286" spans="1:10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 s="1">
        <f t="shared" si="4"/>
        <v>751.984</v>
      </c>
      <c r="H286" t="str">
        <f>VLOOKUP(C286,[1]products!$A:$B,2,0)</f>
        <v>Surly Ice Cream Truck Frameset - 2016</v>
      </c>
      <c r="I286">
        <f>VLOOKUP(H286,[1]products!$B:$D,3,0)</f>
        <v>6</v>
      </c>
      <c r="J286" t="str">
        <f>VLOOKUP(I286,[2]categories!$A$2:$B$8,2,0)</f>
        <v>Mountain Bikes</v>
      </c>
    </row>
    <row r="287" spans="1:10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 s="1">
        <f t="shared" si="4"/>
        <v>404.1</v>
      </c>
      <c r="H287" t="str">
        <f>VLOOKUP(C287,[1]products!$A:$B,2,0)</f>
        <v>Pure Cycles William 3-Speed - 2016</v>
      </c>
      <c r="I287">
        <f>VLOOKUP(H287,[1]products!$B:$D,3,0)</f>
        <v>3</v>
      </c>
      <c r="J287" t="str">
        <f>VLOOKUP(I287,[2]categories!$A$2:$B$8,2,0)</f>
        <v>Cruisers Bicycles</v>
      </c>
    </row>
    <row r="288" spans="1:10">
      <c r="A288">
        <v>98</v>
      </c>
      <c r="B288">
        <v>1</v>
      </c>
      <c r="C288">
        <v>19</v>
      </c>
      <c r="D288">
        <v>1</v>
      </c>
      <c r="E288">
        <v>449</v>
      </c>
      <c r="F288">
        <v>0.07</v>
      </c>
      <c r="G288" s="1">
        <f t="shared" si="4"/>
        <v>417.57</v>
      </c>
      <c r="H288" t="str">
        <f>VLOOKUP(C288,[1]products!$A:$B,2,0)</f>
        <v>Pure Cycles William 3-Speed - 2016</v>
      </c>
      <c r="I288">
        <f>VLOOKUP(H288,[1]products!$B:$D,3,0)</f>
        <v>3</v>
      </c>
      <c r="J288" t="str">
        <f>VLOOKUP(I288,[2]categories!$A$2:$B$8,2,0)</f>
        <v>Cruisers Bicycles</v>
      </c>
    </row>
    <row r="289" spans="1:10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 s="1">
        <f t="shared" si="4"/>
        <v>242.991</v>
      </c>
      <c r="H289" t="str">
        <f>VLOOKUP(C289,[1]products!$A:$B,2,0)</f>
        <v>Electra Cruiser 1 (24-Inch) - 2016</v>
      </c>
      <c r="I289">
        <f>VLOOKUP(H289,[1]products!$B:$D,3,0)</f>
        <v>3</v>
      </c>
      <c r="J289" t="str">
        <f>VLOOKUP(I289,[2]categories!$A$2:$B$8,2,0)</f>
        <v>Cruisers Bicycles</v>
      </c>
    </row>
    <row r="290" spans="1:10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 s="1">
        <f t="shared" si="4"/>
        <v>599.992</v>
      </c>
      <c r="H290" t="str">
        <f>VLOOKUP(C290,[1]products!$A:$B,2,0)</f>
        <v>Ritchey Timberwolf Frameset - 2016</v>
      </c>
      <c r="I290">
        <f>VLOOKUP(H290,[1]products!$B:$D,3,0)</f>
        <v>6</v>
      </c>
      <c r="J290" t="str">
        <f>VLOOKUP(I290,[2]categories!$A$2:$B$8,2,0)</f>
        <v>Mountain Bikes</v>
      </c>
    </row>
    <row r="291" spans="1:10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 s="1">
        <f t="shared" si="4"/>
        <v>431.984</v>
      </c>
      <c r="H291" t="str">
        <f>VLOOKUP(C291,[1]products!$A:$B,2,0)</f>
        <v>Electra Girl's Hawaii 1 (16-inch) - 2015/2016</v>
      </c>
      <c r="I291">
        <f>VLOOKUP(H291,[1]products!$B:$D,3,0)</f>
        <v>3</v>
      </c>
      <c r="J291" t="str">
        <f>VLOOKUP(I291,[2]categories!$A$2:$B$8,2,0)</f>
        <v>Cruisers Bicycles</v>
      </c>
    </row>
    <row r="292" spans="1:10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 s="1">
        <f t="shared" si="4"/>
        <v>215.992</v>
      </c>
      <c r="H292" t="str">
        <f>VLOOKUP(C292,[1]products!$A:$B,2,0)</f>
        <v>Electra Cruiser 1 (24-Inch) - 2016</v>
      </c>
      <c r="I292">
        <f>VLOOKUP(H292,[1]products!$B:$D,3,0)</f>
        <v>3</v>
      </c>
      <c r="J292" t="str">
        <f>VLOOKUP(I292,[2]categories!$A$2:$B$8,2,0)</f>
        <v>Cruisers Bicycles</v>
      </c>
    </row>
    <row r="293" spans="1:10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 s="1">
        <f t="shared" si="4"/>
        <v>215.992</v>
      </c>
      <c r="H293" t="str">
        <f>VLOOKUP(C293,[1]products!$A:$B,2,0)</f>
        <v>Electra Cruiser 1 (24-Inch) - 2016</v>
      </c>
      <c r="I293">
        <f>VLOOKUP(H293,[1]products!$B:$D,3,0)</f>
        <v>3</v>
      </c>
      <c r="J293" t="str">
        <f>VLOOKUP(I293,[2]categories!$A$2:$B$8,2,0)</f>
        <v>Cruisers Bicycles</v>
      </c>
    </row>
    <row r="294" spans="1:10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 s="1">
        <f t="shared" si="4"/>
        <v>949.981</v>
      </c>
      <c r="H294" t="str">
        <f>VLOOKUP(C294,[1]products!$A:$B,2,0)</f>
        <v>Electra Townie Original 7D - 2015/2016</v>
      </c>
      <c r="I294">
        <f>VLOOKUP(H294,[1]products!$B:$D,3,0)</f>
        <v>2</v>
      </c>
      <c r="J294" t="str">
        <f>VLOOKUP(I294,[2]categories!$A$2:$B$8,2,0)</f>
        <v>Comfort Bicycles</v>
      </c>
    </row>
    <row r="295" spans="1:10">
      <c r="A295">
        <v>99</v>
      </c>
      <c r="B295">
        <v>4</v>
      </c>
      <c r="C295">
        <v>7</v>
      </c>
      <c r="D295">
        <v>2</v>
      </c>
      <c r="E295">
        <v>3999.99</v>
      </c>
      <c r="F295">
        <v>0.07</v>
      </c>
      <c r="G295" s="1">
        <f t="shared" si="4"/>
        <v>7439.9814</v>
      </c>
      <c r="H295" t="str">
        <f>VLOOKUP(C295,[1]products!$A:$B,2,0)</f>
        <v>Trek Slash 8 27.5 - 2016</v>
      </c>
      <c r="I295">
        <f>VLOOKUP(H295,[1]products!$B:$D,3,0)</f>
        <v>6</v>
      </c>
      <c r="J295" t="str">
        <f>VLOOKUP(I295,[2]categories!$A$2:$B$8,2,0)</f>
        <v>Mountain Bikes</v>
      </c>
    </row>
    <row r="296" spans="1:10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 s="1">
        <f t="shared" si="4"/>
        <v>479.984</v>
      </c>
      <c r="H296" t="str">
        <f>VLOOKUP(C296,[1]products!$A:$B,2,0)</f>
        <v>Electra Girl's Hawaii 1 (20-inch) - 2015/2016</v>
      </c>
      <c r="I296">
        <f>VLOOKUP(H296,[1]products!$B:$D,3,0)</f>
        <v>1</v>
      </c>
      <c r="J296" t="str">
        <f>VLOOKUP(I296,[2]categories!$A$2:$B$8,2,0)</f>
        <v>Children Bicycles</v>
      </c>
    </row>
    <row r="297" spans="1:10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 s="1">
        <f t="shared" si="4"/>
        <v>1044.981</v>
      </c>
      <c r="H297" t="str">
        <f>VLOOKUP(C297,[1]products!$A:$B,2,0)</f>
        <v>Electra Townie Original 21D - 2016</v>
      </c>
      <c r="I297">
        <f>VLOOKUP(H297,[1]products!$B:$D,3,0)</f>
        <v>3</v>
      </c>
      <c r="J297" t="str">
        <f>VLOOKUP(I297,[2]categories!$A$2:$B$8,2,0)</f>
        <v>Cruisers Bicycles</v>
      </c>
    </row>
    <row r="298" spans="1:10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 s="1">
        <f t="shared" si="4"/>
        <v>3025.782</v>
      </c>
      <c r="H298" t="str">
        <f>VLOOKUP(C298,[1]products!$A:$B,2,0)</f>
        <v>Surly Straggler 650b - 2016</v>
      </c>
      <c r="I298">
        <f>VLOOKUP(H298,[1]products!$B:$D,3,0)</f>
        <v>4</v>
      </c>
      <c r="J298" t="str">
        <f>VLOOKUP(I298,[2]categories!$A$2:$B$8,2,0)</f>
        <v>Cyclocross Bicycles</v>
      </c>
    </row>
    <row r="299" spans="1:10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 s="1">
        <f t="shared" si="4"/>
        <v>6399.984</v>
      </c>
      <c r="H299" t="str">
        <f>VLOOKUP(C299,[1]products!$A:$B,2,0)</f>
        <v>Trek Slash 8 27.5 - 2016</v>
      </c>
      <c r="I299">
        <f>VLOOKUP(H299,[1]products!$B:$D,3,0)</f>
        <v>6</v>
      </c>
      <c r="J299" t="str">
        <f>VLOOKUP(I299,[2]categories!$A$2:$B$8,2,0)</f>
        <v>Mountain Bikes</v>
      </c>
    </row>
    <row r="300" spans="1:10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 s="1">
        <f t="shared" si="4"/>
        <v>959.984</v>
      </c>
      <c r="H300" t="str">
        <f>VLOOKUP(C300,[1]products!$A:$B,2,0)</f>
        <v>Electra Townie Original 7D EQ - 2016</v>
      </c>
      <c r="I300">
        <f>VLOOKUP(H300,[1]products!$B:$D,3,0)</f>
        <v>3</v>
      </c>
      <c r="J300" t="str">
        <f>VLOOKUP(I300,[2]categories!$A$2:$B$8,2,0)</f>
        <v>Cruisers Bicycles</v>
      </c>
    </row>
    <row r="301" spans="1:10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 s="1">
        <f t="shared" si="4"/>
        <v>989.982</v>
      </c>
      <c r="H301" t="str">
        <f>VLOOKUP(C301,[1]products!$A:$B,2,0)</f>
        <v>Electra Townie Original 21D - 2016</v>
      </c>
      <c r="I301">
        <f>VLOOKUP(H301,[1]products!$B:$D,3,0)</f>
        <v>3</v>
      </c>
      <c r="J301" t="str">
        <f>VLOOKUP(I301,[2]categories!$A$2:$B$8,2,0)</f>
        <v>Cruisers Bicycles</v>
      </c>
    </row>
    <row r="302" spans="1:10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 s="1">
        <f t="shared" si="4"/>
        <v>879.984</v>
      </c>
      <c r="H302" t="str">
        <f>VLOOKUP(C302,[1]products!$A:$B,2,0)</f>
        <v>Electra Townie Original 21D - 2016</v>
      </c>
      <c r="I302">
        <f>VLOOKUP(H302,[1]products!$B:$D,3,0)</f>
        <v>3</v>
      </c>
      <c r="J302" t="str">
        <f>VLOOKUP(I302,[2]categories!$A$2:$B$8,2,0)</f>
        <v>Cruisers Bicycles</v>
      </c>
    </row>
    <row r="303" spans="1:10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 s="1">
        <f t="shared" si="4"/>
        <v>503.4905</v>
      </c>
      <c r="H303" t="str">
        <f>VLOOKUP(C303,[1]products!$A:$B,2,0)</f>
        <v>Electra Moto 1 - 2016</v>
      </c>
      <c r="I303">
        <f>VLOOKUP(H303,[1]products!$B:$D,3,0)</f>
        <v>3</v>
      </c>
      <c r="J303" t="str">
        <f>VLOOKUP(I303,[2]categories!$A$2:$B$8,2,0)</f>
        <v>Cruisers Bicycles</v>
      </c>
    </row>
    <row r="304" spans="1:10">
      <c r="A304">
        <v>102</v>
      </c>
      <c r="B304">
        <v>2</v>
      </c>
      <c r="C304">
        <v>22</v>
      </c>
      <c r="D304">
        <v>1</v>
      </c>
      <c r="E304">
        <v>269.99</v>
      </c>
      <c r="F304">
        <v>0.07</v>
      </c>
      <c r="G304" s="1">
        <f t="shared" si="4"/>
        <v>251.0907</v>
      </c>
      <c r="H304" t="str">
        <f>VLOOKUP(C304,[1]products!$A:$B,2,0)</f>
        <v>Electra Girl's Hawaii 1 (16-inch) - 2015/2016</v>
      </c>
      <c r="I304">
        <f>VLOOKUP(H304,[1]products!$B:$D,3,0)</f>
        <v>3</v>
      </c>
      <c r="J304" t="str">
        <f>VLOOKUP(I304,[2]categories!$A$2:$B$8,2,0)</f>
        <v>Cruisers Bicycles</v>
      </c>
    </row>
    <row r="305" spans="1:10">
      <c r="A305">
        <v>103</v>
      </c>
      <c r="B305">
        <v>1</v>
      </c>
      <c r="C305">
        <v>17</v>
      </c>
      <c r="D305">
        <v>1</v>
      </c>
      <c r="E305">
        <v>429</v>
      </c>
      <c r="F305">
        <v>0.07</v>
      </c>
      <c r="G305" s="1">
        <f t="shared" si="4"/>
        <v>398.97</v>
      </c>
      <c r="H305" t="str">
        <f>VLOOKUP(C305,[1]products!$A:$B,2,0)</f>
        <v>Pure Cycles Vine 8-Speed - 2016</v>
      </c>
      <c r="I305">
        <f>VLOOKUP(H305,[1]products!$B:$D,3,0)</f>
        <v>3</v>
      </c>
      <c r="J305" t="str">
        <f>VLOOKUP(I305,[2]categories!$A$2:$B$8,2,0)</f>
        <v>Cruisers Bicycles</v>
      </c>
    </row>
    <row r="306" spans="1:10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 s="1">
        <f t="shared" si="4"/>
        <v>949.9905</v>
      </c>
      <c r="H306" t="str">
        <f>VLOOKUP(C306,[1]products!$A:$B,2,0)</f>
        <v>Surly Wednesday Frameset - 2016</v>
      </c>
      <c r="I306">
        <f>VLOOKUP(H306,[1]products!$B:$D,3,0)</f>
        <v>6</v>
      </c>
      <c r="J306" t="str">
        <f>VLOOKUP(I306,[2]categories!$A$2:$B$8,2,0)</f>
        <v>Mountain Bikes</v>
      </c>
    </row>
    <row r="307" spans="1:10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 s="1">
        <f t="shared" si="4"/>
        <v>359.2</v>
      </c>
      <c r="H307" t="str">
        <f>VLOOKUP(C307,[1]products!$A:$B,2,0)</f>
        <v>Pure Cycles Western 3-Speed - Women's - 2015/2016</v>
      </c>
      <c r="I307">
        <f>VLOOKUP(H307,[1]products!$B:$D,3,0)</f>
        <v>3</v>
      </c>
      <c r="J307" t="str">
        <f>VLOOKUP(I307,[2]categories!$A$2:$B$8,2,0)</f>
        <v>Cruisers Bicycles</v>
      </c>
    </row>
    <row r="308" spans="1:10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 s="1">
        <f t="shared" si="4"/>
        <v>953.982</v>
      </c>
      <c r="H308" t="str">
        <f>VLOOKUP(C308,[1]products!$A:$B,2,0)</f>
        <v>Electra Moto 1 - 2016</v>
      </c>
      <c r="I308">
        <f>VLOOKUP(H308,[1]products!$B:$D,3,0)</f>
        <v>3</v>
      </c>
      <c r="J308" t="str">
        <f>VLOOKUP(I308,[2]categories!$A$2:$B$8,2,0)</f>
        <v>Cruisers Bicycles</v>
      </c>
    </row>
    <row r="309" spans="1:10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 s="1">
        <f t="shared" si="4"/>
        <v>5399.982</v>
      </c>
      <c r="H309" t="str">
        <f>VLOOKUP(C309,[1]products!$A:$B,2,0)</f>
        <v>Trek Conduit+ - 2016</v>
      </c>
      <c r="I309">
        <f>VLOOKUP(H309,[1]products!$B:$D,3,0)</f>
        <v>5</v>
      </c>
      <c r="J309" t="str">
        <f>VLOOKUP(I309,[2]categories!$A$2:$B$8,2,0)</f>
        <v>Electric Bikes</v>
      </c>
    </row>
    <row r="310" spans="1:10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 s="1">
        <f t="shared" si="4"/>
        <v>808.2</v>
      </c>
      <c r="H310" t="str">
        <f>VLOOKUP(C310,[1]products!$A:$B,2,0)</f>
        <v>Pure Cycles William 3-Speed - 2016</v>
      </c>
      <c r="I310">
        <f>VLOOKUP(H310,[1]products!$B:$D,3,0)</f>
        <v>3</v>
      </c>
      <c r="J310" t="str">
        <f>VLOOKUP(I310,[2]categories!$A$2:$B$8,2,0)</f>
        <v>Cruisers Bicycles</v>
      </c>
    </row>
    <row r="311" spans="1:10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 s="1">
        <f t="shared" si="4"/>
        <v>569.9905</v>
      </c>
      <c r="H311" t="str">
        <f>VLOOKUP(C311,[1]products!$A:$B,2,0)</f>
        <v>Electra Townie Original 7D EQ - 2016</v>
      </c>
      <c r="I311">
        <f>VLOOKUP(H311,[1]products!$B:$D,3,0)</f>
        <v>3</v>
      </c>
      <c r="J311" t="str">
        <f>VLOOKUP(I311,[2]categories!$A$2:$B$8,2,0)</f>
        <v>Cruisers Bicycles</v>
      </c>
    </row>
    <row r="312" spans="1:10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 s="1">
        <f t="shared" si="4"/>
        <v>2689.584</v>
      </c>
      <c r="H312" t="str">
        <f>VLOOKUP(C312,[1]products!$A:$B,2,0)</f>
        <v>Surly Straggler 650b - 2016</v>
      </c>
      <c r="I312">
        <f>VLOOKUP(H312,[1]products!$B:$D,3,0)</f>
        <v>4</v>
      </c>
      <c r="J312" t="str">
        <f>VLOOKUP(I312,[2]categories!$A$2:$B$8,2,0)</f>
        <v>Cyclocross Bicycles</v>
      </c>
    </row>
    <row r="313" spans="1:10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 s="1">
        <f t="shared" si="4"/>
        <v>949.9905</v>
      </c>
      <c r="H313" t="str">
        <f>VLOOKUP(C313,[1]products!$A:$B,2,0)</f>
        <v>Surly Wednesday Frameset - 2016</v>
      </c>
      <c r="I313">
        <f>VLOOKUP(H313,[1]products!$B:$D,3,0)</f>
        <v>6</v>
      </c>
      <c r="J313" t="str">
        <f>VLOOKUP(I313,[2]categories!$A$2:$B$8,2,0)</f>
        <v>Mountain Bikes</v>
      </c>
    </row>
    <row r="314" spans="1:10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 s="1">
        <f t="shared" si="4"/>
        <v>2849.9905</v>
      </c>
      <c r="H314" t="str">
        <f>VLOOKUP(C314,[1]products!$A:$B,2,0)</f>
        <v>Trek Conduit+ - 2016</v>
      </c>
      <c r="I314">
        <f>VLOOKUP(H314,[1]products!$B:$D,3,0)</f>
        <v>5</v>
      </c>
      <c r="J314" t="str">
        <f>VLOOKUP(I314,[2]categories!$A$2:$B$8,2,0)</f>
        <v>Electric Bikes</v>
      </c>
    </row>
    <row r="315" spans="1:10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 s="1">
        <f t="shared" si="4"/>
        <v>386.1</v>
      </c>
      <c r="H315" t="str">
        <f>VLOOKUP(C315,[1]products!$A:$B,2,0)</f>
        <v>Pure Cycles Vine 8-Speed - 2016</v>
      </c>
      <c r="I315">
        <f>VLOOKUP(H315,[1]products!$B:$D,3,0)</f>
        <v>3</v>
      </c>
      <c r="J315" t="str">
        <f>VLOOKUP(I315,[2]categories!$A$2:$B$8,2,0)</f>
        <v>Cruisers Bicycles</v>
      </c>
    </row>
    <row r="316" spans="1:10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 s="1">
        <f t="shared" si="4"/>
        <v>485.982</v>
      </c>
      <c r="H316" t="str">
        <f>VLOOKUP(C316,[1]products!$A:$B,2,0)</f>
        <v>Electra Cruiser 1 (24-Inch) - 2016</v>
      </c>
      <c r="I316">
        <f>VLOOKUP(H316,[1]products!$B:$D,3,0)</f>
        <v>3</v>
      </c>
      <c r="J316" t="str">
        <f>VLOOKUP(I316,[2]categories!$A$2:$B$8,2,0)</f>
        <v>Cruisers Bicycles</v>
      </c>
    </row>
    <row r="317" spans="1:10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 s="1">
        <f t="shared" si="4"/>
        <v>359.2</v>
      </c>
      <c r="H317" t="str">
        <f>VLOOKUP(C317,[1]products!$A:$B,2,0)</f>
        <v>Pure Cycles William 3-Speed - 2016</v>
      </c>
      <c r="I317">
        <f>VLOOKUP(H317,[1]products!$B:$D,3,0)</f>
        <v>3</v>
      </c>
      <c r="J317" t="str">
        <f>VLOOKUP(I317,[2]categories!$A$2:$B$8,2,0)</f>
        <v>Cruisers Bicycles</v>
      </c>
    </row>
    <row r="318" spans="1:10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 s="1">
        <f t="shared" si="4"/>
        <v>485.982</v>
      </c>
      <c r="H318" t="str">
        <f>VLOOKUP(C318,[1]products!$A:$B,2,0)</f>
        <v>Electra Cruiser 1 (24-Inch) - 2016</v>
      </c>
      <c r="I318">
        <f>VLOOKUP(H318,[1]products!$B:$D,3,0)</f>
        <v>3</v>
      </c>
      <c r="J318" t="str">
        <f>VLOOKUP(I318,[2]categories!$A$2:$B$8,2,0)</f>
        <v>Cruisers Bicycles</v>
      </c>
    </row>
    <row r="319" spans="1:10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 s="1">
        <f t="shared" si="4"/>
        <v>1512.891</v>
      </c>
      <c r="H319" t="str">
        <f>VLOOKUP(C319,[1]products!$A:$B,2,0)</f>
        <v>Surly Straggler 650b - 2016</v>
      </c>
      <c r="I319">
        <f>VLOOKUP(H319,[1]products!$B:$D,3,0)</f>
        <v>4</v>
      </c>
      <c r="J319" t="str">
        <f>VLOOKUP(I319,[2]categories!$A$2:$B$8,2,0)</f>
        <v>Cyclocross Bicycles</v>
      </c>
    </row>
    <row r="320" spans="1:10">
      <c r="A320">
        <v>108</v>
      </c>
      <c r="B320">
        <v>2</v>
      </c>
      <c r="C320">
        <v>22</v>
      </c>
      <c r="D320">
        <v>2</v>
      </c>
      <c r="E320">
        <v>269.99</v>
      </c>
      <c r="F320">
        <v>0.07</v>
      </c>
      <c r="G320" s="1">
        <f t="shared" si="4"/>
        <v>502.1814</v>
      </c>
      <c r="H320" t="str">
        <f>VLOOKUP(C320,[1]products!$A:$B,2,0)</f>
        <v>Electra Girl's Hawaii 1 (16-inch) - 2015/2016</v>
      </c>
      <c r="I320">
        <f>VLOOKUP(H320,[1]products!$B:$D,3,0)</f>
        <v>3</v>
      </c>
      <c r="J320" t="str">
        <f>VLOOKUP(I320,[2]categories!$A$2:$B$8,2,0)</f>
        <v>Cruisers Bicycles</v>
      </c>
    </row>
    <row r="321" spans="1:10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 s="1">
        <f t="shared" si="4"/>
        <v>1139.981</v>
      </c>
      <c r="H321" t="str">
        <f>VLOOKUP(C321,[1]products!$A:$B,2,0)</f>
        <v>Electra Townie Original 7D EQ - 2016</v>
      </c>
      <c r="I321">
        <f>VLOOKUP(H321,[1]products!$B:$D,3,0)</f>
        <v>3</v>
      </c>
      <c r="J321" t="str">
        <f>VLOOKUP(I321,[2]categories!$A$2:$B$8,2,0)</f>
        <v>Cruisers Bicycles</v>
      </c>
    </row>
    <row r="322" spans="1:10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 s="1">
        <f t="shared" ref="G322:G385" si="5">D322*E322*(1-F322)</f>
        <v>485.982</v>
      </c>
      <c r="H322" t="str">
        <f>VLOOKUP(C322,[1]products!$A:$B,2,0)</f>
        <v>Electra Girl's Hawaii 1 (16-inch) - 2015/2016</v>
      </c>
      <c r="I322">
        <f>VLOOKUP(H322,[1]products!$B:$D,3,0)</f>
        <v>3</v>
      </c>
      <c r="J322" t="str">
        <f>VLOOKUP(I322,[2]categories!$A$2:$B$8,2,0)</f>
        <v>Cruisers Bicycles</v>
      </c>
    </row>
    <row r="323" spans="1:10">
      <c r="A323">
        <v>109</v>
      </c>
      <c r="B323">
        <v>2</v>
      </c>
      <c r="C323">
        <v>6</v>
      </c>
      <c r="D323">
        <v>1</v>
      </c>
      <c r="E323">
        <v>469.99</v>
      </c>
      <c r="F323">
        <v>0.07</v>
      </c>
      <c r="G323" s="1">
        <f t="shared" si="5"/>
        <v>437.0907</v>
      </c>
      <c r="H323" t="str">
        <f>VLOOKUP(C323,[1]products!$A:$B,2,0)</f>
        <v>Surly Ice Cream Truck Frameset - 2016</v>
      </c>
      <c r="I323">
        <f>VLOOKUP(H323,[1]products!$B:$D,3,0)</f>
        <v>6</v>
      </c>
      <c r="J323" t="str">
        <f>VLOOKUP(I323,[2]categories!$A$2:$B$8,2,0)</f>
        <v>Mountain Bikes</v>
      </c>
    </row>
    <row r="324" spans="1:10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 s="1">
        <f t="shared" si="5"/>
        <v>242.991</v>
      </c>
      <c r="H324" t="str">
        <f>VLOOKUP(C324,[1]products!$A:$B,2,0)</f>
        <v>Electra Girl's Hawaii 1 (16-inch) - 2015/2016</v>
      </c>
      <c r="I324">
        <f>VLOOKUP(H324,[1]products!$B:$D,3,0)</f>
        <v>3</v>
      </c>
      <c r="J324" t="str">
        <f>VLOOKUP(I324,[2]categories!$A$2:$B$8,2,0)</f>
        <v>Cruisers Bicycles</v>
      </c>
    </row>
    <row r="325" spans="1:10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 s="1">
        <f t="shared" si="5"/>
        <v>242.991</v>
      </c>
      <c r="H325" t="str">
        <f>VLOOKUP(C325,[1]products!$A:$B,2,0)</f>
        <v>Electra Girl's Hawaii 1 (16-inch) - 2015/2016</v>
      </c>
      <c r="I325">
        <f>VLOOKUP(H325,[1]products!$B:$D,3,0)</f>
        <v>3</v>
      </c>
      <c r="J325" t="str">
        <f>VLOOKUP(I325,[2]categories!$A$2:$B$8,2,0)</f>
        <v>Cruisers Bicycles</v>
      </c>
    </row>
    <row r="326" spans="1:10">
      <c r="A326">
        <v>111</v>
      </c>
      <c r="B326">
        <v>2</v>
      </c>
      <c r="C326">
        <v>12</v>
      </c>
      <c r="D326">
        <v>2</v>
      </c>
      <c r="E326">
        <v>549.99</v>
      </c>
      <c r="F326">
        <v>0.07</v>
      </c>
      <c r="G326" s="1">
        <f t="shared" si="5"/>
        <v>1022.9814</v>
      </c>
      <c r="H326" t="str">
        <f>VLOOKUP(C326,[1]products!$A:$B,2,0)</f>
        <v>Electra Townie Original 21D - 2016</v>
      </c>
      <c r="I326">
        <f>VLOOKUP(H326,[1]products!$B:$D,3,0)</f>
        <v>3</v>
      </c>
      <c r="J326" t="str">
        <f>VLOOKUP(I326,[2]categories!$A$2:$B$8,2,0)</f>
        <v>Cruisers Bicycles</v>
      </c>
    </row>
    <row r="327" spans="1:10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 s="1">
        <f t="shared" si="5"/>
        <v>479.984</v>
      </c>
      <c r="H327" t="str">
        <f>VLOOKUP(C327,[1]products!$A:$B,2,0)</f>
        <v>Electra Girl's Hawaii 1 (20-inch) - 2015/2016</v>
      </c>
      <c r="I327">
        <f>VLOOKUP(H327,[1]products!$B:$D,3,0)</f>
        <v>1</v>
      </c>
      <c r="J327" t="str">
        <f>VLOOKUP(I327,[2]categories!$A$2:$B$8,2,0)</f>
        <v>Children Bicycles</v>
      </c>
    </row>
    <row r="328" spans="1:10">
      <c r="A328">
        <v>112</v>
      </c>
      <c r="B328">
        <v>2</v>
      </c>
      <c r="C328">
        <v>25</v>
      </c>
      <c r="D328">
        <v>2</v>
      </c>
      <c r="E328">
        <v>499.99</v>
      </c>
      <c r="F328">
        <v>0.07</v>
      </c>
      <c r="G328" s="1">
        <f t="shared" si="5"/>
        <v>929.9814</v>
      </c>
      <c r="H328" t="str">
        <f>VLOOKUP(C328,[1]products!$A:$B,2,0)</f>
        <v>Electra Townie Original 7D - 2015/2016</v>
      </c>
      <c r="I328">
        <f>VLOOKUP(H328,[1]products!$B:$D,3,0)</f>
        <v>2</v>
      </c>
      <c r="J328" t="str">
        <f>VLOOKUP(I328,[2]categories!$A$2:$B$8,2,0)</f>
        <v>Comfort Bicycles</v>
      </c>
    </row>
    <row r="329" spans="1:10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 s="1">
        <f t="shared" si="5"/>
        <v>1044.981</v>
      </c>
      <c r="H329" t="str">
        <f>VLOOKUP(C329,[1]products!$A:$B,2,0)</f>
        <v>Electra Townie Original 21D - 2016</v>
      </c>
      <c r="I329">
        <f>VLOOKUP(H329,[1]products!$B:$D,3,0)</f>
        <v>3</v>
      </c>
      <c r="J329" t="str">
        <f>VLOOKUP(I329,[2]categories!$A$2:$B$8,2,0)</f>
        <v>Cruisers Bicycles</v>
      </c>
    </row>
    <row r="330" spans="1:10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 s="1">
        <f t="shared" si="5"/>
        <v>1056.792</v>
      </c>
      <c r="H330" t="str">
        <f>VLOOKUP(C330,[1]products!$A:$B,2,0)</f>
        <v>Heller Shagamaw Frame - 2016</v>
      </c>
      <c r="I330">
        <f>VLOOKUP(H330,[1]products!$B:$D,3,0)</f>
        <v>6</v>
      </c>
      <c r="J330" t="str">
        <f>VLOOKUP(I330,[2]categories!$A$2:$B$8,2,0)</f>
        <v>Mountain Bikes</v>
      </c>
    </row>
    <row r="331" spans="1:10">
      <c r="A331">
        <v>113</v>
      </c>
      <c r="B331">
        <v>1</v>
      </c>
      <c r="C331">
        <v>12</v>
      </c>
      <c r="D331">
        <v>2</v>
      </c>
      <c r="E331">
        <v>549.99</v>
      </c>
      <c r="F331">
        <v>0.07</v>
      </c>
      <c r="G331" s="1">
        <f t="shared" si="5"/>
        <v>1022.9814</v>
      </c>
      <c r="H331" t="str">
        <f>VLOOKUP(C331,[1]products!$A:$B,2,0)</f>
        <v>Electra Townie Original 21D - 2016</v>
      </c>
      <c r="I331">
        <f>VLOOKUP(H331,[1]products!$B:$D,3,0)</f>
        <v>3</v>
      </c>
      <c r="J331" t="str">
        <f>VLOOKUP(I331,[2]categories!$A$2:$B$8,2,0)</f>
        <v>Cruisers Bicycles</v>
      </c>
    </row>
    <row r="332" spans="1:10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 s="1">
        <f t="shared" si="5"/>
        <v>989.982</v>
      </c>
      <c r="H332" t="str">
        <f>VLOOKUP(C332,[1]products!$A:$B,2,0)</f>
        <v>Electra Townie Original 21D - 2016</v>
      </c>
      <c r="I332">
        <f>VLOOKUP(H332,[1]products!$B:$D,3,0)</f>
        <v>3</v>
      </c>
      <c r="J332" t="str">
        <f>VLOOKUP(I332,[2]categories!$A$2:$B$8,2,0)</f>
        <v>Cruisers Bicycles</v>
      </c>
    </row>
    <row r="333" spans="1:10">
      <c r="A333">
        <v>113</v>
      </c>
      <c r="B333">
        <v>3</v>
      </c>
      <c r="C333">
        <v>6</v>
      </c>
      <c r="D333">
        <v>1</v>
      </c>
      <c r="E333">
        <v>469.99</v>
      </c>
      <c r="F333">
        <v>0.07</v>
      </c>
      <c r="G333" s="1">
        <f t="shared" si="5"/>
        <v>437.0907</v>
      </c>
      <c r="H333" t="str">
        <f>VLOOKUP(C333,[1]products!$A:$B,2,0)</f>
        <v>Surly Ice Cream Truck Frameset - 2016</v>
      </c>
      <c r="I333">
        <f>VLOOKUP(H333,[1]products!$B:$D,3,0)</f>
        <v>6</v>
      </c>
      <c r="J333" t="str">
        <f>VLOOKUP(I333,[2]categories!$A$2:$B$8,2,0)</f>
        <v>Mountain Bikes</v>
      </c>
    </row>
    <row r="334" spans="1:10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 s="1">
        <f t="shared" si="5"/>
        <v>239.992</v>
      </c>
      <c r="H334" t="str">
        <f>VLOOKUP(C334,[1]products!$A:$B,2,0)</f>
        <v>Electra Girl's Hawaii 1 (20-inch) - 2015/2016</v>
      </c>
      <c r="I334">
        <f>VLOOKUP(H334,[1]products!$B:$D,3,0)</f>
        <v>1</v>
      </c>
      <c r="J334" t="str">
        <f>VLOOKUP(I334,[2]categories!$A$2:$B$8,2,0)</f>
        <v>Children Bicycles</v>
      </c>
    </row>
    <row r="335" spans="1:10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 s="1">
        <f t="shared" si="5"/>
        <v>2113.584</v>
      </c>
      <c r="H335" t="str">
        <f>VLOOKUP(C335,[1]products!$A:$B,2,0)</f>
        <v>Heller Shagamaw Frame - 2016</v>
      </c>
      <c r="I335">
        <f>VLOOKUP(H335,[1]products!$B:$D,3,0)</f>
        <v>6</v>
      </c>
      <c r="J335" t="str">
        <f>VLOOKUP(I335,[2]categories!$A$2:$B$8,2,0)</f>
        <v>Mountain Bikes</v>
      </c>
    </row>
    <row r="336" spans="1:10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 s="1">
        <f t="shared" si="5"/>
        <v>522.4905</v>
      </c>
      <c r="H336" t="str">
        <f>VLOOKUP(C336,[1]products!$A:$B,2,0)</f>
        <v>Electra Townie Original 21D - 2016</v>
      </c>
      <c r="I336">
        <f>VLOOKUP(H336,[1]products!$B:$D,3,0)</f>
        <v>3</v>
      </c>
      <c r="J336" t="str">
        <f>VLOOKUP(I336,[2]categories!$A$2:$B$8,2,0)</f>
        <v>Cruisers Bicycles</v>
      </c>
    </row>
    <row r="337" spans="1:10">
      <c r="A337">
        <v>114</v>
      </c>
      <c r="B337">
        <v>2</v>
      </c>
      <c r="C337">
        <v>2</v>
      </c>
      <c r="D337">
        <v>1</v>
      </c>
      <c r="E337">
        <v>749.99</v>
      </c>
      <c r="F337">
        <v>0.07</v>
      </c>
      <c r="G337" s="1">
        <f t="shared" si="5"/>
        <v>697.4907</v>
      </c>
      <c r="H337" t="str">
        <f>VLOOKUP(C337,[1]products!$A:$B,2,0)</f>
        <v>Ritchey Timberwolf Frameset - 2016</v>
      </c>
      <c r="I337">
        <f>VLOOKUP(H337,[1]products!$B:$D,3,0)</f>
        <v>6</v>
      </c>
      <c r="J337" t="str">
        <f>VLOOKUP(I337,[2]categories!$A$2:$B$8,2,0)</f>
        <v>Mountain Bikes</v>
      </c>
    </row>
    <row r="338" spans="1:10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 s="1">
        <f t="shared" si="5"/>
        <v>485.982</v>
      </c>
      <c r="H338" t="str">
        <f>VLOOKUP(C338,[1]products!$A:$B,2,0)</f>
        <v>Electra Cruiser 1 (24-Inch) - 2016</v>
      </c>
      <c r="I338">
        <f>VLOOKUP(H338,[1]products!$B:$D,3,0)</f>
        <v>3</v>
      </c>
      <c r="J338" t="str">
        <f>VLOOKUP(I338,[2]categories!$A$2:$B$8,2,0)</f>
        <v>Cruisers Bicycles</v>
      </c>
    </row>
    <row r="339" spans="1:10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 s="1">
        <f t="shared" si="5"/>
        <v>215.992</v>
      </c>
      <c r="H339" t="str">
        <f>VLOOKUP(C339,[1]products!$A:$B,2,0)</f>
        <v>Electra Girl's Hawaii 1 (16-inch) - 2015/2016</v>
      </c>
      <c r="I339">
        <f>VLOOKUP(H339,[1]products!$B:$D,3,0)</f>
        <v>3</v>
      </c>
      <c r="J339" t="str">
        <f>VLOOKUP(I339,[2]categories!$A$2:$B$8,2,0)</f>
        <v>Cruisers Bicycles</v>
      </c>
    </row>
    <row r="340" spans="1:10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 s="1">
        <f t="shared" si="5"/>
        <v>404.1</v>
      </c>
      <c r="H340" t="str">
        <f>VLOOKUP(C340,[1]products!$A:$B,2,0)</f>
        <v>Pure Cycles William 3-Speed - 2016</v>
      </c>
      <c r="I340">
        <f>VLOOKUP(H340,[1]products!$B:$D,3,0)</f>
        <v>3</v>
      </c>
      <c r="J340" t="str">
        <f>VLOOKUP(I340,[2]categories!$A$2:$B$8,2,0)</f>
        <v>Cruisers Bicycles</v>
      </c>
    </row>
    <row r="341" spans="1:10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 s="1">
        <f t="shared" si="5"/>
        <v>569.9905</v>
      </c>
      <c r="H341" t="str">
        <f>VLOOKUP(C341,[1]products!$A:$B,2,0)</f>
        <v>Electra Townie Original 7D EQ - 2016</v>
      </c>
      <c r="I341">
        <f>VLOOKUP(H341,[1]products!$B:$D,3,0)</f>
        <v>3</v>
      </c>
      <c r="J341" t="str">
        <f>VLOOKUP(I341,[2]categories!$A$2:$B$8,2,0)</f>
        <v>Cruisers Bicycles</v>
      </c>
    </row>
    <row r="342" spans="1:10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 s="1">
        <f t="shared" si="5"/>
        <v>431.984</v>
      </c>
      <c r="H342" t="str">
        <f>VLOOKUP(C342,[1]products!$A:$B,2,0)</f>
        <v>Electra Girl's Hawaii 1 (16-inch) - 2015/2016</v>
      </c>
      <c r="I342">
        <f>VLOOKUP(H342,[1]products!$B:$D,3,0)</f>
        <v>3</v>
      </c>
      <c r="J342" t="str">
        <f>VLOOKUP(I342,[2]categories!$A$2:$B$8,2,0)</f>
        <v>Cruisers Bicycles</v>
      </c>
    </row>
    <row r="343" spans="1:10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 s="1">
        <f t="shared" si="5"/>
        <v>569.9905</v>
      </c>
      <c r="H343" t="str">
        <f>VLOOKUP(C343,[1]products!$A:$B,2,0)</f>
        <v>Electra Townie Original 7D EQ - 2016</v>
      </c>
      <c r="I343">
        <f>VLOOKUP(H343,[1]products!$B:$D,3,0)</f>
        <v>3</v>
      </c>
      <c r="J343" t="str">
        <f>VLOOKUP(I343,[2]categories!$A$2:$B$8,2,0)</f>
        <v>Cruisers Bicycles</v>
      </c>
    </row>
    <row r="344" spans="1:10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 s="1">
        <f t="shared" si="5"/>
        <v>215.992</v>
      </c>
      <c r="H344" t="str">
        <f>VLOOKUP(C344,[1]products!$A:$B,2,0)</f>
        <v>Electra Girl's Hawaii 1 (16-inch) - 2015/2016</v>
      </c>
      <c r="I344">
        <f>VLOOKUP(H344,[1]products!$B:$D,3,0)</f>
        <v>3</v>
      </c>
      <c r="J344" t="str">
        <f>VLOOKUP(I344,[2]categories!$A$2:$B$8,2,0)</f>
        <v>Cruisers Bicycles</v>
      </c>
    </row>
    <row r="345" spans="1:10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 s="1">
        <f t="shared" si="5"/>
        <v>426.55</v>
      </c>
      <c r="H345" t="str">
        <f>VLOOKUP(C345,[1]products!$A:$B,2,0)</f>
        <v>Pure Cycles William 3-Speed - 2016</v>
      </c>
      <c r="I345">
        <f>VLOOKUP(H345,[1]products!$B:$D,3,0)</f>
        <v>3</v>
      </c>
      <c r="J345" t="str">
        <f>VLOOKUP(I345,[2]categories!$A$2:$B$8,2,0)</f>
        <v>Cruisers Bicycles</v>
      </c>
    </row>
    <row r="346" spans="1:10">
      <c r="A346">
        <v>118</v>
      </c>
      <c r="B346">
        <v>1</v>
      </c>
      <c r="C346">
        <v>18</v>
      </c>
      <c r="D346">
        <v>1</v>
      </c>
      <c r="E346">
        <v>449</v>
      </c>
      <c r="F346">
        <v>0.07</v>
      </c>
      <c r="G346" s="1">
        <f t="shared" si="5"/>
        <v>417.57</v>
      </c>
      <c r="H346" t="str">
        <f>VLOOKUP(C346,[1]products!$A:$B,2,0)</f>
        <v>Pure Cycles Western 3-Speed - Women's - 2015/2016</v>
      </c>
      <c r="I346">
        <f>VLOOKUP(H346,[1]products!$B:$D,3,0)</f>
        <v>3</v>
      </c>
      <c r="J346" t="str">
        <f>VLOOKUP(I346,[2]categories!$A$2:$B$8,2,0)</f>
        <v>Cruisers Bicycles</v>
      </c>
    </row>
    <row r="347" spans="1:10">
      <c r="A347">
        <v>118</v>
      </c>
      <c r="B347">
        <v>2</v>
      </c>
      <c r="C347">
        <v>4</v>
      </c>
      <c r="D347">
        <v>1</v>
      </c>
      <c r="E347">
        <v>2899.99</v>
      </c>
      <c r="F347">
        <v>0.07</v>
      </c>
      <c r="G347" s="1">
        <f t="shared" si="5"/>
        <v>2696.9907</v>
      </c>
      <c r="H347" t="str">
        <f>VLOOKUP(C347,[1]products!$A:$B,2,0)</f>
        <v>Trek Fuel EX 8 29 - 2016</v>
      </c>
      <c r="I347">
        <f>VLOOKUP(H347,[1]products!$B:$D,3,0)</f>
        <v>6</v>
      </c>
      <c r="J347" t="str">
        <f>VLOOKUP(I347,[2]categories!$A$2:$B$8,2,0)</f>
        <v>Mountain Bikes</v>
      </c>
    </row>
    <row r="348" spans="1:10">
      <c r="A348">
        <v>118</v>
      </c>
      <c r="B348">
        <v>3</v>
      </c>
      <c r="C348">
        <v>6</v>
      </c>
      <c r="D348">
        <v>1</v>
      </c>
      <c r="E348">
        <v>469.99</v>
      </c>
      <c r="F348">
        <v>0.07</v>
      </c>
      <c r="G348" s="1">
        <f t="shared" si="5"/>
        <v>437.0907</v>
      </c>
      <c r="H348" t="str">
        <f>VLOOKUP(C348,[1]products!$A:$B,2,0)</f>
        <v>Surly Ice Cream Truck Frameset - 2016</v>
      </c>
      <c r="I348">
        <f>VLOOKUP(H348,[1]products!$B:$D,3,0)</f>
        <v>6</v>
      </c>
      <c r="J348" t="str">
        <f>VLOOKUP(I348,[2]categories!$A$2:$B$8,2,0)</f>
        <v>Mountain Bikes</v>
      </c>
    </row>
    <row r="349" spans="1:10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 s="1">
        <f t="shared" si="5"/>
        <v>1799.982</v>
      </c>
      <c r="H349" t="str">
        <f>VLOOKUP(C349,[1]products!$A:$B,2,0)</f>
        <v>Surly Wednesday Frameset - 2016</v>
      </c>
      <c r="I349">
        <f>VLOOKUP(H349,[1]products!$B:$D,3,0)</f>
        <v>6</v>
      </c>
      <c r="J349" t="str">
        <f>VLOOKUP(I349,[2]categories!$A$2:$B$8,2,0)</f>
        <v>Mountain Bikes</v>
      </c>
    </row>
    <row r="350" spans="1:10">
      <c r="A350">
        <v>118</v>
      </c>
      <c r="B350">
        <v>5</v>
      </c>
      <c r="C350">
        <v>23</v>
      </c>
      <c r="D350">
        <v>2</v>
      </c>
      <c r="E350">
        <v>299.99</v>
      </c>
      <c r="F350">
        <v>0.07</v>
      </c>
      <c r="G350" s="1">
        <f t="shared" si="5"/>
        <v>557.9814</v>
      </c>
      <c r="H350" t="str">
        <f>VLOOKUP(C350,[1]products!$A:$B,2,0)</f>
        <v>Electra Girl's Hawaii 1 (20-inch) - 2015/2016</v>
      </c>
      <c r="I350">
        <f>VLOOKUP(H350,[1]products!$B:$D,3,0)</f>
        <v>1</v>
      </c>
      <c r="J350" t="str">
        <f>VLOOKUP(I350,[2]categories!$A$2:$B$8,2,0)</f>
        <v>Children Bicycles</v>
      </c>
    </row>
    <row r="351" spans="1:10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 s="1">
        <f t="shared" si="5"/>
        <v>474.9905</v>
      </c>
      <c r="H351" t="str">
        <f>VLOOKUP(C351,[1]products!$A:$B,2,0)</f>
        <v>Electra Townie Original 7D - 2015/2016</v>
      </c>
      <c r="I351">
        <f>VLOOKUP(H351,[1]products!$B:$D,3,0)</f>
        <v>2</v>
      </c>
      <c r="J351" t="str">
        <f>VLOOKUP(I351,[2]categories!$A$2:$B$8,2,0)</f>
        <v>Comfort Bicycles</v>
      </c>
    </row>
    <row r="352" spans="1:10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 s="1">
        <f t="shared" si="5"/>
        <v>512.981</v>
      </c>
      <c r="H352" t="str">
        <f>VLOOKUP(C352,[1]products!$A:$B,2,0)</f>
        <v>Electra Cruiser 1 (24-Inch) - 2016</v>
      </c>
      <c r="I352">
        <f>VLOOKUP(H352,[1]products!$B:$D,3,0)</f>
        <v>3</v>
      </c>
      <c r="J352" t="str">
        <f>VLOOKUP(I352,[2]categories!$A$2:$B$8,2,0)</f>
        <v>Cruisers Bicycles</v>
      </c>
    </row>
    <row r="353" spans="1:10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 s="1">
        <f t="shared" si="5"/>
        <v>892.981</v>
      </c>
      <c r="H353" t="str">
        <f>VLOOKUP(C353,[1]products!$A:$B,2,0)</f>
        <v>Surly Ice Cream Truck Frameset - 2016</v>
      </c>
      <c r="I353">
        <f>VLOOKUP(H353,[1]products!$B:$D,3,0)</f>
        <v>6</v>
      </c>
      <c r="J353" t="str">
        <f>VLOOKUP(I353,[2]categories!$A$2:$B$8,2,0)</f>
        <v>Mountain Bikes</v>
      </c>
    </row>
    <row r="354" spans="1:10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 s="1">
        <f t="shared" si="5"/>
        <v>2943.1</v>
      </c>
      <c r="H354" t="str">
        <f>VLOOKUP(C354,[1]products!$A:$B,2,0)</f>
        <v>Surly Straggler - 2016</v>
      </c>
      <c r="I354">
        <f>VLOOKUP(H354,[1]products!$B:$D,3,0)</f>
        <v>4</v>
      </c>
      <c r="J354" t="str">
        <f>VLOOKUP(I354,[2]categories!$A$2:$B$8,2,0)</f>
        <v>Cyclocross Bicycles</v>
      </c>
    </row>
    <row r="355" spans="1:10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 s="1">
        <f t="shared" si="5"/>
        <v>407.55</v>
      </c>
      <c r="H355" t="str">
        <f>VLOOKUP(C355,[1]products!$A:$B,2,0)</f>
        <v>Pure Cycles Vine 8-Speed - 2016</v>
      </c>
      <c r="I355">
        <f>VLOOKUP(H355,[1]products!$B:$D,3,0)</f>
        <v>3</v>
      </c>
      <c r="J355" t="str">
        <f>VLOOKUP(I355,[2]categories!$A$2:$B$8,2,0)</f>
        <v>Cruisers Bicycles</v>
      </c>
    </row>
    <row r="356" spans="1:10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 s="1">
        <f t="shared" si="5"/>
        <v>959.984</v>
      </c>
      <c r="H356" t="str">
        <f>VLOOKUP(C356,[1]products!$A:$B,2,0)</f>
        <v>Electra Townie Original 7D EQ - 2016</v>
      </c>
      <c r="I356">
        <f>VLOOKUP(H356,[1]products!$B:$D,3,0)</f>
        <v>3</v>
      </c>
      <c r="J356" t="str">
        <f>VLOOKUP(I356,[2]categories!$A$2:$B$8,2,0)</f>
        <v>Cruisers Bicycles</v>
      </c>
    </row>
    <row r="357" spans="1:10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 s="1">
        <f t="shared" si="5"/>
        <v>1056.792</v>
      </c>
      <c r="H357" t="str">
        <f>VLOOKUP(C357,[1]products!$A:$B,2,0)</f>
        <v>Heller Shagamaw Frame - 2016</v>
      </c>
      <c r="I357">
        <f>VLOOKUP(H357,[1]products!$B:$D,3,0)</f>
        <v>6</v>
      </c>
      <c r="J357" t="str">
        <f>VLOOKUP(I357,[2]categories!$A$2:$B$8,2,0)</f>
        <v>Mountain Bikes</v>
      </c>
    </row>
    <row r="358" spans="1:10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 s="1">
        <f t="shared" si="5"/>
        <v>485.982</v>
      </c>
      <c r="H358" t="str">
        <f>VLOOKUP(C358,[1]products!$A:$B,2,0)</f>
        <v>Electra Girl's Hawaii 1 (16-inch) - 2015/2016</v>
      </c>
      <c r="I358">
        <f>VLOOKUP(H358,[1]products!$B:$D,3,0)</f>
        <v>3</v>
      </c>
      <c r="J358" t="str">
        <f>VLOOKUP(I358,[2]categories!$A$2:$B$8,2,0)</f>
        <v>Cruisers Bicycles</v>
      </c>
    </row>
    <row r="359" spans="1:10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 s="1">
        <f t="shared" si="5"/>
        <v>5219.982</v>
      </c>
      <c r="H359" t="str">
        <f>VLOOKUP(C359,[1]products!$A:$B,2,0)</f>
        <v>Trek Fuel EX 8 29 - 2016</v>
      </c>
      <c r="I359">
        <f>VLOOKUP(H359,[1]products!$B:$D,3,0)</f>
        <v>6</v>
      </c>
      <c r="J359" t="str">
        <f>VLOOKUP(I359,[2]categories!$A$2:$B$8,2,0)</f>
        <v>Mountain Bikes</v>
      </c>
    </row>
    <row r="360" spans="1:10">
      <c r="A360">
        <v>121</v>
      </c>
      <c r="B360">
        <v>4</v>
      </c>
      <c r="C360">
        <v>24</v>
      </c>
      <c r="D360">
        <v>2</v>
      </c>
      <c r="E360">
        <v>549.99</v>
      </c>
      <c r="F360">
        <v>0.07</v>
      </c>
      <c r="G360" s="1">
        <f t="shared" si="5"/>
        <v>1022.9814</v>
      </c>
      <c r="H360" t="str">
        <f>VLOOKUP(C360,[1]products!$A:$B,2,0)</f>
        <v>Electra Townie Original 21D - 2016</v>
      </c>
      <c r="I360">
        <f>VLOOKUP(H360,[1]products!$B:$D,3,0)</f>
        <v>3</v>
      </c>
      <c r="J360" t="str">
        <f>VLOOKUP(I360,[2]categories!$A$2:$B$8,2,0)</f>
        <v>Cruisers Bicycles</v>
      </c>
    </row>
    <row r="361" spans="1:10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 s="1">
        <f t="shared" si="5"/>
        <v>1424.981</v>
      </c>
      <c r="H361" t="str">
        <f>VLOOKUP(C361,[1]products!$A:$B,2,0)</f>
        <v>Ritchey Timberwolf Frameset - 2016</v>
      </c>
      <c r="I361">
        <f>VLOOKUP(H361,[1]products!$B:$D,3,0)</f>
        <v>6</v>
      </c>
      <c r="J361" t="str">
        <f>VLOOKUP(I361,[2]categories!$A$2:$B$8,2,0)</f>
        <v>Mountain Bikes</v>
      </c>
    </row>
    <row r="362" spans="1:10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 s="1">
        <f t="shared" si="5"/>
        <v>539.991</v>
      </c>
      <c r="H362" t="str">
        <f>VLOOKUP(C362,[1]products!$A:$B,2,0)</f>
        <v>Electra Townie Original 7D EQ - 2016</v>
      </c>
      <c r="I362">
        <f>VLOOKUP(H362,[1]products!$B:$D,3,0)</f>
        <v>3</v>
      </c>
      <c r="J362" t="str">
        <f>VLOOKUP(I362,[2]categories!$A$2:$B$8,2,0)</f>
        <v>Cruisers Bicycles</v>
      </c>
    </row>
    <row r="363" spans="1:10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 s="1">
        <f t="shared" si="5"/>
        <v>989.982</v>
      </c>
      <c r="H363" t="str">
        <f>VLOOKUP(C363,[1]products!$A:$B,2,0)</f>
        <v>Electra Townie Original 21D - 2016</v>
      </c>
      <c r="I363">
        <f>VLOOKUP(H363,[1]products!$B:$D,3,0)</f>
        <v>3</v>
      </c>
      <c r="J363" t="str">
        <f>VLOOKUP(I363,[2]categories!$A$2:$B$8,2,0)</f>
        <v>Cruisers Bicycles</v>
      </c>
    </row>
    <row r="364" spans="1:10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 s="1">
        <f t="shared" si="5"/>
        <v>569.9905</v>
      </c>
      <c r="H364" t="str">
        <f>VLOOKUP(C364,[1]products!$A:$B,2,0)</f>
        <v>Electra Townie Original 7D EQ - 2016</v>
      </c>
      <c r="I364">
        <f>VLOOKUP(H364,[1]products!$B:$D,3,0)</f>
        <v>3</v>
      </c>
      <c r="J364" t="str">
        <f>VLOOKUP(I364,[2]categories!$A$2:$B$8,2,0)</f>
        <v>Cruisers Bicycles</v>
      </c>
    </row>
    <row r="365" spans="1:10">
      <c r="A365">
        <v>124</v>
      </c>
      <c r="B365">
        <v>2</v>
      </c>
      <c r="C365">
        <v>4</v>
      </c>
      <c r="D365">
        <v>1</v>
      </c>
      <c r="E365">
        <v>2899.99</v>
      </c>
      <c r="F365">
        <v>0.07</v>
      </c>
      <c r="G365" s="1">
        <f t="shared" si="5"/>
        <v>2696.9907</v>
      </c>
      <c r="H365" t="str">
        <f>VLOOKUP(C365,[1]products!$A:$B,2,0)</f>
        <v>Trek Fuel EX 8 29 - 2016</v>
      </c>
      <c r="I365">
        <f>VLOOKUP(H365,[1]products!$B:$D,3,0)</f>
        <v>6</v>
      </c>
      <c r="J365" t="str">
        <f>VLOOKUP(I365,[2]categories!$A$2:$B$8,2,0)</f>
        <v>Mountain Bikes</v>
      </c>
    </row>
    <row r="366" spans="1:10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 s="1">
        <f t="shared" si="5"/>
        <v>7599.981</v>
      </c>
      <c r="H366" t="str">
        <f>VLOOKUP(C366,[1]products!$A:$B,2,0)</f>
        <v>Trek Slash 8 27.5 - 2016</v>
      </c>
      <c r="I366">
        <f>VLOOKUP(H366,[1]products!$B:$D,3,0)</f>
        <v>6</v>
      </c>
      <c r="J366" t="str">
        <f>VLOOKUP(I366,[2]categories!$A$2:$B$8,2,0)</f>
        <v>Mountain Bikes</v>
      </c>
    </row>
    <row r="367" spans="1:10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 s="1">
        <f t="shared" si="5"/>
        <v>386.1</v>
      </c>
      <c r="H367" t="str">
        <f>VLOOKUP(C367,[1]products!$A:$B,2,0)</f>
        <v>Pure Cycles Vine 8-Speed - 2016</v>
      </c>
      <c r="I367">
        <f>VLOOKUP(H367,[1]products!$B:$D,3,0)</f>
        <v>3</v>
      </c>
      <c r="J367" t="str">
        <f>VLOOKUP(I367,[2]categories!$A$2:$B$8,2,0)</f>
        <v>Cruisers Bicycles</v>
      </c>
    </row>
    <row r="368" spans="1:10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 s="1">
        <f t="shared" si="5"/>
        <v>5699.981</v>
      </c>
      <c r="H368" t="str">
        <f>VLOOKUP(C368,[1]products!$A:$B,2,0)</f>
        <v>Trek Conduit+ - 2016</v>
      </c>
      <c r="I368">
        <f>VLOOKUP(H368,[1]products!$B:$D,3,0)</f>
        <v>5</v>
      </c>
      <c r="J368" t="str">
        <f>VLOOKUP(I368,[2]categories!$A$2:$B$8,2,0)</f>
        <v>Electric Bikes</v>
      </c>
    </row>
    <row r="369" spans="1:10">
      <c r="A369">
        <v>127</v>
      </c>
      <c r="B369">
        <v>1</v>
      </c>
      <c r="C369">
        <v>17</v>
      </c>
      <c r="D369">
        <v>1</v>
      </c>
      <c r="E369">
        <v>429</v>
      </c>
      <c r="F369">
        <v>0.07</v>
      </c>
      <c r="G369" s="1">
        <f t="shared" si="5"/>
        <v>398.97</v>
      </c>
      <c r="H369" t="str">
        <f>VLOOKUP(C369,[1]products!$A:$B,2,0)</f>
        <v>Pure Cycles Vine 8-Speed - 2016</v>
      </c>
      <c r="I369">
        <f>VLOOKUP(H369,[1]products!$B:$D,3,0)</f>
        <v>3</v>
      </c>
      <c r="J369" t="str">
        <f>VLOOKUP(I369,[2]categories!$A$2:$B$8,2,0)</f>
        <v>Cruisers Bicycles</v>
      </c>
    </row>
    <row r="370" spans="1:10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 s="1">
        <f t="shared" si="5"/>
        <v>539.991</v>
      </c>
      <c r="H370" t="str">
        <f>VLOOKUP(C370,[1]products!$A:$B,2,0)</f>
        <v>Electra Townie Original 7D EQ - Women's - 2016</v>
      </c>
      <c r="I370">
        <f>VLOOKUP(H370,[1]products!$B:$D,3,0)</f>
        <v>3</v>
      </c>
      <c r="J370" t="str">
        <f>VLOOKUP(I370,[2]categories!$A$2:$B$8,2,0)</f>
        <v>Cruisers Bicycles</v>
      </c>
    </row>
    <row r="371" spans="1:10">
      <c r="A371">
        <v>127</v>
      </c>
      <c r="B371">
        <v>3</v>
      </c>
      <c r="C371">
        <v>4</v>
      </c>
      <c r="D371">
        <v>2</v>
      </c>
      <c r="E371">
        <v>2899.99</v>
      </c>
      <c r="F371">
        <v>0.07</v>
      </c>
      <c r="G371" s="1">
        <f t="shared" si="5"/>
        <v>5393.9814</v>
      </c>
      <c r="H371" t="str">
        <f>VLOOKUP(C371,[1]products!$A:$B,2,0)</f>
        <v>Trek Fuel EX 8 29 - 2016</v>
      </c>
      <c r="I371">
        <f>VLOOKUP(H371,[1]products!$B:$D,3,0)</f>
        <v>6</v>
      </c>
      <c r="J371" t="str">
        <f>VLOOKUP(I371,[2]categories!$A$2:$B$8,2,0)</f>
        <v>Mountain Bikes</v>
      </c>
    </row>
    <row r="372" spans="1:10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 s="1">
        <f t="shared" si="5"/>
        <v>989.982</v>
      </c>
      <c r="H372" t="str">
        <f>VLOOKUP(C372,[1]products!$A:$B,2,0)</f>
        <v>Electra Townie Original 21D - 2016</v>
      </c>
      <c r="I372">
        <f>VLOOKUP(H372,[1]products!$B:$D,3,0)</f>
        <v>3</v>
      </c>
      <c r="J372" t="str">
        <f>VLOOKUP(I372,[2]categories!$A$2:$B$8,2,0)</f>
        <v>Cruisers Bicycles</v>
      </c>
    </row>
    <row r="373" spans="1:10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 s="1">
        <f t="shared" si="5"/>
        <v>1079.982</v>
      </c>
      <c r="H373" t="str">
        <f>VLOOKUP(C373,[1]products!$A:$B,2,0)</f>
        <v>Electra Townie Original 7D EQ - 2016</v>
      </c>
      <c r="I373">
        <f>VLOOKUP(H373,[1]products!$B:$D,3,0)</f>
        <v>3</v>
      </c>
      <c r="J373" t="str">
        <f>VLOOKUP(I373,[2]categories!$A$2:$B$8,2,0)</f>
        <v>Cruisers Bicycles</v>
      </c>
    </row>
    <row r="374" spans="1:10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 s="1">
        <f t="shared" si="5"/>
        <v>4639.984</v>
      </c>
      <c r="H374" t="str">
        <f>VLOOKUP(C374,[1]products!$A:$B,2,0)</f>
        <v>Trek Fuel EX 8 29 - 2016</v>
      </c>
      <c r="I374">
        <f>VLOOKUP(H374,[1]products!$B:$D,3,0)</f>
        <v>6</v>
      </c>
      <c r="J374" t="str">
        <f>VLOOKUP(I374,[2]categories!$A$2:$B$8,2,0)</f>
        <v>Mountain Bikes</v>
      </c>
    </row>
    <row r="375" spans="1:10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 s="1">
        <f t="shared" si="5"/>
        <v>1599.984</v>
      </c>
      <c r="H375" t="str">
        <f>VLOOKUP(C375,[1]products!$A:$B,2,0)</f>
        <v>Surly Wednesday Frameset - 2016</v>
      </c>
      <c r="I375">
        <f>VLOOKUP(H375,[1]products!$B:$D,3,0)</f>
        <v>6</v>
      </c>
      <c r="J375" t="str">
        <f>VLOOKUP(I375,[2]categories!$A$2:$B$8,2,0)</f>
        <v>Mountain Bikes</v>
      </c>
    </row>
    <row r="376" spans="1:10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 s="1">
        <f t="shared" si="5"/>
        <v>404.1</v>
      </c>
      <c r="H376" t="str">
        <f>VLOOKUP(C376,[1]products!$A:$B,2,0)</f>
        <v>Pure Cycles Western 3-Speed - Women's - 2015/2016</v>
      </c>
      <c r="I376">
        <f>VLOOKUP(H376,[1]products!$B:$D,3,0)</f>
        <v>3</v>
      </c>
      <c r="J376" t="str">
        <f>VLOOKUP(I376,[2]categories!$A$2:$B$8,2,0)</f>
        <v>Cruisers Bicycles</v>
      </c>
    </row>
    <row r="377" spans="1:10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 s="1">
        <f t="shared" si="5"/>
        <v>2699.991</v>
      </c>
      <c r="H377" t="str">
        <f>VLOOKUP(C377,[1]products!$A:$B,2,0)</f>
        <v>Trek Conduit+ - 2016</v>
      </c>
      <c r="I377">
        <f>VLOOKUP(H377,[1]products!$B:$D,3,0)</f>
        <v>5</v>
      </c>
      <c r="J377" t="str">
        <f>VLOOKUP(I377,[2]categories!$A$2:$B$8,2,0)</f>
        <v>Electric Bikes</v>
      </c>
    </row>
    <row r="378" spans="1:10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 s="1">
        <f t="shared" si="5"/>
        <v>569.9905</v>
      </c>
      <c r="H378" t="str">
        <f>VLOOKUP(C378,[1]products!$A:$B,2,0)</f>
        <v>Electra Townie Original 7D EQ - 2016</v>
      </c>
      <c r="I378">
        <f>VLOOKUP(H378,[1]products!$B:$D,3,0)</f>
        <v>3</v>
      </c>
      <c r="J378" t="str">
        <f>VLOOKUP(I378,[2]categories!$A$2:$B$8,2,0)</f>
        <v>Cruisers Bicycles</v>
      </c>
    </row>
    <row r="379" spans="1:10">
      <c r="A379">
        <v>130</v>
      </c>
      <c r="B379">
        <v>2</v>
      </c>
      <c r="C379">
        <v>5</v>
      </c>
      <c r="D379">
        <v>2</v>
      </c>
      <c r="E379">
        <v>1320.99</v>
      </c>
      <c r="F379">
        <v>0.07</v>
      </c>
      <c r="G379" s="1">
        <f t="shared" si="5"/>
        <v>2457.0414</v>
      </c>
      <c r="H379" t="str">
        <f>VLOOKUP(C379,[1]products!$A:$B,2,0)</f>
        <v>Heller Shagamaw Frame - 2016</v>
      </c>
      <c r="I379">
        <f>VLOOKUP(H379,[1]products!$B:$D,3,0)</f>
        <v>6</v>
      </c>
      <c r="J379" t="str">
        <f>VLOOKUP(I379,[2]categories!$A$2:$B$8,2,0)</f>
        <v>Mountain Bikes</v>
      </c>
    </row>
    <row r="380" spans="1:10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 s="1">
        <f t="shared" si="5"/>
        <v>431.984</v>
      </c>
      <c r="H380" t="str">
        <f>VLOOKUP(C380,[1]products!$A:$B,2,0)</f>
        <v>Electra Girl's Hawaii 1 (16-inch) - 2015/2016</v>
      </c>
      <c r="I380">
        <f>VLOOKUP(H380,[1]products!$B:$D,3,0)</f>
        <v>3</v>
      </c>
      <c r="J380" t="str">
        <f>VLOOKUP(I380,[2]categories!$A$2:$B$8,2,0)</f>
        <v>Cruisers Bicycles</v>
      </c>
    </row>
    <row r="381" spans="1:10">
      <c r="A381">
        <v>131</v>
      </c>
      <c r="B381">
        <v>2</v>
      </c>
      <c r="C381">
        <v>4</v>
      </c>
      <c r="D381">
        <v>2</v>
      </c>
      <c r="E381">
        <v>2899.99</v>
      </c>
      <c r="F381">
        <v>0.07</v>
      </c>
      <c r="G381" s="1">
        <f t="shared" si="5"/>
        <v>5393.9814</v>
      </c>
      <c r="H381" t="str">
        <f>VLOOKUP(C381,[1]products!$A:$B,2,0)</f>
        <v>Trek Fuel EX 8 29 - 2016</v>
      </c>
      <c r="I381">
        <f>VLOOKUP(H381,[1]products!$B:$D,3,0)</f>
        <v>6</v>
      </c>
      <c r="J381" t="str">
        <f>VLOOKUP(I381,[2]categories!$A$2:$B$8,2,0)</f>
        <v>Mountain Bikes</v>
      </c>
    </row>
    <row r="382" spans="1:10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 s="1">
        <f t="shared" si="5"/>
        <v>989.982</v>
      </c>
      <c r="H382" t="str">
        <f>VLOOKUP(C382,[1]products!$A:$B,2,0)</f>
        <v>Electra Townie Original 21D - 2016</v>
      </c>
      <c r="I382">
        <f>VLOOKUP(H382,[1]products!$B:$D,3,0)</f>
        <v>3</v>
      </c>
      <c r="J382" t="str">
        <f>VLOOKUP(I382,[2]categories!$A$2:$B$8,2,0)</f>
        <v>Cruisers Bicycles</v>
      </c>
    </row>
    <row r="383" spans="1:10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 s="1">
        <f t="shared" si="5"/>
        <v>1424.981</v>
      </c>
      <c r="H383" t="str">
        <f>VLOOKUP(C383,[1]products!$A:$B,2,0)</f>
        <v>Ritchey Timberwolf Frameset - 2016</v>
      </c>
      <c r="I383">
        <f>VLOOKUP(H383,[1]products!$B:$D,3,0)</f>
        <v>6</v>
      </c>
      <c r="J383" t="str">
        <f>VLOOKUP(I383,[2]categories!$A$2:$B$8,2,0)</f>
        <v>Mountain Bikes</v>
      </c>
    </row>
    <row r="384" spans="1:10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 s="1">
        <f t="shared" si="5"/>
        <v>569.9905</v>
      </c>
      <c r="H384" t="str">
        <f>VLOOKUP(C384,[1]products!$A:$B,2,0)</f>
        <v>Electra Townie Original 7D EQ - Women's - 2016</v>
      </c>
      <c r="I384">
        <f>VLOOKUP(H384,[1]products!$B:$D,3,0)</f>
        <v>3</v>
      </c>
      <c r="J384" t="str">
        <f>VLOOKUP(I384,[2]categories!$A$2:$B$8,2,0)</f>
        <v>Cruisers Bicycles</v>
      </c>
    </row>
    <row r="385" spans="1:10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 s="1">
        <f t="shared" si="5"/>
        <v>2699.991</v>
      </c>
      <c r="H385" t="str">
        <f>VLOOKUP(C385,[1]products!$A:$B,2,0)</f>
        <v>Trek Conduit+ - 2016</v>
      </c>
      <c r="I385">
        <f>VLOOKUP(H385,[1]products!$B:$D,3,0)</f>
        <v>5</v>
      </c>
      <c r="J385" t="str">
        <f>VLOOKUP(I385,[2]categories!$A$2:$B$8,2,0)</f>
        <v>Electric Bikes</v>
      </c>
    </row>
    <row r="386" spans="1:10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 s="1">
        <f t="shared" ref="G386:G449" si="6">D386*E386*(1-F386)</f>
        <v>512.981</v>
      </c>
      <c r="H386" t="str">
        <f>VLOOKUP(C386,[1]products!$A:$B,2,0)</f>
        <v>Electra Cruiser 1 (24-Inch) - 2016</v>
      </c>
      <c r="I386">
        <f>VLOOKUP(H386,[1]products!$B:$D,3,0)</f>
        <v>3</v>
      </c>
      <c r="J386" t="str">
        <f>VLOOKUP(I386,[2]categories!$A$2:$B$8,2,0)</f>
        <v>Cruisers Bicycles</v>
      </c>
    </row>
    <row r="387" spans="1:10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 s="1">
        <f t="shared" si="6"/>
        <v>215.992</v>
      </c>
      <c r="H387" t="str">
        <f>VLOOKUP(C387,[1]products!$A:$B,2,0)</f>
        <v>Electra Girl's Hawaii 1 (16-inch) - 2015/2016</v>
      </c>
      <c r="I387">
        <f>VLOOKUP(H387,[1]products!$B:$D,3,0)</f>
        <v>3</v>
      </c>
      <c r="J387" t="str">
        <f>VLOOKUP(I387,[2]categories!$A$2:$B$8,2,0)</f>
        <v>Cruisers Bicycles</v>
      </c>
    </row>
    <row r="388" spans="1:10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 s="1">
        <f t="shared" si="6"/>
        <v>808.2</v>
      </c>
      <c r="H388" t="str">
        <f>VLOOKUP(C388,[1]products!$A:$B,2,0)</f>
        <v>Pure Cycles William 3-Speed - 2016</v>
      </c>
      <c r="I388">
        <f>VLOOKUP(H388,[1]products!$B:$D,3,0)</f>
        <v>3</v>
      </c>
      <c r="J388" t="str">
        <f>VLOOKUP(I388,[2]categories!$A$2:$B$8,2,0)</f>
        <v>Cruisers Bicycles</v>
      </c>
    </row>
    <row r="389" spans="1:10">
      <c r="A389">
        <v>134</v>
      </c>
      <c r="B389">
        <v>2</v>
      </c>
      <c r="C389">
        <v>2</v>
      </c>
      <c r="D389">
        <v>2</v>
      </c>
      <c r="E389">
        <v>749.99</v>
      </c>
      <c r="F389">
        <v>0.07</v>
      </c>
      <c r="G389" s="1">
        <f t="shared" si="6"/>
        <v>1394.9814</v>
      </c>
      <c r="H389" t="str">
        <f>VLOOKUP(C389,[1]products!$A:$B,2,0)</f>
        <v>Ritchey Timberwolf Frameset - 2016</v>
      </c>
      <c r="I389">
        <f>VLOOKUP(H389,[1]products!$B:$D,3,0)</f>
        <v>6</v>
      </c>
      <c r="J389" t="str">
        <f>VLOOKUP(I389,[2]categories!$A$2:$B$8,2,0)</f>
        <v>Mountain Bikes</v>
      </c>
    </row>
    <row r="390" spans="1:10">
      <c r="A390">
        <v>134</v>
      </c>
      <c r="B390">
        <v>3</v>
      </c>
      <c r="C390">
        <v>18</v>
      </c>
      <c r="D390">
        <v>2</v>
      </c>
      <c r="E390">
        <v>449</v>
      </c>
      <c r="F390">
        <v>0.07</v>
      </c>
      <c r="G390" s="1">
        <f t="shared" si="6"/>
        <v>835.14</v>
      </c>
      <c r="H390" t="str">
        <f>VLOOKUP(C390,[1]products!$A:$B,2,0)</f>
        <v>Pure Cycles Western 3-Speed - Women's - 2015/2016</v>
      </c>
      <c r="I390">
        <f>VLOOKUP(H390,[1]products!$B:$D,3,0)</f>
        <v>3</v>
      </c>
      <c r="J390" t="str">
        <f>VLOOKUP(I390,[2]categories!$A$2:$B$8,2,0)</f>
        <v>Cruisers Bicycles</v>
      </c>
    </row>
    <row r="391" spans="1:10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 s="1">
        <f t="shared" si="6"/>
        <v>2509.881</v>
      </c>
      <c r="H391" t="str">
        <f>VLOOKUP(C391,[1]products!$A:$B,2,0)</f>
        <v>Heller Shagamaw Frame - 2016</v>
      </c>
      <c r="I391">
        <f>VLOOKUP(H391,[1]products!$B:$D,3,0)</f>
        <v>6</v>
      </c>
      <c r="J391" t="str">
        <f>VLOOKUP(I391,[2]categories!$A$2:$B$8,2,0)</f>
        <v>Mountain Bikes</v>
      </c>
    </row>
    <row r="392" spans="1:10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 s="1">
        <f t="shared" si="6"/>
        <v>853.1</v>
      </c>
      <c r="H392" t="str">
        <f>VLOOKUP(C392,[1]products!$A:$B,2,0)</f>
        <v>Pure Cycles Western 3-Speed - Women's - 2015/2016</v>
      </c>
      <c r="I392">
        <f>VLOOKUP(H392,[1]products!$B:$D,3,0)</f>
        <v>3</v>
      </c>
      <c r="J392" t="str">
        <f>VLOOKUP(I392,[2]categories!$A$2:$B$8,2,0)</f>
        <v>Cruisers Bicycles</v>
      </c>
    </row>
    <row r="393" spans="1:10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 s="1">
        <f t="shared" si="6"/>
        <v>399.992</v>
      </c>
      <c r="H393" t="str">
        <f>VLOOKUP(C393,[1]products!$A:$B,2,0)</f>
        <v>Electra Townie Original 7D - 2015/2016</v>
      </c>
      <c r="I393">
        <f>VLOOKUP(H393,[1]products!$B:$D,3,0)</f>
        <v>2</v>
      </c>
      <c r="J393" t="str">
        <f>VLOOKUP(I393,[2]categories!$A$2:$B$8,2,0)</f>
        <v>Comfort Bicycles</v>
      </c>
    </row>
    <row r="394" spans="1:10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 s="1">
        <f t="shared" si="6"/>
        <v>712.4905</v>
      </c>
      <c r="H394" t="str">
        <f>VLOOKUP(C394,[1]products!$A:$B,2,0)</f>
        <v>Ritchey Timberwolf Frameset - 2016</v>
      </c>
      <c r="I394">
        <f>VLOOKUP(H394,[1]products!$B:$D,3,0)</f>
        <v>6</v>
      </c>
      <c r="J394" t="str">
        <f>VLOOKUP(I394,[2]categories!$A$2:$B$8,2,0)</f>
        <v>Mountain Bikes</v>
      </c>
    </row>
    <row r="395" spans="1:10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 s="1">
        <f t="shared" si="6"/>
        <v>6399.984</v>
      </c>
      <c r="H395" t="str">
        <f>VLOOKUP(C395,[1]products!$A:$B,2,0)</f>
        <v>Trek Slash 8 27.5 - 2016</v>
      </c>
      <c r="I395">
        <f>VLOOKUP(H395,[1]products!$B:$D,3,0)</f>
        <v>6</v>
      </c>
      <c r="J395" t="str">
        <f>VLOOKUP(I395,[2]categories!$A$2:$B$8,2,0)</f>
        <v>Mountain Bikes</v>
      </c>
    </row>
    <row r="396" spans="1:10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 s="1">
        <f t="shared" si="6"/>
        <v>1899.981</v>
      </c>
      <c r="H396" t="str">
        <f>VLOOKUP(C396,[1]products!$A:$B,2,0)</f>
        <v>Surly Wednesday Frameset - 2016</v>
      </c>
      <c r="I396">
        <f>VLOOKUP(H396,[1]products!$B:$D,3,0)</f>
        <v>6</v>
      </c>
      <c r="J396" t="str">
        <f>VLOOKUP(I396,[2]categories!$A$2:$B$8,2,0)</f>
        <v>Mountain Bikes</v>
      </c>
    </row>
    <row r="397" spans="1:10">
      <c r="A397">
        <v>137</v>
      </c>
      <c r="B397">
        <v>1</v>
      </c>
      <c r="C397">
        <v>23</v>
      </c>
      <c r="D397">
        <v>1</v>
      </c>
      <c r="E397">
        <v>299.99</v>
      </c>
      <c r="F397">
        <v>0.07</v>
      </c>
      <c r="G397" s="1">
        <f t="shared" si="6"/>
        <v>278.9907</v>
      </c>
      <c r="H397" t="str">
        <f>VLOOKUP(C397,[1]products!$A:$B,2,0)</f>
        <v>Electra Girl's Hawaii 1 (20-inch) - 2015/2016</v>
      </c>
      <c r="I397">
        <f>VLOOKUP(H397,[1]products!$B:$D,3,0)</f>
        <v>1</v>
      </c>
      <c r="J397" t="str">
        <f>VLOOKUP(I397,[2]categories!$A$2:$B$8,2,0)</f>
        <v>Children Bicycles</v>
      </c>
    </row>
    <row r="398" spans="1:10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 s="1">
        <f t="shared" si="6"/>
        <v>242.991</v>
      </c>
      <c r="H398" t="str">
        <f>VLOOKUP(C398,[1]products!$A:$B,2,0)</f>
        <v>Electra Girl's Hawaii 1 (16-inch) - 2015/2016</v>
      </c>
      <c r="I398">
        <f>VLOOKUP(H398,[1]products!$B:$D,3,0)</f>
        <v>3</v>
      </c>
      <c r="J398" t="str">
        <f>VLOOKUP(I398,[2]categories!$A$2:$B$8,2,0)</f>
        <v>Cruisers Bicycles</v>
      </c>
    </row>
    <row r="399" spans="1:10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 s="1">
        <f t="shared" si="6"/>
        <v>1079.982</v>
      </c>
      <c r="H399" t="str">
        <f>VLOOKUP(C399,[1]products!$A:$B,2,0)</f>
        <v>Electra Townie Original 7D EQ - 2016</v>
      </c>
      <c r="I399">
        <f>VLOOKUP(H399,[1]products!$B:$D,3,0)</f>
        <v>3</v>
      </c>
      <c r="J399" t="str">
        <f>VLOOKUP(I399,[2]categories!$A$2:$B$8,2,0)</f>
        <v>Cruisers Bicycles</v>
      </c>
    </row>
    <row r="400" spans="1:10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 s="1">
        <f t="shared" si="6"/>
        <v>375.992</v>
      </c>
      <c r="H400" t="str">
        <f>VLOOKUP(C400,[1]products!$A:$B,2,0)</f>
        <v>Surly Ice Cream Truck Frameset - 2016</v>
      </c>
      <c r="I400">
        <f>VLOOKUP(H400,[1]products!$B:$D,3,0)</f>
        <v>6</v>
      </c>
      <c r="J400" t="str">
        <f>VLOOKUP(I400,[2]categories!$A$2:$B$8,2,0)</f>
        <v>Mountain Bikes</v>
      </c>
    </row>
    <row r="401" spans="1:10">
      <c r="A401">
        <v>139</v>
      </c>
      <c r="B401">
        <v>1</v>
      </c>
      <c r="C401">
        <v>19</v>
      </c>
      <c r="D401">
        <v>2</v>
      </c>
      <c r="E401">
        <v>449</v>
      </c>
      <c r="F401">
        <v>0.07</v>
      </c>
      <c r="G401" s="1">
        <f t="shared" si="6"/>
        <v>835.14</v>
      </c>
      <c r="H401" t="str">
        <f>VLOOKUP(C401,[1]products!$A:$B,2,0)</f>
        <v>Pure Cycles William 3-Speed - 2016</v>
      </c>
      <c r="I401">
        <f>VLOOKUP(H401,[1]products!$B:$D,3,0)</f>
        <v>3</v>
      </c>
      <c r="J401" t="str">
        <f>VLOOKUP(I401,[2]categories!$A$2:$B$8,2,0)</f>
        <v>Cruisers Bicycles</v>
      </c>
    </row>
    <row r="402" spans="1:10">
      <c r="A402">
        <v>139</v>
      </c>
      <c r="B402">
        <v>2</v>
      </c>
      <c r="C402">
        <v>3</v>
      </c>
      <c r="D402">
        <v>1</v>
      </c>
      <c r="E402">
        <v>999.99</v>
      </c>
      <c r="F402">
        <v>0.07</v>
      </c>
      <c r="G402" s="1">
        <f t="shared" si="6"/>
        <v>929.9907</v>
      </c>
      <c r="H402" t="str">
        <f>VLOOKUP(C402,[1]products!$A:$B,2,0)</f>
        <v>Surly Wednesday Frameset - 2016</v>
      </c>
      <c r="I402">
        <f>VLOOKUP(H402,[1]products!$B:$D,3,0)</f>
        <v>6</v>
      </c>
      <c r="J402" t="str">
        <f>VLOOKUP(I402,[2]categories!$A$2:$B$8,2,0)</f>
        <v>Mountain Bikes</v>
      </c>
    </row>
    <row r="403" spans="1:10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 s="1">
        <f t="shared" si="6"/>
        <v>423.992</v>
      </c>
      <c r="H403" t="str">
        <f>VLOOKUP(C403,[1]products!$A:$B,2,0)</f>
        <v>Electra Moto 1 - 2016</v>
      </c>
      <c r="I403">
        <f>VLOOKUP(H403,[1]products!$B:$D,3,0)</f>
        <v>3</v>
      </c>
      <c r="J403" t="str">
        <f>VLOOKUP(I403,[2]categories!$A$2:$B$8,2,0)</f>
        <v>Cruisers Bicycles</v>
      </c>
    </row>
    <row r="404" spans="1:10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 s="1">
        <f t="shared" si="6"/>
        <v>215.992</v>
      </c>
      <c r="H404" t="str">
        <f>VLOOKUP(C404,[1]products!$A:$B,2,0)</f>
        <v>Electra Cruiser 1 (24-Inch) - 2016</v>
      </c>
      <c r="I404">
        <f>VLOOKUP(H404,[1]products!$B:$D,3,0)</f>
        <v>3</v>
      </c>
      <c r="J404" t="str">
        <f>VLOOKUP(I404,[2]categories!$A$2:$B$8,2,0)</f>
        <v>Cruisers Bicycles</v>
      </c>
    </row>
    <row r="405" spans="1:10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 s="1">
        <f t="shared" si="6"/>
        <v>879.984</v>
      </c>
      <c r="H405" t="str">
        <f>VLOOKUP(C405,[1]products!$A:$B,2,0)</f>
        <v>Electra Townie Original 21D - 2016</v>
      </c>
      <c r="I405">
        <f>VLOOKUP(H405,[1]products!$B:$D,3,0)</f>
        <v>3</v>
      </c>
      <c r="J405" t="str">
        <f>VLOOKUP(I405,[2]categories!$A$2:$B$8,2,0)</f>
        <v>Cruisers Bicycles</v>
      </c>
    </row>
    <row r="406" spans="1:10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 s="1">
        <f t="shared" si="6"/>
        <v>949.9905</v>
      </c>
      <c r="H406" t="str">
        <f>VLOOKUP(C406,[1]products!$A:$B,2,0)</f>
        <v>Surly Wednesday Frameset - 2016</v>
      </c>
      <c r="I406">
        <f>VLOOKUP(H406,[1]products!$B:$D,3,0)</f>
        <v>6</v>
      </c>
      <c r="J406" t="str">
        <f>VLOOKUP(I406,[2]categories!$A$2:$B$8,2,0)</f>
        <v>Mountain Bikes</v>
      </c>
    </row>
    <row r="407" spans="1:10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 s="1">
        <f t="shared" si="6"/>
        <v>359.2</v>
      </c>
      <c r="H407" t="str">
        <f>VLOOKUP(C407,[1]products!$A:$B,2,0)</f>
        <v>Pure Cycles Western 3-Speed - Women's - 2015/2016</v>
      </c>
      <c r="I407">
        <f>VLOOKUP(H407,[1]products!$B:$D,3,0)</f>
        <v>3</v>
      </c>
      <c r="J407" t="str">
        <f>VLOOKUP(I407,[2]categories!$A$2:$B$8,2,0)</f>
        <v>Cruisers Bicycles</v>
      </c>
    </row>
    <row r="408" spans="1:10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 s="1">
        <f t="shared" si="6"/>
        <v>1079.982</v>
      </c>
      <c r="H408" t="str">
        <f>VLOOKUP(C408,[1]products!$A:$B,2,0)</f>
        <v>Electra Townie Original 7D EQ - 2016</v>
      </c>
      <c r="I408">
        <f>VLOOKUP(H408,[1]products!$B:$D,3,0)</f>
        <v>3</v>
      </c>
      <c r="J408" t="str">
        <f>VLOOKUP(I408,[2]categories!$A$2:$B$8,2,0)</f>
        <v>Cruisers Bicycles</v>
      </c>
    </row>
    <row r="409" spans="1:10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 s="1">
        <f t="shared" si="6"/>
        <v>3025.782</v>
      </c>
      <c r="H409" t="str">
        <f>VLOOKUP(C409,[1]products!$A:$B,2,0)</f>
        <v>Surly Straggler 650b - 2016</v>
      </c>
      <c r="I409">
        <f>VLOOKUP(H409,[1]products!$B:$D,3,0)</f>
        <v>4</v>
      </c>
      <c r="J409" t="str">
        <f>VLOOKUP(I409,[2]categories!$A$2:$B$8,2,0)</f>
        <v>Cyclocross Bicycles</v>
      </c>
    </row>
    <row r="410" spans="1:10">
      <c r="A410">
        <v>142</v>
      </c>
      <c r="B410">
        <v>3</v>
      </c>
      <c r="C410">
        <v>19</v>
      </c>
      <c r="D410">
        <v>1</v>
      </c>
      <c r="E410">
        <v>449</v>
      </c>
      <c r="F410">
        <v>0.07</v>
      </c>
      <c r="G410" s="1">
        <f t="shared" si="6"/>
        <v>417.57</v>
      </c>
      <c r="H410" t="str">
        <f>VLOOKUP(C410,[1]products!$A:$B,2,0)</f>
        <v>Pure Cycles William 3-Speed - 2016</v>
      </c>
      <c r="I410">
        <f>VLOOKUP(H410,[1]products!$B:$D,3,0)</f>
        <v>3</v>
      </c>
      <c r="J410" t="str">
        <f>VLOOKUP(I410,[2]categories!$A$2:$B$8,2,0)</f>
        <v>Cruisers Bicycles</v>
      </c>
    </row>
    <row r="411" spans="1:10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 s="1">
        <f t="shared" si="6"/>
        <v>375.992</v>
      </c>
      <c r="H411" t="str">
        <f>VLOOKUP(C411,[1]products!$A:$B,2,0)</f>
        <v>Surly Ice Cream Truck Frameset - 2016</v>
      </c>
      <c r="I411">
        <f>VLOOKUP(H411,[1]products!$B:$D,3,0)</f>
        <v>6</v>
      </c>
      <c r="J411" t="str">
        <f>VLOOKUP(I411,[2]categories!$A$2:$B$8,2,0)</f>
        <v>Mountain Bikes</v>
      </c>
    </row>
    <row r="412" spans="1:10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 s="1">
        <f t="shared" si="6"/>
        <v>3419.981</v>
      </c>
      <c r="H412" t="str">
        <f>VLOOKUP(C412,[1]products!$A:$B,2,0)</f>
        <v>Trek Remedy 29 Carbon Frameset - 2016</v>
      </c>
      <c r="I412">
        <f>VLOOKUP(H412,[1]products!$B:$D,3,0)</f>
        <v>6</v>
      </c>
      <c r="J412" t="str">
        <f>VLOOKUP(I412,[2]categories!$A$2:$B$8,2,0)</f>
        <v>Mountain Bikes</v>
      </c>
    </row>
    <row r="413" spans="1:10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 s="1">
        <f t="shared" si="6"/>
        <v>1344.792</v>
      </c>
      <c r="H413" t="str">
        <f>VLOOKUP(C413,[1]products!$A:$B,2,0)</f>
        <v>Surly Straggler 650b - 2016</v>
      </c>
      <c r="I413">
        <f>VLOOKUP(H413,[1]products!$B:$D,3,0)</f>
        <v>4</v>
      </c>
      <c r="J413" t="str">
        <f>VLOOKUP(I413,[2]categories!$A$2:$B$8,2,0)</f>
        <v>Cyclocross Bicycles</v>
      </c>
    </row>
    <row r="414" spans="1:10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 s="1">
        <f t="shared" si="6"/>
        <v>5399.982</v>
      </c>
      <c r="H414" t="str">
        <f>VLOOKUP(C414,[1]products!$A:$B,2,0)</f>
        <v>Trek Conduit+ - 2016</v>
      </c>
      <c r="I414">
        <f>VLOOKUP(H414,[1]products!$B:$D,3,0)</f>
        <v>5</v>
      </c>
      <c r="J414" t="str">
        <f>VLOOKUP(I414,[2]categories!$A$2:$B$8,2,0)</f>
        <v>Electric Bikes</v>
      </c>
    </row>
    <row r="415" spans="1:10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 s="1">
        <f t="shared" si="6"/>
        <v>1599.984</v>
      </c>
      <c r="H415" t="str">
        <f>VLOOKUP(C415,[1]products!$A:$B,2,0)</f>
        <v>Surly Wednesday Frameset - 2016</v>
      </c>
      <c r="I415">
        <f>VLOOKUP(H415,[1]products!$B:$D,3,0)</f>
        <v>6</v>
      </c>
      <c r="J415" t="str">
        <f>VLOOKUP(I415,[2]categories!$A$2:$B$8,2,0)</f>
        <v>Mountain Bikes</v>
      </c>
    </row>
    <row r="416" spans="1:10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 s="1">
        <f t="shared" si="6"/>
        <v>494.991</v>
      </c>
      <c r="H416" t="str">
        <f>VLOOKUP(C416,[1]products!$A:$B,2,0)</f>
        <v>Electra Townie Original 21D - 2016</v>
      </c>
      <c r="I416">
        <f>VLOOKUP(H416,[1]products!$B:$D,3,0)</f>
        <v>3</v>
      </c>
      <c r="J416" t="str">
        <f>VLOOKUP(I416,[2]categories!$A$2:$B$8,2,0)</f>
        <v>Cruisers Bicycles</v>
      </c>
    </row>
    <row r="417" spans="1:10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 s="1">
        <f t="shared" si="6"/>
        <v>1079.982</v>
      </c>
      <c r="H417" t="str">
        <f>VLOOKUP(C417,[1]products!$A:$B,2,0)</f>
        <v>Electra Townie Original 7D EQ - Women's - 2016</v>
      </c>
      <c r="I417">
        <f>VLOOKUP(H417,[1]products!$B:$D,3,0)</f>
        <v>3</v>
      </c>
      <c r="J417" t="str">
        <f>VLOOKUP(I417,[2]categories!$A$2:$B$8,2,0)</f>
        <v>Cruisers Bicycles</v>
      </c>
    </row>
    <row r="418" spans="1:10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 s="1">
        <f t="shared" si="6"/>
        <v>892.981</v>
      </c>
      <c r="H418" t="str">
        <f>VLOOKUP(C418,[1]products!$A:$B,2,0)</f>
        <v>Surly Ice Cream Truck Frameset - 2016</v>
      </c>
      <c r="I418">
        <f>VLOOKUP(H418,[1]products!$B:$D,3,0)</f>
        <v>6</v>
      </c>
      <c r="J418" t="str">
        <f>VLOOKUP(I418,[2]categories!$A$2:$B$8,2,0)</f>
        <v>Mountain Bikes</v>
      </c>
    </row>
    <row r="419" spans="1:10">
      <c r="A419">
        <v>146</v>
      </c>
      <c r="B419">
        <v>5</v>
      </c>
      <c r="C419">
        <v>2</v>
      </c>
      <c r="D419">
        <v>1</v>
      </c>
      <c r="E419">
        <v>749.99</v>
      </c>
      <c r="F419">
        <v>0.07</v>
      </c>
      <c r="G419" s="1">
        <f t="shared" si="6"/>
        <v>697.4907</v>
      </c>
      <c r="H419" t="str">
        <f>VLOOKUP(C419,[1]products!$A:$B,2,0)</f>
        <v>Ritchey Timberwolf Frameset - 2016</v>
      </c>
      <c r="I419">
        <f>VLOOKUP(H419,[1]products!$B:$D,3,0)</f>
        <v>6</v>
      </c>
      <c r="J419" t="str">
        <f>VLOOKUP(I419,[2]categories!$A$2:$B$8,2,0)</f>
        <v>Mountain Bikes</v>
      </c>
    </row>
    <row r="420" spans="1:10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 s="1">
        <f t="shared" si="6"/>
        <v>959.984</v>
      </c>
      <c r="H420" t="str">
        <f>VLOOKUP(C420,[1]products!$A:$B,2,0)</f>
        <v>Electra Townie Original 7D EQ - 2016</v>
      </c>
      <c r="I420">
        <f>VLOOKUP(H420,[1]products!$B:$D,3,0)</f>
        <v>3</v>
      </c>
      <c r="J420" t="str">
        <f>VLOOKUP(I420,[2]categories!$A$2:$B$8,2,0)</f>
        <v>Cruisers Bicycles</v>
      </c>
    </row>
    <row r="421" spans="1:10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 s="1">
        <f t="shared" si="6"/>
        <v>256.4905</v>
      </c>
      <c r="H421" t="str">
        <f>VLOOKUP(C421,[1]products!$A:$B,2,0)</f>
        <v>Electra Girl's Hawaii 1 (16-inch) - 2015/2016</v>
      </c>
      <c r="I421">
        <f>VLOOKUP(H421,[1]products!$B:$D,3,0)</f>
        <v>3</v>
      </c>
      <c r="J421" t="str">
        <f>VLOOKUP(I421,[2]categories!$A$2:$B$8,2,0)</f>
        <v>Cruisers Bicycles</v>
      </c>
    </row>
    <row r="422" spans="1:10">
      <c r="A422">
        <v>149</v>
      </c>
      <c r="B422">
        <v>1</v>
      </c>
      <c r="C422">
        <v>12</v>
      </c>
      <c r="D422">
        <v>2</v>
      </c>
      <c r="E422">
        <v>549.99</v>
      </c>
      <c r="F422">
        <v>0.07</v>
      </c>
      <c r="G422" s="1">
        <f t="shared" si="6"/>
        <v>1022.9814</v>
      </c>
      <c r="H422" t="str">
        <f>VLOOKUP(C422,[1]products!$A:$B,2,0)</f>
        <v>Electra Townie Original 21D - 2016</v>
      </c>
      <c r="I422">
        <f>VLOOKUP(H422,[1]products!$B:$D,3,0)</f>
        <v>3</v>
      </c>
      <c r="J422" t="str">
        <f>VLOOKUP(I422,[2]categories!$A$2:$B$8,2,0)</f>
        <v>Cruisers Bicycles</v>
      </c>
    </row>
    <row r="423" spans="1:10">
      <c r="A423">
        <v>149</v>
      </c>
      <c r="B423">
        <v>2</v>
      </c>
      <c r="C423">
        <v>21</v>
      </c>
      <c r="D423">
        <v>2</v>
      </c>
      <c r="E423">
        <v>269.99</v>
      </c>
      <c r="F423">
        <v>0.07</v>
      </c>
      <c r="G423" s="1">
        <f t="shared" si="6"/>
        <v>502.1814</v>
      </c>
      <c r="H423" t="str">
        <f>VLOOKUP(C423,[1]products!$A:$B,2,0)</f>
        <v>Electra Cruiser 1 (24-Inch) - 2016</v>
      </c>
      <c r="I423">
        <f>VLOOKUP(H423,[1]products!$B:$D,3,0)</f>
        <v>3</v>
      </c>
      <c r="J423" t="str">
        <f>VLOOKUP(I423,[2]categories!$A$2:$B$8,2,0)</f>
        <v>Cruisers Bicycles</v>
      </c>
    </row>
    <row r="424" spans="1:10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 s="1">
        <f t="shared" si="6"/>
        <v>3599.991</v>
      </c>
      <c r="H424" t="str">
        <f>VLOOKUP(C424,[1]products!$A:$B,2,0)</f>
        <v>Trek Slash 8 27.5 - 2016</v>
      </c>
      <c r="I424">
        <f>VLOOKUP(H424,[1]products!$B:$D,3,0)</f>
        <v>6</v>
      </c>
      <c r="J424" t="str">
        <f>VLOOKUP(I424,[2]categories!$A$2:$B$8,2,0)</f>
        <v>Mountain Bikes</v>
      </c>
    </row>
    <row r="425" spans="1:10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 s="1">
        <f t="shared" si="6"/>
        <v>799.992</v>
      </c>
      <c r="H425" t="str">
        <f>VLOOKUP(C425,[1]products!$A:$B,2,0)</f>
        <v>Surly Wednesday Frameset - 2016</v>
      </c>
      <c r="I425">
        <f>VLOOKUP(H425,[1]products!$B:$D,3,0)</f>
        <v>6</v>
      </c>
      <c r="J425" t="str">
        <f>VLOOKUP(I425,[2]categories!$A$2:$B$8,2,0)</f>
        <v>Mountain Bikes</v>
      </c>
    </row>
    <row r="426" spans="1:10">
      <c r="A426">
        <v>150</v>
      </c>
      <c r="B426">
        <v>3</v>
      </c>
      <c r="C426">
        <v>17</v>
      </c>
      <c r="D426">
        <v>1</v>
      </c>
      <c r="E426">
        <v>429</v>
      </c>
      <c r="F426">
        <v>0.07</v>
      </c>
      <c r="G426" s="1">
        <f t="shared" si="6"/>
        <v>398.97</v>
      </c>
      <c r="H426" t="str">
        <f>VLOOKUP(C426,[1]products!$A:$B,2,0)</f>
        <v>Pure Cycles Vine 8-Speed - 2016</v>
      </c>
      <c r="I426">
        <f>VLOOKUP(H426,[1]products!$B:$D,3,0)</f>
        <v>3</v>
      </c>
      <c r="J426" t="str">
        <f>VLOOKUP(I426,[2]categories!$A$2:$B$8,2,0)</f>
        <v>Cruisers Bicycles</v>
      </c>
    </row>
    <row r="427" spans="1:10">
      <c r="A427">
        <v>150</v>
      </c>
      <c r="B427">
        <v>4</v>
      </c>
      <c r="C427">
        <v>25</v>
      </c>
      <c r="D427">
        <v>2</v>
      </c>
      <c r="E427">
        <v>499.99</v>
      </c>
      <c r="F427">
        <v>0.07</v>
      </c>
      <c r="G427" s="1">
        <f t="shared" si="6"/>
        <v>929.9814</v>
      </c>
      <c r="H427" t="str">
        <f>VLOOKUP(C427,[1]products!$A:$B,2,0)</f>
        <v>Electra Townie Original 7D - 2015/2016</v>
      </c>
      <c r="I427">
        <f>VLOOKUP(H427,[1]products!$B:$D,3,0)</f>
        <v>2</v>
      </c>
      <c r="J427" t="str">
        <f>VLOOKUP(I427,[2]categories!$A$2:$B$8,2,0)</f>
        <v>Comfort Bicycles</v>
      </c>
    </row>
    <row r="428" spans="1:10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 s="1">
        <f t="shared" si="6"/>
        <v>386.1</v>
      </c>
      <c r="H428" t="str">
        <f>VLOOKUP(C428,[1]products!$A:$B,2,0)</f>
        <v>Pure Cycles Vine 8-Speed - 2016</v>
      </c>
      <c r="I428">
        <f>VLOOKUP(H428,[1]products!$B:$D,3,0)</f>
        <v>3</v>
      </c>
      <c r="J428" t="str">
        <f>VLOOKUP(I428,[2]categories!$A$2:$B$8,2,0)</f>
        <v>Cruisers Bicycles</v>
      </c>
    </row>
    <row r="429" spans="1:10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 s="1">
        <f t="shared" si="6"/>
        <v>539.991</v>
      </c>
      <c r="H429" t="str">
        <f>VLOOKUP(C429,[1]products!$A:$B,2,0)</f>
        <v>Electra Townie Original 7D EQ - 2016</v>
      </c>
      <c r="I429">
        <f>VLOOKUP(H429,[1]products!$B:$D,3,0)</f>
        <v>3</v>
      </c>
      <c r="J429" t="str">
        <f>VLOOKUP(I429,[2]categories!$A$2:$B$8,2,0)</f>
        <v>Cruisers Bicycles</v>
      </c>
    </row>
    <row r="430" spans="1:10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 s="1">
        <f t="shared" si="6"/>
        <v>751.984</v>
      </c>
      <c r="H430" t="str">
        <f>VLOOKUP(C430,[1]products!$A:$B,2,0)</f>
        <v>Surly Ice Cream Truck Frameset - 2016</v>
      </c>
      <c r="I430">
        <f>VLOOKUP(H430,[1]products!$B:$D,3,0)</f>
        <v>6</v>
      </c>
      <c r="J430" t="str">
        <f>VLOOKUP(I430,[2]categories!$A$2:$B$8,2,0)</f>
        <v>Mountain Bikes</v>
      </c>
    </row>
    <row r="431" spans="1:10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 s="1">
        <f t="shared" si="6"/>
        <v>431.984</v>
      </c>
      <c r="H431" t="str">
        <f>VLOOKUP(C431,[1]products!$A:$B,2,0)</f>
        <v>Electra Girl's Hawaii 1 (16-inch) - 2015/2016</v>
      </c>
      <c r="I431">
        <f>VLOOKUP(H431,[1]products!$B:$D,3,0)</f>
        <v>3</v>
      </c>
      <c r="J431" t="str">
        <f>VLOOKUP(I431,[2]categories!$A$2:$B$8,2,0)</f>
        <v>Cruisers Bicycles</v>
      </c>
    </row>
    <row r="432" spans="1:10">
      <c r="A432">
        <v>152</v>
      </c>
      <c r="B432">
        <v>3</v>
      </c>
      <c r="C432">
        <v>16</v>
      </c>
      <c r="D432">
        <v>2</v>
      </c>
      <c r="E432">
        <v>599.99</v>
      </c>
      <c r="F432">
        <v>0.07</v>
      </c>
      <c r="G432" s="1">
        <f t="shared" si="6"/>
        <v>1115.9814</v>
      </c>
      <c r="H432" t="str">
        <f>VLOOKUP(C432,[1]products!$A:$B,2,0)</f>
        <v>Electra Townie Original 7D EQ - 2016</v>
      </c>
      <c r="I432">
        <f>VLOOKUP(H432,[1]products!$B:$D,3,0)</f>
        <v>3</v>
      </c>
      <c r="J432" t="str">
        <f>VLOOKUP(I432,[2]categories!$A$2:$B$8,2,0)</f>
        <v>Cruisers Bicycles</v>
      </c>
    </row>
    <row r="433" spans="1:10">
      <c r="A433">
        <v>153</v>
      </c>
      <c r="B433">
        <v>1</v>
      </c>
      <c r="C433">
        <v>16</v>
      </c>
      <c r="D433">
        <v>1</v>
      </c>
      <c r="E433">
        <v>599.99</v>
      </c>
      <c r="F433">
        <v>0.07</v>
      </c>
      <c r="G433" s="1">
        <f t="shared" si="6"/>
        <v>557.9907</v>
      </c>
      <c r="H433" t="str">
        <f>VLOOKUP(C433,[1]products!$A:$B,2,0)</f>
        <v>Electra Townie Original 7D EQ - 2016</v>
      </c>
      <c r="I433">
        <f>VLOOKUP(H433,[1]products!$B:$D,3,0)</f>
        <v>3</v>
      </c>
      <c r="J433" t="str">
        <f>VLOOKUP(I433,[2]categories!$A$2:$B$8,2,0)</f>
        <v>Cruisers Bicycles</v>
      </c>
    </row>
    <row r="434" spans="1:10">
      <c r="A434">
        <v>153</v>
      </c>
      <c r="B434">
        <v>2</v>
      </c>
      <c r="C434">
        <v>8</v>
      </c>
      <c r="D434">
        <v>1</v>
      </c>
      <c r="E434">
        <v>1799.99</v>
      </c>
      <c r="F434">
        <v>0.07</v>
      </c>
      <c r="G434" s="1">
        <f t="shared" si="6"/>
        <v>1673.9907</v>
      </c>
      <c r="H434" t="str">
        <f>VLOOKUP(C434,[1]products!$A:$B,2,0)</f>
        <v>Trek Remedy 29 Carbon Frameset - 2016</v>
      </c>
      <c r="I434">
        <f>VLOOKUP(H434,[1]products!$B:$D,3,0)</f>
        <v>6</v>
      </c>
      <c r="J434" t="str">
        <f>VLOOKUP(I434,[2]categories!$A$2:$B$8,2,0)</f>
        <v>Mountain Bikes</v>
      </c>
    </row>
    <row r="435" spans="1:10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 s="1">
        <f t="shared" si="6"/>
        <v>1006.981</v>
      </c>
      <c r="H435" t="str">
        <f>VLOOKUP(C435,[1]products!$A:$B,2,0)</f>
        <v>Electra Moto 1 - 2016</v>
      </c>
      <c r="I435">
        <f>VLOOKUP(H435,[1]products!$B:$D,3,0)</f>
        <v>3</v>
      </c>
      <c r="J435" t="str">
        <f>VLOOKUP(I435,[2]categories!$A$2:$B$8,2,0)</f>
        <v>Cruisers Bicycles</v>
      </c>
    </row>
    <row r="436" spans="1:10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 s="1">
        <f t="shared" si="6"/>
        <v>494.991</v>
      </c>
      <c r="H436" t="str">
        <f>VLOOKUP(C436,[1]products!$A:$B,2,0)</f>
        <v>Electra Townie Original 21D - 2016</v>
      </c>
      <c r="I436">
        <f>VLOOKUP(H436,[1]products!$B:$D,3,0)</f>
        <v>3</v>
      </c>
      <c r="J436" t="str">
        <f>VLOOKUP(I436,[2]categories!$A$2:$B$8,2,0)</f>
        <v>Cruisers Bicycles</v>
      </c>
    </row>
    <row r="437" spans="1:10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 s="1">
        <f t="shared" si="6"/>
        <v>1619.991</v>
      </c>
      <c r="H437" t="str">
        <f>VLOOKUP(C437,[1]products!$A:$B,2,0)</f>
        <v>Trek Remedy 29 Carbon Frameset - 2016</v>
      </c>
      <c r="I437">
        <f>VLOOKUP(H437,[1]products!$B:$D,3,0)</f>
        <v>6</v>
      </c>
      <c r="J437" t="str">
        <f>VLOOKUP(I437,[2]categories!$A$2:$B$8,2,0)</f>
        <v>Mountain Bikes</v>
      </c>
    </row>
    <row r="438" spans="1:10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 s="1">
        <f t="shared" si="6"/>
        <v>718.4</v>
      </c>
      <c r="H438" t="str">
        <f>VLOOKUP(C438,[1]products!$A:$B,2,0)</f>
        <v>Pure Cycles Western 3-Speed - Women's - 2015/2016</v>
      </c>
      <c r="I438">
        <f>VLOOKUP(H438,[1]products!$B:$D,3,0)</f>
        <v>3</v>
      </c>
      <c r="J438" t="str">
        <f>VLOOKUP(I438,[2]categories!$A$2:$B$8,2,0)</f>
        <v>Cruisers Bicycles</v>
      </c>
    </row>
    <row r="439" spans="1:10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 s="1">
        <f t="shared" si="6"/>
        <v>815.1</v>
      </c>
      <c r="H439" t="str">
        <f>VLOOKUP(C439,[1]products!$A:$B,2,0)</f>
        <v>Pure Cycles Vine 8-Speed - 2016</v>
      </c>
      <c r="I439">
        <f>VLOOKUP(H439,[1]products!$B:$D,3,0)</f>
        <v>3</v>
      </c>
      <c r="J439" t="str">
        <f>VLOOKUP(I439,[2]categories!$A$2:$B$8,2,0)</f>
        <v>Cruisers Bicycles</v>
      </c>
    </row>
    <row r="440" spans="1:10">
      <c r="A440">
        <v>156</v>
      </c>
      <c r="B440">
        <v>3</v>
      </c>
      <c r="C440">
        <v>6</v>
      </c>
      <c r="D440">
        <v>1</v>
      </c>
      <c r="E440">
        <v>469.99</v>
      </c>
      <c r="F440">
        <v>0.07</v>
      </c>
      <c r="G440" s="1">
        <f t="shared" si="6"/>
        <v>437.0907</v>
      </c>
      <c r="H440" t="str">
        <f>VLOOKUP(C440,[1]products!$A:$B,2,0)</f>
        <v>Surly Ice Cream Truck Frameset - 2016</v>
      </c>
      <c r="I440">
        <f>VLOOKUP(H440,[1]products!$B:$D,3,0)</f>
        <v>6</v>
      </c>
      <c r="J440" t="str">
        <f>VLOOKUP(I440,[2]categories!$A$2:$B$8,2,0)</f>
        <v>Mountain Bikes</v>
      </c>
    </row>
    <row r="441" spans="1:10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 s="1">
        <f t="shared" si="6"/>
        <v>2609.991</v>
      </c>
      <c r="H441" t="str">
        <f>VLOOKUP(C441,[1]products!$A:$B,2,0)</f>
        <v>Trek Fuel EX 8 29 - 2016</v>
      </c>
      <c r="I441">
        <f>VLOOKUP(H441,[1]products!$B:$D,3,0)</f>
        <v>6</v>
      </c>
      <c r="J441" t="str">
        <f>VLOOKUP(I441,[2]categories!$A$2:$B$8,2,0)</f>
        <v>Mountain Bikes</v>
      </c>
    </row>
    <row r="442" spans="1:10">
      <c r="A442">
        <v>157</v>
      </c>
      <c r="B442">
        <v>2</v>
      </c>
      <c r="C442">
        <v>7</v>
      </c>
      <c r="D442">
        <v>2</v>
      </c>
      <c r="E442">
        <v>3999.99</v>
      </c>
      <c r="F442">
        <v>0.07</v>
      </c>
      <c r="G442" s="1">
        <f t="shared" si="6"/>
        <v>7439.9814</v>
      </c>
      <c r="H442" t="str">
        <f>VLOOKUP(C442,[1]products!$A:$B,2,0)</f>
        <v>Trek Slash 8 27.5 - 2016</v>
      </c>
      <c r="I442">
        <f>VLOOKUP(H442,[1]products!$B:$D,3,0)</f>
        <v>6</v>
      </c>
      <c r="J442" t="str">
        <f>VLOOKUP(I442,[2]categories!$A$2:$B$8,2,0)</f>
        <v>Mountain Bikes</v>
      </c>
    </row>
    <row r="443" spans="1:10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 s="1">
        <f t="shared" si="6"/>
        <v>494.991</v>
      </c>
      <c r="H443" t="str">
        <f>VLOOKUP(C443,[1]products!$A:$B,2,0)</f>
        <v>Electra Townie Original 21D - 2016</v>
      </c>
      <c r="I443">
        <f>VLOOKUP(H443,[1]products!$B:$D,3,0)</f>
        <v>3</v>
      </c>
      <c r="J443" t="str">
        <f>VLOOKUP(I443,[2]categories!$A$2:$B$8,2,0)</f>
        <v>Cruisers Bicycles</v>
      </c>
    </row>
    <row r="444" spans="1:10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 s="1">
        <f t="shared" si="6"/>
        <v>215.992</v>
      </c>
      <c r="H444" t="str">
        <f>VLOOKUP(C444,[1]products!$A:$B,2,0)</f>
        <v>Electra Cruiser 1 (24-Inch) - 2016</v>
      </c>
      <c r="I444">
        <f>VLOOKUP(H444,[1]products!$B:$D,3,0)</f>
        <v>3</v>
      </c>
      <c r="J444" t="str">
        <f>VLOOKUP(I444,[2]categories!$A$2:$B$8,2,0)</f>
        <v>Cruisers Bicycles</v>
      </c>
    </row>
    <row r="445" spans="1:10">
      <c r="A445">
        <v>160</v>
      </c>
      <c r="B445">
        <v>1</v>
      </c>
      <c r="C445">
        <v>21</v>
      </c>
      <c r="D445">
        <v>1</v>
      </c>
      <c r="E445">
        <v>269.99</v>
      </c>
      <c r="F445">
        <v>0.07</v>
      </c>
      <c r="G445" s="1">
        <f t="shared" si="6"/>
        <v>251.0907</v>
      </c>
      <c r="H445" t="str">
        <f>VLOOKUP(C445,[1]products!$A:$B,2,0)</f>
        <v>Electra Cruiser 1 (24-Inch) - 2016</v>
      </c>
      <c r="I445">
        <f>VLOOKUP(H445,[1]products!$B:$D,3,0)</f>
        <v>3</v>
      </c>
      <c r="J445" t="str">
        <f>VLOOKUP(I445,[2]categories!$A$2:$B$8,2,0)</f>
        <v>Cruisers Bicycles</v>
      </c>
    </row>
    <row r="446" spans="1:10">
      <c r="A446">
        <v>160</v>
      </c>
      <c r="B446">
        <v>2</v>
      </c>
      <c r="C446">
        <v>15</v>
      </c>
      <c r="D446">
        <v>2</v>
      </c>
      <c r="E446">
        <v>529.99</v>
      </c>
      <c r="F446">
        <v>0.07</v>
      </c>
      <c r="G446" s="1">
        <f t="shared" si="6"/>
        <v>985.7814</v>
      </c>
      <c r="H446" t="str">
        <f>VLOOKUP(C446,[1]products!$A:$B,2,0)</f>
        <v>Electra Moto 1 - 2016</v>
      </c>
      <c r="I446">
        <f>VLOOKUP(H446,[1]products!$B:$D,3,0)</f>
        <v>3</v>
      </c>
      <c r="J446" t="str">
        <f>VLOOKUP(I446,[2]categories!$A$2:$B$8,2,0)</f>
        <v>Cruisers Bicycles</v>
      </c>
    </row>
    <row r="447" spans="1:10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 s="1">
        <f t="shared" si="6"/>
        <v>808.2</v>
      </c>
      <c r="H447" t="str">
        <f>VLOOKUP(C447,[1]products!$A:$B,2,0)</f>
        <v>Pure Cycles Western 3-Speed - Women's - 2015/2016</v>
      </c>
      <c r="I447">
        <f>VLOOKUP(H447,[1]products!$B:$D,3,0)</f>
        <v>3</v>
      </c>
      <c r="J447" t="str">
        <f>VLOOKUP(I447,[2]categories!$A$2:$B$8,2,0)</f>
        <v>Cruisers Bicycles</v>
      </c>
    </row>
    <row r="448" spans="1:10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 s="1">
        <f t="shared" si="6"/>
        <v>1596.9405</v>
      </c>
      <c r="H448" t="str">
        <f>VLOOKUP(C448,[1]products!$A:$B,2,0)</f>
        <v>Surly Straggler 650b - 2016</v>
      </c>
      <c r="I448">
        <f>VLOOKUP(H448,[1]products!$B:$D,3,0)</f>
        <v>4</v>
      </c>
      <c r="J448" t="str">
        <f>VLOOKUP(I448,[2]categories!$A$2:$B$8,2,0)</f>
        <v>Cyclocross Bicycles</v>
      </c>
    </row>
    <row r="449" spans="1:10">
      <c r="A449">
        <v>161</v>
      </c>
      <c r="B449">
        <v>1</v>
      </c>
      <c r="C449">
        <v>24</v>
      </c>
      <c r="D449">
        <v>2</v>
      </c>
      <c r="E449">
        <v>549.99</v>
      </c>
      <c r="F449">
        <v>0.07</v>
      </c>
      <c r="G449" s="1">
        <f t="shared" si="6"/>
        <v>1022.9814</v>
      </c>
      <c r="H449" t="str">
        <f>VLOOKUP(C449,[1]products!$A:$B,2,0)</f>
        <v>Electra Townie Original 21D - 2016</v>
      </c>
      <c r="I449">
        <f>VLOOKUP(H449,[1]products!$B:$D,3,0)</f>
        <v>3</v>
      </c>
      <c r="J449" t="str">
        <f>VLOOKUP(I449,[2]categories!$A$2:$B$8,2,0)</f>
        <v>Cruisers Bicycles</v>
      </c>
    </row>
    <row r="450" spans="1:10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 s="1">
        <f t="shared" ref="G450:G513" si="7">D450*E450*(1-F450)</f>
        <v>256.4905</v>
      </c>
      <c r="H450" t="str">
        <f>VLOOKUP(C450,[1]products!$A:$B,2,0)</f>
        <v>Electra Girl's Hawaii 1 (16-inch) - 2015/2016</v>
      </c>
      <c r="I450">
        <f>VLOOKUP(H450,[1]products!$B:$D,3,0)</f>
        <v>3</v>
      </c>
      <c r="J450" t="str">
        <f>VLOOKUP(I450,[2]categories!$A$2:$B$8,2,0)</f>
        <v>Cruisers Bicycles</v>
      </c>
    </row>
    <row r="451" spans="1:10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 s="1">
        <f t="shared" si="7"/>
        <v>7599.981</v>
      </c>
      <c r="H451" t="str">
        <f>VLOOKUP(C451,[1]products!$A:$B,2,0)</f>
        <v>Trek Slash 8 27.5 - 2016</v>
      </c>
      <c r="I451">
        <f>VLOOKUP(H451,[1]products!$B:$D,3,0)</f>
        <v>6</v>
      </c>
      <c r="J451" t="str">
        <f>VLOOKUP(I451,[2]categories!$A$2:$B$8,2,0)</f>
        <v>Mountain Bikes</v>
      </c>
    </row>
    <row r="452" spans="1:10">
      <c r="A452">
        <v>162</v>
      </c>
      <c r="B452">
        <v>1</v>
      </c>
      <c r="C452">
        <v>18</v>
      </c>
      <c r="D452">
        <v>1</v>
      </c>
      <c r="E452">
        <v>449</v>
      </c>
      <c r="F452">
        <v>0.07</v>
      </c>
      <c r="G452" s="1">
        <f t="shared" si="7"/>
        <v>417.57</v>
      </c>
      <c r="H452" t="str">
        <f>VLOOKUP(C452,[1]products!$A:$B,2,0)</f>
        <v>Pure Cycles Western 3-Speed - Women's - 2015/2016</v>
      </c>
      <c r="I452">
        <f>VLOOKUP(H452,[1]products!$B:$D,3,0)</f>
        <v>3</v>
      </c>
      <c r="J452" t="str">
        <f>VLOOKUP(I452,[2]categories!$A$2:$B$8,2,0)</f>
        <v>Cruisers Bicycles</v>
      </c>
    </row>
    <row r="453" spans="1:10">
      <c r="A453">
        <v>162</v>
      </c>
      <c r="B453">
        <v>2</v>
      </c>
      <c r="C453">
        <v>21</v>
      </c>
      <c r="D453">
        <v>2</v>
      </c>
      <c r="E453">
        <v>269.99</v>
      </c>
      <c r="F453">
        <v>0.07</v>
      </c>
      <c r="G453" s="1">
        <f t="shared" si="7"/>
        <v>502.1814</v>
      </c>
      <c r="H453" t="str">
        <f>VLOOKUP(C453,[1]products!$A:$B,2,0)</f>
        <v>Electra Cruiser 1 (24-Inch) - 2016</v>
      </c>
      <c r="I453">
        <f>VLOOKUP(H453,[1]products!$B:$D,3,0)</f>
        <v>3</v>
      </c>
      <c r="J453" t="str">
        <f>VLOOKUP(I453,[2]categories!$A$2:$B$8,2,0)</f>
        <v>Cruisers Bicycles</v>
      </c>
    </row>
    <row r="454" spans="1:10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 s="1">
        <f t="shared" si="7"/>
        <v>1799.982</v>
      </c>
      <c r="H454" t="str">
        <f>VLOOKUP(C454,[1]products!$A:$B,2,0)</f>
        <v>Surly Wednesday Frameset - 2016</v>
      </c>
      <c r="I454">
        <f>VLOOKUP(H454,[1]products!$B:$D,3,0)</f>
        <v>6</v>
      </c>
      <c r="J454" t="str">
        <f>VLOOKUP(I454,[2]categories!$A$2:$B$8,2,0)</f>
        <v>Mountain Bikes</v>
      </c>
    </row>
    <row r="455" spans="1:10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 s="1">
        <f t="shared" si="7"/>
        <v>494.991</v>
      </c>
      <c r="H455" t="str">
        <f>VLOOKUP(C455,[1]products!$A:$B,2,0)</f>
        <v>Electra Townie Original 21D - 2016</v>
      </c>
      <c r="I455">
        <f>VLOOKUP(H455,[1]products!$B:$D,3,0)</f>
        <v>3</v>
      </c>
      <c r="J455" t="str">
        <f>VLOOKUP(I455,[2]categories!$A$2:$B$8,2,0)</f>
        <v>Cruisers Bicycles</v>
      </c>
    </row>
    <row r="456" spans="1:10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 s="1">
        <f t="shared" si="7"/>
        <v>359.2</v>
      </c>
      <c r="H456" t="str">
        <f>VLOOKUP(C456,[1]products!$A:$B,2,0)</f>
        <v>Pure Cycles Western 3-Speed - Women's - 2015/2016</v>
      </c>
      <c r="I456">
        <f>VLOOKUP(H456,[1]products!$B:$D,3,0)</f>
        <v>3</v>
      </c>
      <c r="J456" t="str">
        <f>VLOOKUP(I456,[2]categories!$A$2:$B$8,2,0)</f>
        <v>Cruisers Bicycles</v>
      </c>
    </row>
    <row r="457" spans="1:10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 s="1">
        <f t="shared" si="7"/>
        <v>5509.981</v>
      </c>
      <c r="H457" t="str">
        <f>VLOOKUP(C457,[1]products!$A:$B,2,0)</f>
        <v>Trek Fuel EX 8 29 - 2016</v>
      </c>
      <c r="I457">
        <f>VLOOKUP(H457,[1]products!$B:$D,3,0)</f>
        <v>6</v>
      </c>
      <c r="J457" t="str">
        <f>VLOOKUP(I457,[2]categories!$A$2:$B$8,2,0)</f>
        <v>Mountain Bikes</v>
      </c>
    </row>
    <row r="458" spans="1:10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 s="1">
        <f t="shared" si="7"/>
        <v>2943.1</v>
      </c>
      <c r="H458" t="str">
        <f>VLOOKUP(C458,[1]products!$A:$B,2,0)</f>
        <v>Surly Straggler - 2016</v>
      </c>
      <c r="I458">
        <f>VLOOKUP(H458,[1]products!$B:$D,3,0)</f>
        <v>4</v>
      </c>
      <c r="J458" t="str">
        <f>VLOOKUP(I458,[2]categories!$A$2:$B$8,2,0)</f>
        <v>Cyclocross Bicycles</v>
      </c>
    </row>
    <row r="459" spans="1:10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 s="1">
        <f t="shared" si="7"/>
        <v>242.991</v>
      </c>
      <c r="H459" t="str">
        <f>VLOOKUP(C459,[1]products!$A:$B,2,0)</f>
        <v>Electra Girl's Hawaii 1 (16-inch) - 2015/2016</v>
      </c>
      <c r="I459">
        <f>VLOOKUP(H459,[1]products!$B:$D,3,0)</f>
        <v>3</v>
      </c>
      <c r="J459" t="str">
        <f>VLOOKUP(I459,[2]categories!$A$2:$B$8,2,0)</f>
        <v>Cruisers Bicycles</v>
      </c>
    </row>
    <row r="460" spans="1:10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 s="1">
        <f t="shared" si="7"/>
        <v>5509.981</v>
      </c>
      <c r="H460" t="str">
        <f>VLOOKUP(C460,[1]products!$A:$B,2,0)</f>
        <v>Trek Fuel EX 8 29 - 2016</v>
      </c>
      <c r="I460">
        <f>VLOOKUP(H460,[1]products!$B:$D,3,0)</f>
        <v>6</v>
      </c>
      <c r="J460" t="str">
        <f>VLOOKUP(I460,[2]categories!$A$2:$B$8,2,0)</f>
        <v>Mountain Bikes</v>
      </c>
    </row>
    <row r="461" spans="1:10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 s="1">
        <f t="shared" si="7"/>
        <v>239.992</v>
      </c>
      <c r="H461" t="str">
        <f>VLOOKUP(C461,[1]products!$A:$B,2,0)</f>
        <v>Electra Girl's Hawaii 1 (20-inch) - 2015/2016</v>
      </c>
      <c r="I461">
        <f>VLOOKUP(H461,[1]products!$B:$D,3,0)</f>
        <v>1</v>
      </c>
      <c r="J461" t="str">
        <f>VLOOKUP(I461,[2]categories!$A$2:$B$8,2,0)</f>
        <v>Children Bicycles</v>
      </c>
    </row>
    <row r="462" spans="1:10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 s="1">
        <f t="shared" si="7"/>
        <v>712.4905</v>
      </c>
      <c r="H462" t="str">
        <f>VLOOKUP(C462,[1]products!$A:$B,2,0)</f>
        <v>Ritchey Timberwolf Frameset - 2016</v>
      </c>
      <c r="I462">
        <f>VLOOKUP(H462,[1]products!$B:$D,3,0)</f>
        <v>6</v>
      </c>
      <c r="J462" t="str">
        <f>VLOOKUP(I462,[2]categories!$A$2:$B$8,2,0)</f>
        <v>Mountain Bikes</v>
      </c>
    </row>
    <row r="463" spans="1:10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 s="1">
        <f t="shared" si="7"/>
        <v>2788.2</v>
      </c>
      <c r="H463" t="str">
        <f>VLOOKUP(C463,[1]products!$A:$B,2,0)</f>
        <v>Surly Straggler - 2016</v>
      </c>
      <c r="I463">
        <f>VLOOKUP(H463,[1]products!$B:$D,3,0)</f>
        <v>4</v>
      </c>
      <c r="J463" t="str">
        <f>VLOOKUP(I463,[2]categories!$A$2:$B$8,2,0)</f>
        <v>Cyclocross Bicycles</v>
      </c>
    </row>
    <row r="464" spans="1:10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 s="1">
        <f t="shared" si="7"/>
        <v>1344.792</v>
      </c>
      <c r="H464" t="str">
        <f>VLOOKUP(C464,[1]products!$A:$B,2,0)</f>
        <v>Surly Straggler 650b - 2016</v>
      </c>
      <c r="I464">
        <f>VLOOKUP(H464,[1]products!$B:$D,3,0)</f>
        <v>4</v>
      </c>
      <c r="J464" t="str">
        <f>VLOOKUP(I464,[2]categories!$A$2:$B$8,2,0)</f>
        <v>Cyclocross Bicycles</v>
      </c>
    </row>
    <row r="465" spans="1:10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 s="1">
        <f t="shared" si="7"/>
        <v>522.4905</v>
      </c>
      <c r="H465" t="str">
        <f>VLOOKUP(C465,[1]products!$A:$B,2,0)</f>
        <v>Electra Townie Original 21D - 2016</v>
      </c>
      <c r="I465">
        <f>VLOOKUP(H465,[1]products!$B:$D,3,0)</f>
        <v>3</v>
      </c>
      <c r="J465" t="str">
        <f>VLOOKUP(I465,[2]categories!$A$2:$B$8,2,0)</f>
        <v>Cruisers Bicycles</v>
      </c>
    </row>
    <row r="466" spans="1:10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 s="1">
        <f t="shared" si="7"/>
        <v>1239.2</v>
      </c>
      <c r="H466" t="str">
        <f>VLOOKUP(C466,[1]products!$A:$B,2,0)</f>
        <v>Surly Straggler - 2016</v>
      </c>
      <c r="I466">
        <f>VLOOKUP(H466,[1]products!$B:$D,3,0)</f>
        <v>4</v>
      </c>
      <c r="J466" t="str">
        <f>VLOOKUP(I466,[2]categories!$A$2:$B$8,2,0)</f>
        <v>Cyclocross Bicycles</v>
      </c>
    </row>
    <row r="467" spans="1:10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 s="1">
        <f t="shared" si="7"/>
        <v>512.981</v>
      </c>
      <c r="H467" t="str">
        <f>VLOOKUP(C467,[1]products!$A:$B,2,0)</f>
        <v>Electra Cruiser 1 (24-Inch) - 2016</v>
      </c>
      <c r="I467">
        <f>VLOOKUP(H467,[1]products!$B:$D,3,0)</f>
        <v>3</v>
      </c>
      <c r="J467" t="str">
        <f>VLOOKUP(I467,[2]categories!$A$2:$B$8,2,0)</f>
        <v>Cruisers Bicycles</v>
      </c>
    </row>
    <row r="468" spans="1:10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 s="1">
        <f t="shared" si="7"/>
        <v>7599.981</v>
      </c>
      <c r="H468" t="str">
        <f>VLOOKUP(C468,[1]products!$A:$B,2,0)</f>
        <v>Trek Slash 8 27.5 - 2016</v>
      </c>
      <c r="I468">
        <f>VLOOKUP(H468,[1]products!$B:$D,3,0)</f>
        <v>6</v>
      </c>
      <c r="J468" t="str">
        <f>VLOOKUP(I468,[2]categories!$A$2:$B$8,2,0)</f>
        <v>Mountain Bikes</v>
      </c>
    </row>
    <row r="469" spans="1:10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 s="1">
        <f t="shared" si="7"/>
        <v>422.991</v>
      </c>
      <c r="H469" t="str">
        <f>VLOOKUP(C469,[1]products!$A:$B,2,0)</f>
        <v>Surly Ice Cream Truck Frameset - 2016</v>
      </c>
      <c r="I469">
        <f>VLOOKUP(H469,[1]products!$B:$D,3,0)</f>
        <v>6</v>
      </c>
      <c r="J469" t="str">
        <f>VLOOKUP(I469,[2]categories!$A$2:$B$8,2,0)</f>
        <v>Mountain Bikes</v>
      </c>
    </row>
    <row r="470" spans="1:10">
      <c r="A470">
        <v>168</v>
      </c>
      <c r="B470">
        <v>2</v>
      </c>
      <c r="C470">
        <v>11</v>
      </c>
      <c r="D470">
        <v>2</v>
      </c>
      <c r="E470">
        <v>1680.99</v>
      </c>
      <c r="F470">
        <v>0.07</v>
      </c>
      <c r="G470" s="1">
        <f t="shared" si="7"/>
        <v>3126.6414</v>
      </c>
      <c r="H470" t="str">
        <f>VLOOKUP(C470,[1]products!$A:$B,2,0)</f>
        <v>Surly Straggler 650b - 2016</v>
      </c>
      <c r="I470">
        <f>VLOOKUP(H470,[1]products!$B:$D,3,0)</f>
        <v>4</v>
      </c>
      <c r="J470" t="str">
        <f>VLOOKUP(I470,[2]categories!$A$2:$B$8,2,0)</f>
        <v>Cyclocross Bicycles</v>
      </c>
    </row>
    <row r="471" spans="1:10">
      <c r="A471">
        <v>168</v>
      </c>
      <c r="B471">
        <v>3</v>
      </c>
      <c r="C471">
        <v>12</v>
      </c>
      <c r="D471">
        <v>2</v>
      </c>
      <c r="E471">
        <v>549.99</v>
      </c>
      <c r="F471">
        <v>0.07</v>
      </c>
      <c r="G471" s="1">
        <f t="shared" si="7"/>
        <v>1022.9814</v>
      </c>
      <c r="H471" t="str">
        <f>VLOOKUP(C471,[1]products!$A:$B,2,0)</f>
        <v>Electra Townie Original 21D - 2016</v>
      </c>
      <c r="I471">
        <f>VLOOKUP(H471,[1]products!$B:$D,3,0)</f>
        <v>3</v>
      </c>
      <c r="J471" t="str">
        <f>VLOOKUP(I471,[2]categories!$A$2:$B$8,2,0)</f>
        <v>Cruisers Bicycles</v>
      </c>
    </row>
    <row r="472" spans="1:10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 s="1">
        <f t="shared" si="7"/>
        <v>431.984</v>
      </c>
      <c r="H472" t="str">
        <f>VLOOKUP(C472,[1]products!$A:$B,2,0)</f>
        <v>Electra Girl's Hawaii 1 (16-inch) - 2015/2016</v>
      </c>
      <c r="I472">
        <f>VLOOKUP(H472,[1]products!$B:$D,3,0)</f>
        <v>3</v>
      </c>
      <c r="J472" t="str">
        <f>VLOOKUP(I472,[2]categories!$A$2:$B$8,2,0)</f>
        <v>Cruisers Bicycles</v>
      </c>
    </row>
    <row r="473" spans="1:10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 s="1">
        <f t="shared" si="7"/>
        <v>1079.982</v>
      </c>
      <c r="H473" t="str">
        <f>VLOOKUP(C473,[1]products!$A:$B,2,0)</f>
        <v>Electra Townie Original 7D EQ - Women's - 2016</v>
      </c>
      <c r="I473">
        <f>VLOOKUP(H473,[1]products!$B:$D,3,0)</f>
        <v>3</v>
      </c>
      <c r="J473" t="str">
        <f>VLOOKUP(I473,[2]categories!$A$2:$B$8,2,0)</f>
        <v>Cruisers Bicycles</v>
      </c>
    </row>
    <row r="474" spans="1:10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 s="1">
        <f t="shared" si="7"/>
        <v>1254.9405</v>
      </c>
      <c r="H474" t="str">
        <f>VLOOKUP(C474,[1]products!$A:$B,2,0)</f>
        <v>Heller Shagamaw Frame - 2016</v>
      </c>
      <c r="I474">
        <f>VLOOKUP(H474,[1]products!$B:$D,3,0)</f>
        <v>6</v>
      </c>
      <c r="J474" t="str">
        <f>VLOOKUP(I474,[2]categories!$A$2:$B$8,2,0)</f>
        <v>Mountain Bikes</v>
      </c>
    </row>
    <row r="475" spans="1:10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 s="1">
        <f t="shared" si="7"/>
        <v>1239.2</v>
      </c>
      <c r="H475" t="str">
        <f>VLOOKUP(C475,[1]products!$A:$B,2,0)</f>
        <v>Surly Straggler - 2016</v>
      </c>
      <c r="I475">
        <f>VLOOKUP(H475,[1]products!$B:$D,3,0)</f>
        <v>4</v>
      </c>
      <c r="J475" t="str">
        <f>VLOOKUP(I475,[2]categories!$A$2:$B$8,2,0)</f>
        <v>Cyclocross Bicycles</v>
      </c>
    </row>
    <row r="476" spans="1:10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 s="1">
        <f t="shared" si="7"/>
        <v>1344.792</v>
      </c>
      <c r="H476" t="str">
        <f>VLOOKUP(C476,[1]products!$A:$B,2,0)</f>
        <v>Surly Straggler 650b - 2016</v>
      </c>
      <c r="I476">
        <f>VLOOKUP(H476,[1]products!$B:$D,3,0)</f>
        <v>4</v>
      </c>
      <c r="J476" t="str">
        <f>VLOOKUP(I476,[2]categories!$A$2:$B$8,2,0)</f>
        <v>Cyclocross Bicycles</v>
      </c>
    </row>
    <row r="477" spans="1:10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 s="1">
        <f t="shared" si="7"/>
        <v>512.981</v>
      </c>
      <c r="H477" t="str">
        <f>VLOOKUP(C477,[1]products!$A:$B,2,0)</f>
        <v>Electra Girl's Hawaii 1 (16-inch) - 2015/2016</v>
      </c>
      <c r="I477">
        <f>VLOOKUP(H477,[1]products!$B:$D,3,0)</f>
        <v>3</v>
      </c>
      <c r="J477" t="str">
        <f>VLOOKUP(I477,[2]categories!$A$2:$B$8,2,0)</f>
        <v>Cruisers Bicycles</v>
      </c>
    </row>
    <row r="478" spans="1:10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 s="1">
        <f t="shared" si="7"/>
        <v>989.982</v>
      </c>
      <c r="H478" t="str">
        <f>VLOOKUP(C478,[1]products!$A:$B,2,0)</f>
        <v>Electra Townie Original 21D - 2016</v>
      </c>
      <c r="I478">
        <f>VLOOKUP(H478,[1]products!$B:$D,3,0)</f>
        <v>3</v>
      </c>
      <c r="J478" t="str">
        <f>VLOOKUP(I478,[2]categories!$A$2:$B$8,2,0)</f>
        <v>Cruisers Bicycles</v>
      </c>
    </row>
    <row r="479" spans="1:10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 s="1">
        <f t="shared" si="7"/>
        <v>522.4905</v>
      </c>
      <c r="H479" t="str">
        <f>VLOOKUP(C479,[1]products!$A:$B,2,0)</f>
        <v>Electra Townie Original 21D - 2016</v>
      </c>
      <c r="I479">
        <f>VLOOKUP(H479,[1]products!$B:$D,3,0)</f>
        <v>3</v>
      </c>
      <c r="J479" t="str">
        <f>VLOOKUP(I479,[2]categories!$A$2:$B$8,2,0)</f>
        <v>Cruisers Bicycles</v>
      </c>
    </row>
    <row r="480" spans="1:10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 s="1">
        <f t="shared" si="7"/>
        <v>3199.992</v>
      </c>
      <c r="H480" t="str">
        <f>VLOOKUP(C480,[1]products!$A:$B,2,0)</f>
        <v>Trek Slash 8 27.5 - 2016</v>
      </c>
      <c r="I480">
        <f>VLOOKUP(H480,[1]products!$B:$D,3,0)</f>
        <v>6</v>
      </c>
      <c r="J480" t="str">
        <f>VLOOKUP(I480,[2]categories!$A$2:$B$8,2,0)</f>
        <v>Mountain Bikes</v>
      </c>
    </row>
    <row r="481" spans="1:10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 s="1">
        <f t="shared" si="7"/>
        <v>853.1</v>
      </c>
      <c r="H481" t="str">
        <f>VLOOKUP(C481,[1]products!$A:$B,2,0)</f>
        <v>Pure Cycles Western 3-Speed - Women's - 2015/2016</v>
      </c>
      <c r="I481">
        <f>VLOOKUP(H481,[1]products!$B:$D,3,0)</f>
        <v>3</v>
      </c>
      <c r="J481" t="str">
        <f>VLOOKUP(I481,[2]categories!$A$2:$B$8,2,0)</f>
        <v>Cruisers Bicycles</v>
      </c>
    </row>
    <row r="482" spans="1:10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 s="1">
        <f t="shared" si="7"/>
        <v>1709.9905</v>
      </c>
      <c r="H482" t="str">
        <f>VLOOKUP(C482,[1]products!$A:$B,2,0)</f>
        <v>Trek Remedy 29 Carbon Frameset - 2016</v>
      </c>
      <c r="I482">
        <f>VLOOKUP(H482,[1]products!$B:$D,3,0)</f>
        <v>6</v>
      </c>
      <c r="J482" t="str">
        <f>VLOOKUP(I482,[2]categories!$A$2:$B$8,2,0)</f>
        <v>Mountain Bikes</v>
      </c>
    </row>
    <row r="483" spans="1:10">
      <c r="A483">
        <v>172</v>
      </c>
      <c r="B483">
        <v>1</v>
      </c>
      <c r="C483">
        <v>23</v>
      </c>
      <c r="D483">
        <v>1</v>
      </c>
      <c r="E483">
        <v>299.99</v>
      </c>
      <c r="F483">
        <v>0.07</v>
      </c>
      <c r="G483" s="1">
        <f t="shared" si="7"/>
        <v>278.9907</v>
      </c>
      <c r="H483" t="str">
        <f>VLOOKUP(C483,[1]products!$A:$B,2,0)</f>
        <v>Electra Girl's Hawaii 1 (20-inch) - 2015/2016</v>
      </c>
      <c r="I483">
        <f>VLOOKUP(H483,[1]products!$B:$D,3,0)</f>
        <v>1</v>
      </c>
      <c r="J483" t="str">
        <f>VLOOKUP(I483,[2]categories!$A$2:$B$8,2,0)</f>
        <v>Children Bicycles</v>
      </c>
    </row>
    <row r="484" spans="1:10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 s="1">
        <f t="shared" si="7"/>
        <v>479.992</v>
      </c>
      <c r="H484" t="str">
        <f>VLOOKUP(C484,[1]products!$A:$B,2,0)</f>
        <v>Electra Townie Original 7D EQ - 2016</v>
      </c>
      <c r="I484">
        <f>VLOOKUP(H484,[1]products!$B:$D,3,0)</f>
        <v>3</v>
      </c>
      <c r="J484" t="str">
        <f>VLOOKUP(I484,[2]categories!$A$2:$B$8,2,0)</f>
        <v>Cruisers Bicycles</v>
      </c>
    </row>
    <row r="485" spans="1:10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 s="1">
        <f t="shared" si="7"/>
        <v>256.4905</v>
      </c>
      <c r="H485" t="str">
        <f>VLOOKUP(C485,[1]products!$A:$B,2,0)</f>
        <v>Electra Girl's Hawaii 1 (16-inch) - 2015/2016</v>
      </c>
      <c r="I485">
        <f>VLOOKUP(H485,[1]products!$B:$D,3,0)</f>
        <v>3</v>
      </c>
      <c r="J485" t="str">
        <f>VLOOKUP(I485,[2]categories!$A$2:$B$8,2,0)</f>
        <v>Cruisers Bicycles</v>
      </c>
    </row>
    <row r="486" spans="1:10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 s="1">
        <f t="shared" si="7"/>
        <v>479.992</v>
      </c>
      <c r="H486" t="str">
        <f>VLOOKUP(C486,[1]products!$A:$B,2,0)</f>
        <v>Electra Townie Original 7D EQ - 2016</v>
      </c>
      <c r="I486">
        <f>VLOOKUP(H486,[1]products!$B:$D,3,0)</f>
        <v>3</v>
      </c>
      <c r="J486" t="str">
        <f>VLOOKUP(I486,[2]categories!$A$2:$B$8,2,0)</f>
        <v>Cruisers Bicycles</v>
      </c>
    </row>
    <row r="487" spans="1:10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 s="1">
        <f t="shared" si="7"/>
        <v>1139.981</v>
      </c>
      <c r="H487" t="str">
        <f>VLOOKUP(C487,[1]products!$A:$B,2,0)</f>
        <v>Electra Townie Original 7D EQ - Women's - 2016</v>
      </c>
      <c r="I487">
        <f>VLOOKUP(H487,[1]products!$B:$D,3,0)</f>
        <v>3</v>
      </c>
      <c r="J487" t="str">
        <f>VLOOKUP(I487,[2]categories!$A$2:$B$8,2,0)</f>
        <v>Cruisers Bicycles</v>
      </c>
    </row>
    <row r="488" spans="1:10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 s="1">
        <f t="shared" si="7"/>
        <v>431.984</v>
      </c>
      <c r="H488" t="str">
        <f>VLOOKUP(C488,[1]products!$A:$B,2,0)</f>
        <v>Electra Girl's Hawaii 1 (16-inch) - 2015/2016</v>
      </c>
      <c r="I488">
        <f>VLOOKUP(H488,[1]products!$B:$D,3,0)</f>
        <v>3</v>
      </c>
      <c r="J488" t="str">
        <f>VLOOKUP(I488,[2]categories!$A$2:$B$8,2,0)</f>
        <v>Cruisers Bicycles</v>
      </c>
    </row>
    <row r="489" spans="1:10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 s="1">
        <f t="shared" si="7"/>
        <v>808.2</v>
      </c>
      <c r="H489" t="str">
        <f>VLOOKUP(C489,[1]products!$A:$B,2,0)</f>
        <v>Pure Cycles William 3-Speed - 2016</v>
      </c>
      <c r="I489">
        <f>VLOOKUP(H489,[1]products!$B:$D,3,0)</f>
        <v>3</v>
      </c>
      <c r="J489" t="str">
        <f>VLOOKUP(I489,[2]categories!$A$2:$B$8,2,0)</f>
        <v>Cruisers Bicycles</v>
      </c>
    </row>
    <row r="490" spans="1:10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 s="1">
        <f t="shared" si="7"/>
        <v>1188.891</v>
      </c>
      <c r="H490" t="str">
        <f>VLOOKUP(C490,[1]products!$A:$B,2,0)</f>
        <v>Heller Shagamaw Frame - 2016</v>
      </c>
      <c r="I490">
        <f>VLOOKUP(H490,[1]products!$B:$D,3,0)</f>
        <v>6</v>
      </c>
      <c r="J490" t="str">
        <f>VLOOKUP(I490,[2]categories!$A$2:$B$8,2,0)</f>
        <v>Mountain Bikes</v>
      </c>
    </row>
    <row r="491" spans="1:10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 s="1">
        <f t="shared" si="7"/>
        <v>1199.984</v>
      </c>
      <c r="H491" t="str">
        <f>VLOOKUP(C491,[1]products!$A:$B,2,0)</f>
        <v>Ritchey Timberwolf Frameset - 2016</v>
      </c>
      <c r="I491">
        <f>VLOOKUP(H491,[1]products!$B:$D,3,0)</f>
        <v>6</v>
      </c>
      <c r="J491" t="str">
        <f>VLOOKUP(I491,[2]categories!$A$2:$B$8,2,0)</f>
        <v>Mountain Bikes</v>
      </c>
    </row>
    <row r="492" spans="1:10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 s="1">
        <f t="shared" si="7"/>
        <v>485.982</v>
      </c>
      <c r="H492" t="str">
        <f>VLOOKUP(C492,[1]products!$A:$B,2,0)</f>
        <v>Electra Cruiser 1 (24-Inch) - 2016</v>
      </c>
      <c r="I492">
        <f>VLOOKUP(H492,[1]products!$B:$D,3,0)</f>
        <v>3</v>
      </c>
      <c r="J492" t="str">
        <f>VLOOKUP(I492,[2]categories!$A$2:$B$8,2,0)</f>
        <v>Cruisers Bicycles</v>
      </c>
    </row>
    <row r="493" spans="1:10">
      <c r="A493">
        <v>175</v>
      </c>
      <c r="B493">
        <v>4</v>
      </c>
      <c r="C493">
        <v>19</v>
      </c>
      <c r="D493">
        <v>1</v>
      </c>
      <c r="E493">
        <v>449</v>
      </c>
      <c r="F493">
        <v>0.07</v>
      </c>
      <c r="G493" s="1">
        <f t="shared" si="7"/>
        <v>417.57</v>
      </c>
      <c r="H493" t="str">
        <f>VLOOKUP(C493,[1]products!$A:$B,2,0)</f>
        <v>Pure Cycles William 3-Speed - 2016</v>
      </c>
      <c r="I493">
        <f>VLOOKUP(H493,[1]products!$B:$D,3,0)</f>
        <v>3</v>
      </c>
      <c r="J493" t="str">
        <f>VLOOKUP(I493,[2]categories!$A$2:$B$8,2,0)</f>
        <v>Cruisers Bicycles</v>
      </c>
    </row>
    <row r="494" spans="1:10">
      <c r="A494">
        <v>176</v>
      </c>
      <c r="B494">
        <v>1</v>
      </c>
      <c r="C494">
        <v>2</v>
      </c>
      <c r="D494">
        <v>2</v>
      </c>
      <c r="E494">
        <v>749.99</v>
      </c>
      <c r="F494">
        <v>0.07</v>
      </c>
      <c r="G494" s="1">
        <f t="shared" si="7"/>
        <v>1394.9814</v>
      </c>
      <c r="H494" t="str">
        <f>VLOOKUP(C494,[1]products!$A:$B,2,0)</f>
        <v>Ritchey Timberwolf Frameset - 2016</v>
      </c>
      <c r="I494">
        <f>VLOOKUP(H494,[1]products!$B:$D,3,0)</f>
        <v>6</v>
      </c>
      <c r="J494" t="str">
        <f>VLOOKUP(I494,[2]categories!$A$2:$B$8,2,0)</f>
        <v>Mountain Bikes</v>
      </c>
    </row>
    <row r="495" spans="1:10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 s="1">
        <f t="shared" si="7"/>
        <v>2689.584</v>
      </c>
      <c r="H495" t="str">
        <f>VLOOKUP(C495,[1]products!$A:$B,2,0)</f>
        <v>Surly Straggler 650b - 2016</v>
      </c>
      <c r="I495">
        <f>VLOOKUP(H495,[1]products!$B:$D,3,0)</f>
        <v>4</v>
      </c>
      <c r="J495" t="str">
        <f>VLOOKUP(I495,[2]categories!$A$2:$B$8,2,0)</f>
        <v>Cyclocross Bicycles</v>
      </c>
    </row>
    <row r="496" spans="1:10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 s="1">
        <f t="shared" si="7"/>
        <v>1139.981</v>
      </c>
      <c r="H496" t="str">
        <f>VLOOKUP(C496,[1]products!$A:$B,2,0)</f>
        <v>Electra Townie Original 7D EQ - 2016</v>
      </c>
      <c r="I496">
        <f>VLOOKUP(H496,[1]products!$B:$D,3,0)</f>
        <v>3</v>
      </c>
      <c r="J496" t="str">
        <f>VLOOKUP(I496,[2]categories!$A$2:$B$8,2,0)</f>
        <v>Cruisers Bicycles</v>
      </c>
    </row>
    <row r="497" spans="1:10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 s="1">
        <f t="shared" si="7"/>
        <v>1079.982</v>
      </c>
      <c r="H497" t="str">
        <f>VLOOKUP(C497,[1]products!$A:$B,2,0)</f>
        <v>Electra Townie Original 7D EQ - Women's - 2016</v>
      </c>
      <c r="I497">
        <f>VLOOKUP(H497,[1]products!$B:$D,3,0)</f>
        <v>3</v>
      </c>
      <c r="J497" t="str">
        <f>VLOOKUP(I497,[2]categories!$A$2:$B$8,2,0)</f>
        <v>Cruisers Bicycles</v>
      </c>
    </row>
    <row r="498" spans="1:10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 s="1">
        <f t="shared" si="7"/>
        <v>2478.4</v>
      </c>
      <c r="H498" t="str">
        <f>VLOOKUP(C498,[1]products!$A:$B,2,0)</f>
        <v>Surly Straggler - 2016</v>
      </c>
      <c r="I498">
        <f>VLOOKUP(H498,[1]products!$B:$D,3,0)</f>
        <v>4</v>
      </c>
      <c r="J498" t="str">
        <f>VLOOKUP(I498,[2]categories!$A$2:$B$8,2,0)</f>
        <v>Cyclocross Bicycles</v>
      </c>
    </row>
    <row r="499" spans="1:10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 s="1">
        <f t="shared" si="7"/>
        <v>522.4905</v>
      </c>
      <c r="H499" t="str">
        <f>VLOOKUP(C499,[1]products!$A:$B,2,0)</f>
        <v>Electra Townie Original 21D - 2016</v>
      </c>
      <c r="I499">
        <f>VLOOKUP(H499,[1]products!$B:$D,3,0)</f>
        <v>3</v>
      </c>
      <c r="J499" t="str">
        <f>VLOOKUP(I499,[2]categories!$A$2:$B$8,2,0)</f>
        <v>Cruisers Bicycles</v>
      </c>
    </row>
    <row r="500" spans="1:10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 s="1">
        <f t="shared" si="7"/>
        <v>899.991</v>
      </c>
      <c r="H500" t="str">
        <f>VLOOKUP(C500,[1]products!$A:$B,2,0)</f>
        <v>Surly Wednesday Frameset - 2016</v>
      </c>
      <c r="I500">
        <f>VLOOKUP(H500,[1]products!$B:$D,3,0)</f>
        <v>6</v>
      </c>
      <c r="J500" t="str">
        <f>VLOOKUP(I500,[2]categories!$A$2:$B$8,2,0)</f>
        <v>Mountain Bikes</v>
      </c>
    </row>
    <row r="501" spans="1:10">
      <c r="A501">
        <v>178</v>
      </c>
      <c r="B501">
        <v>4</v>
      </c>
      <c r="C501">
        <v>18</v>
      </c>
      <c r="D501">
        <v>1</v>
      </c>
      <c r="E501">
        <v>449</v>
      </c>
      <c r="F501">
        <v>0.07</v>
      </c>
      <c r="G501" s="1">
        <f t="shared" si="7"/>
        <v>417.57</v>
      </c>
      <c r="H501" t="str">
        <f>VLOOKUP(C501,[1]products!$A:$B,2,0)</f>
        <v>Pure Cycles Western 3-Speed - Women's - 2015/2016</v>
      </c>
      <c r="I501">
        <f>VLOOKUP(H501,[1]products!$B:$D,3,0)</f>
        <v>3</v>
      </c>
      <c r="J501" t="str">
        <f>VLOOKUP(I501,[2]categories!$A$2:$B$8,2,0)</f>
        <v>Cruisers Bicycles</v>
      </c>
    </row>
    <row r="502" spans="1:10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 s="1">
        <f t="shared" si="7"/>
        <v>512.981</v>
      </c>
      <c r="H502" t="str">
        <f>VLOOKUP(C502,[1]products!$A:$B,2,0)</f>
        <v>Electra Cruiser 1 (24-Inch) - 2016</v>
      </c>
      <c r="I502">
        <f>VLOOKUP(H502,[1]products!$B:$D,3,0)</f>
        <v>3</v>
      </c>
      <c r="J502" t="str">
        <f>VLOOKUP(I502,[2]categories!$A$2:$B$8,2,0)</f>
        <v>Cruisers Bicycles</v>
      </c>
    </row>
    <row r="503" spans="1:10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 s="1">
        <f t="shared" si="7"/>
        <v>539.991</v>
      </c>
      <c r="H503" t="str">
        <f>VLOOKUP(C503,[1]products!$A:$B,2,0)</f>
        <v>Electra Townie Original 7D EQ - 2016</v>
      </c>
      <c r="I503">
        <f>VLOOKUP(H503,[1]products!$B:$D,3,0)</f>
        <v>3</v>
      </c>
      <c r="J503" t="str">
        <f>VLOOKUP(I503,[2]categories!$A$2:$B$8,2,0)</f>
        <v>Cruisers Bicycles</v>
      </c>
    </row>
    <row r="504" spans="1:10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 s="1">
        <f t="shared" si="7"/>
        <v>359.2</v>
      </c>
      <c r="H504" t="str">
        <f>VLOOKUP(C504,[1]products!$A:$B,2,0)</f>
        <v>Pure Cycles Western 3-Speed - Women's - 2015/2016</v>
      </c>
      <c r="I504">
        <f>VLOOKUP(H504,[1]products!$B:$D,3,0)</f>
        <v>3</v>
      </c>
      <c r="J504" t="str">
        <f>VLOOKUP(I504,[2]categories!$A$2:$B$8,2,0)</f>
        <v>Cruisers Bicycles</v>
      </c>
    </row>
    <row r="505" spans="1:10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 s="1">
        <f t="shared" si="7"/>
        <v>879.984</v>
      </c>
      <c r="H505" t="str">
        <f>VLOOKUP(C505,[1]products!$A:$B,2,0)</f>
        <v>Electra Townie Original 21D - 2016</v>
      </c>
      <c r="I505">
        <f>VLOOKUP(H505,[1]products!$B:$D,3,0)</f>
        <v>3</v>
      </c>
      <c r="J505" t="str">
        <f>VLOOKUP(I505,[2]categories!$A$2:$B$8,2,0)</f>
        <v>Cruisers Bicycles</v>
      </c>
    </row>
    <row r="506" spans="1:10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 s="1">
        <f t="shared" si="7"/>
        <v>1079.982</v>
      </c>
      <c r="H506" t="str">
        <f>VLOOKUP(C506,[1]products!$A:$B,2,0)</f>
        <v>Electra Townie Original 7D EQ - Women's - 2016</v>
      </c>
      <c r="I506">
        <f>VLOOKUP(H506,[1]products!$B:$D,3,0)</f>
        <v>3</v>
      </c>
      <c r="J506" t="str">
        <f>VLOOKUP(I506,[2]categories!$A$2:$B$8,2,0)</f>
        <v>Cruisers Bicycles</v>
      </c>
    </row>
    <row r="507" spans="1:10">
      <c r="A507">
        <v>180</v>
      </c>
      <c r="B507">
        <v>1</v>
      </c>
      <c r="C507">
        <v>16</v>
      </c>
      <c r="D507">
        <v>1</v>
      </c>
      <c r="E507">
        <v>599.99</v>
      </c>
      <c r="F507">
        <v>0.07</v>
      </c>
      <c r="G507" s="1">
        <f t="shared" si="7"/>
        <v>557.9907</v>
      </c>
      <c r="H507" t="str">
        <f>VLOOKUP(C507,[1]products!$A:$B,2,0)</f>
        <v>Electra Townie Original 7D EQ - 2016</v>
      </c>
      <c r="I507">
        <f>VLOOKUP(H507,[1]products!$B:$D,3,0)</f>
        <v>3</v>
      </c>
      <c r="J507" t="str">
        <f>VLOOKUP(I507,[2]categories!$A$2:$B$8,2,0)</f>
        <v>Cruisers Bicycles</v>
      </c>
    </row>
    <row r="508" spans="1:10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 s="1">
        <f t="shared" si="7"/>
        <v>1471.55</v>
      </c>
      <c r="H508" t="str">
        <f>VLOOKUP(C508,[1]products!$A:$B,2,0)</f>
        <v>Surly Straggler - 2016</v>
      </c>
      <c r="I508">
        <f>VLOOKUP(H508,[1]products!$B:$D,3,0)</f>
        <v>4</v>
      </c>
      <c r="J508" t="str">
        <f>VLOOKUP(I508,[2]categories!$A$2:$B$8,2,0)</f>
        <v>Cyclocross Bicycles</v>
      </c>
    </row>
    <row r="509" spans="1:10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 s="1">
        <f t="shared" si="7"/>
        <v>1512.891</v>
      </c>
      <c r="H509" t="str">
        <f>VLOOKUP(C509,[1]products!$A:$B,2,0)</f>
        <v>Surly Straggler 650b - 2016</v>
      </c>
      <c r="I509">
        <f>VLOOKUP(H509,[1]products!$B:$D,3,0)</f>
        <v>4</v>
      </c>
      <c r="J509" t="str">
        <f>VLOOKUP(I509,[2]categories!$A$2:$B$8,2,0)</f>
        <v>Cyclocross Bicycles</v>
      </c>
    </row>
    <row r="510" spans="1:10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 s="1">
        <f t="shared" si="7"/>
        <v>847.984</v>
      </c>
      <c r="H510" t="str">
        <f>VLOOKUP(C510,[1]products!$A:$B,2,0)</f>
        <v>Electra Moto 1 - 2016</v>
      </c>
      <c r="I510">
        <f>VLOOKUP(H510,[1]products!$B:$D,3,0)</f>
        <v>3</v>
      </c>
      <c r="J510" t="str">
        <f>VLOOKUP(I510,[2]categories!$A$2:$B$8,2,0)</f>
        <v>Cruisers Bicycles</v>
      </c>
    </row>
    <row r="511" spans="1:10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 s="1">
        <f t="shared" si="7"/>
        <v>1044.981</v>
      </c>
      <c r="H511" t="str">
        <f>VLOOKUP(C511,[1]products!$A:$B,2,0)</f>
        <v>Electra Townie Original 21D - 2016</v>
      </c>
      <c r="I511">
        <f>VLOOKUP(H511,[1]products!$B:$D,3,0)</f>
        <v>3</v>
      </c>
      <c r="J511" t="str">
        <f>VLOOKUP(I511,[2]categories!$A$2:$B$8,2,0)</f>
        <v>Cruisers Bicycles</v>
      </c>
    </row>
    <row r="512" spans="1:10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 s="1">
        <f t="shared" si="7"/>
        <v>949.981</v>
      </c>
      <c r="H512" t="str">
        <f>VLOOKUP(C512,[1]products!$A:$B,2,0)</f>
        <v>Electra Townie Original 7D - 2015/2016</v>
      </c>
      <c r="I512">
        <f>VLOOKUP(H512,[1]products!$B:$D,3,0)</f>
        <v>2</v>
      </c>
      <c r="J512" t="str">
        <f>VLOOKUP(I512,[2]categories!$A$2:$B$8,2,0)</f>
        <v>Comfort Bicycles</v>
      </c>
    </row>
    <row r="513" spans="1:10">
      <c r="A513">
        <v>182</v>
      </c>
      <c r="B513">
        <v>2</v>
      </c>
      <c r="C513">
        <v>24</v>
      </c>
      <c r="D513">
        <v>2</v>
      </c>
      <c r="E513">
        <v>549.99</v>
      </c>
      <c r="F513">
        <v>0.07</v>
      </c>
      <c r="G513" s="1">
        <f t="shared" si="7"/>
        <v>1022.9814</v>
      </c>
      <c r="H513" t="str">
        <f>VLOOKUP(C513,[1]products!$A:$B,2,0)</f>
        <v>Electra Townie Original 21D - 2016</v>
      </c>
      <c r="I513">
        <f>VLOOKUP(H513,[1]products!$B:$D,3,0)</f>
        <v>3</v>
      </c>
      <c r="J513" t="str">
        <f>VLOOKUP(I513,[2]categories!$A$2:$B$8,2,0)</f>
        <v>Cruisers Bicycles</v>
      </c>
    </row>
    <row r="514" spans="1:10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 s="1">
        <f t="shared" ref="G514:G577" si="8">D514*E514*(1-F514)</f>
        <v>2689.584</v>
      </c>
      <c r="H514" t="str">
        <f>VLOOKUP(C514,[1]products!$A:$B,2,0)</f>
        <v>Surly Straggler 650b - 2016</v>
      </c>
      <c r="I514">
        <f>VLOOKUP(H514,[1]products!$B:$D,3,0)</f>
        <v>4</v>
      </c>
      <c r="J514" t="str">
        <f>VLOOKUP(I514,[2]categories!$A$2:$B$8,2,0)</f>
        <v>Cyclocross Bicycles</v>
      </c>
    </row>
    <row r="515" spans="1:10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 s="1">
        <f t="shared" si="8"/>
        <v>1044.981</v>
      </c>
      <c r="H515" t="str">
        <f>VLOOKUP(C515,[1]products!$A:$B,2,0)</f>
        <v>Electra Townie Original 21D - 2016</v>
      </c>
      <c r="I515">
        <f>VLOOKUP(H515,[1]products!$B:$D,3,0)</f>
        <v>3</v>
      </c>
      <c r="J515" t="str">
        <f>VLOOKUP(I515,[2]categories!$A$2:$B$8,2,0)</f>
        <v>Cruisers Bicycles</v>
      </c>
    </row>
    <row r="516" spans="1:10">
      <c r="A516">
        <v>183</v>
      </c>
      <c r="B516">
        <v>3</v>
      </c>
      <c r="C516">
        <v>19</v>
      </c>
      <c r="D516">
        <v>1</v>
      </c>
      <c r="E516">
        <v>449</v>
      </c>
      <c r="F516">
        <v>0.07</v>
      </c>
      <c r="G516" s="1">
        <f t="shared" si="8"/>
        <v>417.57</v>
      </c>
      <c r="H516" t="str">
        <f>VLOOKUP(C516,[1]products!$A:$B,2,0)</f>
        <v>Pure Cycles William 3-Speed - 2016</v>
      </c>
      <c r="I516">
        <f>VLOOKUP(H516,[1]products!$B:$D,3,0)</f>
        <v>3</v>
      </c>
      <c r="J516" t="str">
        <f>VLOOKUP(I516,[2]categories!$A$2:$B$8,2,0)</f>
        <v>Cruisers Bicycles</v>
      </c>
    </row>
    <row r="517" spans="1:10">
      <c r="A517">
        <v>183</v>
      </c>
      <c r="B517">
        <v>4</v>
      </c>
      <c r="C517">
        <v>17</v>
      </c>
      <c r="D517">
        <v>1</v>
      </c>
      <c r="E517">
        <v>429</v>
      </c>
      <c r="F517">
        <v>0.07</v>
      </c>
      <c r="G517" s="1">
        <f t="shared" si="8"/>
        <v>398.97</v>
      </c>
      <c r="H517" t="str">
        <f>VLOOKUP(C517,[1]products!$A:$B,2,0)</f>
        <v>Pure Cycles Vine 8-Speed - 2016</v>
      </c>
      <c r="I517">
        <f>VLOOKUP(H517,[1]products!$B:$D,3,0)</f>
        <v>3</v>
      </c>
      <c r="J517" t="str">
        <f>VLOOKUP(I517,[2]categories!$A$2:$B$8,2,0)</f>
        <v>Cruisers Bicycles</v>
      </c>
    </row>
    <row r="518" spans="1:10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 s="1">
        <f t="shared" si="8"/>
        <v>2319.992</v>
      </c>
      <c r="H518" t="str">
        <f>VLOOKUP(C518,[1]products!$A:$B,2,0)</f>
        <v>Trek Fuel EX 8 29 - 2016</v>
      </c>
      <c r="I518">
        <f>VLOOKUP(H518,[1]products!$B:$D,3,0)</f>
        <v>6</v>
      </c>
      <c r="J518" t="str">
        <f>VLOOKUP(I518,[2]categories!$A$2:$B$8,2,0)</f>
        <v>Mountain Bikes</v>
      </c>
    </row>
    <row r="519" spans="1:10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 s="1">
        <f t="shared" si="8"/>
        <v>1188.891</v>
      </c>
      <c r="H519" t="str">
        <f>VLOOKUP(C519,[1]products!$A:$B,2,0)</f>
        <v>Heller Shagamaw Frame - 2016</v>
      </c>
      <c r="I519">
        <f>VLOOKUP(H519,[1]products!$B:$D,3,0)</f>
        <v>6</v>
      </c>
      <c r="J519" t="str">
        <f>VLOOKUP(I519,[2]categories!$A$2:$B$8,2,0)</f>
        <v>Mountain Bikes</v>
      </c>
    </row>
    <row r="520" spans="1:10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 s="1">
        <f t="shared" si="8"/>
        <v>242.991</v>
      </c>
      <c r="H520" t="str">
        <f>VLOOKUP(C520,[1]products!$A:$B,2,0)</f>
        <v>Electra Girl's Hawaii 1 (16-inch) - 2015/2016</v>
      </c>
      <c r="I520">
        <f>VLOOKUP(H520,[1]products!$B:$D,3,0)</f>
        <v>3</v>
      </c>
      <c r="J520" t="str">
        <f>VLOOKUP(I520,[2]categories!$A$2:$B$8,2,0)</f>
        <v>Cruisers Bicycles</v>
      </c>
    </row>
    <row r="521" spans="1:10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 s="1">
        <f t="shared" si="8"/>
        <v>539.991</v>
      </c>
      <c r="H521" t="str">
        <f>VLOOKUP(C521,[1]products!$A:$B,2,0)</f>
        <v>Electra Townie Original 7D EQ - Women's - 2016</v>
      </c>
      <c r="I521">
        <f>VLOOKUP(H521,[1]products!$B:$D,3,0)</f>
        <v>3</v>
      </c>
      <c r="J521" t="str">
        <f>VLOOKUP(I521,[2]categories!$A$2:$B$8,2,0)</f>
        <v>Cruisers Bicycles</v>
      </c>
    </row>
    <row r="522" spans="1:10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 s="1">
        <f t="shared" si="8"/>
        <v>1709.9905</v>
      </c>
      <c r="H522" t="str">
        <f>VLOOKUP(C522,[1]products!$A:$B,2,0)</f>
        <v>Trek Remedy 29 Carbon Frameset - 2016</v>
      </c>
      <c r="I522">
        <f>VLOOKUP(H522,[1]products!$B:$D,3,0)</f>
        <v>6</v>
      </c>
      <c r="J522" t="str">
        <f>VLOOKUP(I522,[2]categories!$A$2:$B$8,2,0)</f>
        <v>Mountain Bikes</v>
      </c>
    </row>
    <row r="523" spans="1:10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 s="1">
        <f t="shared" si="8"/>
        <v>2609.991</v>
      </c>
      <c r="H523" t="str">
        <f>VLOOKUP(C523,[1]products!$A:$B,2,0)</f>
        <v>Trek Fuel EX 8 29 - 2016</v>
      </c>
      <c r="I523">
        <f>VLOOKUP(H523,[1]products!$B:$D,3,0)</f>
        <v>6</v>
      </c>
      <c r="J523" t="str">
        <f>VLOOKUP(I523,[2]categories!$A$2:$B$8,2,0)</f>
        <v>Mountain Bikes</v>
      </c>
    </row>
    <row r="524" spans="1:10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 s="1">
        <f t="shared" si="8"/>
        <v>422.991</v>
      </c>
      <c r="H524" t="str">
        <f>VLOOKUP(C524,[1]products!$A:$B,2,0)</f>
        <v>Surly Ice Cream Truck Frameset - 2016</v>
      </c>
      <c r="I524">
        <f>VLOOKUP(H524,[1]products!$B:$D,3,0)</f>
        <v>6</v>
      </c>
      <c r="J524" t="str">
        <f>VLOOKUP(I524,[2]categories!$A$2:$B$8,2,0)</f>
        <v>Mountain Bikes</v>
      </c>
    </row>
    <row r="525" spans="1:10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 s="1">
        <f t="shared" si="8"/>
        <v>1254.9405</v>
      </c>
      <c r="H525" t="str">
        <f>VLOOKUP(C525,[1]products!$A:$B,2,0)</f>
        <v>Heller Shagamaw Frame - 2016</v>
      </c>
      <c r="I525">
        <f>VLOOKUP(H525,[1]products!$B:$D,3,0)</f>
        <v>6</v>
      </c>
      <c r="J525" t="str">
        <f>VLOOKUP(I525,[2]categories!$A$2:$B$8,2,0)</f>
        <v>Mountain Bikes</v>
      </c>
    </row>
    <row r="526" spans="1:10">
      <c r="A526">
        <v>188</v>
      </c>
      <c r="B526">
        <v>1</v>
      </c>
      <c r="C526">
        <v>7</v>
      </c>
      <c r="D526">
        <v>2</v>
      </c>
      <c r="E526">
        <v>3999.99</v>
      </c>
      <c r="F526">
        <v>0.07</v>
      </c>
      <c r="G526" s="1">
        <f t="shared" si="8"/>
        <v>7439.9814</v>
      </c>
      <c r="H526" t="str">
        <f>VLOOKUP(C526,[1]products!$A:$B,2,0)</f>
        <v>Trek Slash 8 27.5 - 2016</v>
      </c>
      <c r="I526">
        <f>VLOOKUP(H526,[1]products!$B:$D,3,0)</f>
        <v>6</v>
      </c>
      <c r="J526" t="str">
        <f>VLOOKUP(I526,[2]categories!$A$2:$B$8,2,0)</f>
        <v>Mountain Bikes</v>
      </c>
    </row>
    <row r="527" spans="1:10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 s="1">
        <f t="shared" si="8"/>
        <v>959.984</v>
      </c>
      <c r="H527" t="str">
        <f>VLOOKUP(C527,[1]products!$A:$B,2,0)</f>
        <v>Electra Townie Original 7D EQ - 2016</v>
      </c>
      <c r="I527">
        <f>VLOOKUP(H527,[1]products!$B:$D,3,0)</f>
        <v>3</v>
      </c>
      <c r="J527" t="str">
        <f>VLOOKUP(I527,[2]categories!$A$2:$B$8,2,0)</f>
        <v>Cruisers Bicycles</v>
      </c>
    </row>
    <row r="528" spans="1:10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 s="1">
        <f t="shared" si="8"/>
        <v>522.4905</v>
      </c>
      <c r="H528" t="str">
        <f>VLOOKUP(C528,[1]products!$A:$B,2,0)</f>
        <v>Electra Townie Original 21D - 2016</v>
      </c>
      <c r="I528">
        <f>VLOOKUP(H528,[1]products!$B:$D,3,0)</f>
        <v>3</v>
      </c>
      <c r="J528" t="str">
        <f>VLOOKUP(I528,[2]categories!$A$2:$B$8,2,0)</f>
        <v>Cruisers Bicycles</v>
      </c>
    </row>
    <row r="529" spans="1:10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 s="1">
        <f t="shared" si="8"/>
        <v>423.992</v>
      </c>
      <c r="H529" t="str">
        <f>VLOOKUP(C529,[1]products!$A:$B,2,0)</f>
        <v>Electra Moto 1 - 2016</v>
      </c>
      <c r="I529">
        <f>VLOOKUP(H529,[1]products!$B:$D,3,0)</f>
        <v>3</v>
      </c>
      <c r="J529" t="str">
        <f>VLOOKUP(I529,[2]categories!$A$2:$B$8,2,0)</f>
        <v>Cruisers Bicycles</v>
      </c>
    </row>
    <row r="530" spans="1:10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 s="1">
        <f t="shared" si="8"/>
        <v>1599.984</v>
      </c>
      <c r="H530" t="str">
        <f>VLOOKUP(C530,[1]products!$A:$B,2,0)</f>
        <v>Surly Wednesday Frameset - 2016</v>
      </c>
      <c r="I530">
        <f>VLOOKUP(H530,[1]products!$B:$D,3,0)</f>
        <v>6</v>
      </c>
      <c r="J530" t="str">
        <f>VLOOKUP(I530,[2]categories!$A$2:$B$8,2,0)</f>
        <v>Mountain Bikes</v>
      </c>
    </row>
    <row r="531" spans="1:10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 s="1">
        <f t="shared" si="8"/>
        <v>474.9905</v>
      </c>
      <c r="H531" t="str">
        <f>VLOOKUP(C531,[1]products!$A:$B,2,0)</f>
        <v>Electra Townie Original 7D - 2015/2016</v>
      </c>
      <c r="I531">
        <f>VLOOKUP(H531,[1]products!$B:$D,3,0)</f>
        <v>2</v>
      </c>
      <c r="J531" t="str">
        <f>VLOOKUP(I531,[2]categories!$A$2:$B$8,2,0)</f>
        <v>Comfort Bicycles</v>
      </c>
    </row>
    <row r="532" spans="1:10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 s="1">
        <f t="shared" si="8"/>
        <v>879.984</v>
      </c>
      <c r="H532" t="str">
        <f>VLOOKUP(C532,[1]products!$A:$B,2,0)</f>
        <v>Electra Townie Original 21D - 2016</v>
      </c>
      <c r="I532">
        <f>VLOOKUP(H532,[1]products!$B:$D,3,0)</f>
        <v>3</v>
      </c>
      <c r="J532" t="str">
        <f>VLOOKUP(I532,[2]categories!$A$2:$B$8,2,0)</f>
        <v>Cruisers Bicycles</v>
      </c>
    </row>
    <row r="533" spans="1:10">
      <c r="A533">
        <v>191</v>
      </c>
      <c r="B533">
        <v>3</v>
      </c>
      <c r="C533">
        <v>3</v>
      </c>
      <c r="D533">
        <v>1</v>
      </c>
      <c r="E533">
        <v>999.99</v>
      </c>
      <c r="F533">
        <v>0.07</v>
      </c>
      <c r="G533" s="1">
        <f t="shared" si="8"/>
        <v>929.9907</v>
      </c>
      <c r="H533" t="str">
        <f>VLOOKUP(C533,[1]products!$A:$B,2,0)</f>
        <v>Surly Wednesday Frameset - 2016</v>
      </c>
      <c r="I533">
        <f>VLOOKUP(H533,[1]products!$B:$D,3,0)</f>
        <v>6</v>
      </c>
      <c r="J533" t="str">
        <f>VLOOKUP(I533,[2]categories!$A$2:$B$8,2,0)</f>
        <v>Mountain Bikes</v>
      </c>
    </row>
    <row r="534" spans="1:10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 s="1">
        <f t="shared" si="8"/>
        <v>3419.981</v>
      </c>
      <c r="H534" t="str">
        <f>VLOOKUP(C534,[1]products!$A:$B,2,0)</f>
        <v>Trek Remedy 29 Carbon Frameset - 2016</v>
      </c>
      <c r="I534">
        <f>VLOOKUP(H534,[1]products!$B:$D,3,0)</f>
        <v>6</v>
      </c>
      <c r="J534" t="str">
        <f>VLOOKUP(I534,[2]categories!$A$2:$B$8,2,0)</f>
        <v>Mountain Bikes</v>
      </c>
    </row>
    <row r="535" spans="1:10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 s="1">
        <f t="shared" si="8"/>
        <v>284.9905</v>
      </c>
      <c r="H535" t="str">
        <f>VLOOKUP(C535,[1]products!$A:$B,2,0)</f>
        <v>Electra Girl's Hawaii 1 (20-inch) - 2015/2016</v>
      </c>
      <c r="I535">
        <f>VLOOKUP(H535,[1]products!$B:$D,3,0)</f>
        <v>1</v>
      </c>
      <c r="J535" t="str">
        <f>VLOOKUP(I535,[2]categories!$A$2:$B$8,2,0)</f>
        <v>Children Bicycles</v>
      </c>
    </row>
    <row r="536" spans="1:10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 s="1">
        <f t="shared" si="8"/>
        <v>3239.982</v>
      </c>
      <c r="H536" t="str">
        <f>VLOOKUP(C536,[1]products!$A:$B,2,0)</f>
        <v>Trek Remedy 29 Carbon Frameset - 2016</v>
      </c>
      <c r="I536">
        <f>VLOOKUP(H536,[1]products!$B:$D,3,0)</f>
        <v>6</v>
      </c>
      <c r="J536" t="str">
        <f>VLOOKUP(I536,[2]categories!$A$2:$B$8,2,0)</f>
        <v>Mountain Bikes</v>
      </c>
    </row>
    <row r="537" spans="1:10">
      <c r="A537">
        <v>192</v>
      </c>
      <c r="B537">
        <v>2</v>
      </c>
      <c r="C537">
        <v>25</v>
      </c>
      <c r="D537">
        <v>1</v>
      </c>
      <c r="E537">
        <v>499.99</v>
      </c>
      <c r="F537">
        <v>0.07</v>
      </c>
      <c r="G537" s="1">
        <f t="shared" si="8"/>
        <v>464.9907</v>
      </c>
      <c r="H537" t="str">
        <f>VLOOKUP(C537,[1]products!$A:$B,2,0)</f>
        <v>Electra Townie Original 7D - 2015/2016</v>
      </c>
      <c r="I537">
        <f>VLOOKUP(H537,[1]products!$B:$D,3,0)</f>
        <v>2</v>
      </c>
      <c r="J537" t="str">
        <f>VLOOKUP(I537,[2]categories!$A$2:$B$8,2,0)</f>
        <v>Comfort Bicycles</v>
      </c>
    </row>
    <row r="538" spans="1:10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 s="1">
        <f t="shared" si="8"/>
        <v>712.4905</v>
      </c>
      <c r="H538" t="str">
        <f>VLOOKUP(C538,[1]products!$A:$B,2,0)</f>
        <v>Ritchey Timberwolf Frameset - 2016</v>
      </c>
      <c r="I538">
        <f>VLOOKUP(H538,[1]products!$B:$D,3,0)</f>
        <v>6</v>
      </c>
      <c r="J538" t="str">
        <f>VLOOKUP(I538,[2]categories!$A$2:$B$8,2,0)</f>
        <v>Mountain Bikes</v>
      </c>
    </row>
    <row r="539" spans="1:10">
      <c r="A539">
        <v>192</v>
      </c>
      <c r="B539">
        <v>4</v>
      </c>
      <c r="C539">
        <v>24</v>
      </c>
      <c r="D539">
        <v>2</v>
      </c>
      <c r="E539">
        <v>549.99</v>
      </c>
      <c r="F539">
        <v>0.07</v>
      </c>
      <c r="G539" s="1">
        <f t="shared" si="8"/>
        <v>1022.9814</v>
      </c>
      <c r="H539" t="str">
        <f>VLOOKUP(C539,[1]products!$A:$B,2,0)</f>
        <v>Electra Townie Original 21D - 2016</v>
      </c>
      <c r="I539">
        <f>VLOOKUP(H539,[1]products!$B:$D,3,0)</f>
        <v>3</v>
      </c>
      <c r="J539" t="str">
        <f>VLOOKUP(I539,[2]categories!$A$2:$B$8,2,0)</f>
        <v>Cruisers Bicycles</v>
      </c>
    </row>
    <row r="540" spans="1:10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 s="1">
        <f t="shared" si="8"/>
        <v>2478.4</v>
      </c>
      <c r="H540" t="str">
        <f>VLOOKUP(C540,[1]products!$A:$B,2,0)</f>
        <v>Surly Straggler - 2016</v>
      </c>
      <c r="I540">
        <f>VLOOKUP(H540,[1]products!$B:$D,3,0)</f>
        <v>4</v>
      </c>
      <c r="J540" t="str">
        <f>VLOOKUP(I540,[2]categories!$A$2:$B$8,2,0)</f>
        <v>Cyclocross Bicycles</v>
      </c>
    </row>
    <row r="541" spans="1:10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 s="1">
        <f t="shared" si="8"/>
        <v>989.982</v>
      </c>
      <c r="H541" t="str">
        <f>VLOOKUP(C541,[1]products!$A:$B,2,0)</f>
        <v>Electra Townie Original 21D - 2016</v>
      </c>
      <c r="I541">
        <f>VLOOKUP(H541,[1]products!$B:$D,3,0)</f>
        <v>3</v>
      </c>
      <c r="J541" t="str">
        <f>VLOOKUP(I541,[2]categories!$A$2:$B$8,2,0)</f>
        <v>Cruisers Bicycles</v>
      </c>
    </row>
    <row r="542" spans="1:10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 s="1">
        <f t="shared" si="8"/>
        <v>431.984</v>
      </c>
      <c r="H542" t="str">
        <f>VLOOKUP(C542,[1]products!$A:$B,2,0)</f>
        <v>Electra Cruiser 1 (24-Inch) - 2016</v>
      </c>
      <c r="I542">
        <f>VLOOKUP(H542,[1]products!$B:$D,3,0)</f>
        <v>3</v>
      </c>
      <c r="J542" t="str">
        <f>VLOOKUP(I542,[2]categories!$A$2:$B$8,2,0)</f>
        <v>Cruisers Bicycles</v>
      </c>
    </row>
    <row r="543" spans="1:10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 s="1">
        <f t="shared" si="8"/>
        <v>359.2</v>
      </c>
      <c r="H543" t="str">
        <f>VLOOKUP(C543,[1]products!$A:$B,2,0)</f>
        <v>Pure Cycles Western 3-Speed - Women's - 2015/2016</v>
      </c>
      <c r="I543">
        <f>VLOOKUP(H543,[1]products!$B:$D,3,0)</f>
        <v>3</v>
      </c>
      <c r="J543" t="str">
        <f>VLOOKUP(I543,[2]categories!$A$2:$B$8,2,0)</f>
        <v>Cruisers Bicycles</v>
      </c>
    </row>
    <row r="544" spans="1:10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 s="1">
        <f t="shared" si="8"/>
        <v>256.4905</v>
      </c>
      <c r="H544" t="str">
        <f>VLOOKUP(C544,[1]products!$A:$B,2,0)</f>
        <v>Electra Girl's Hawaii 1 (16-inch) - 2015/2016</v>
      </c>
      <c r="I544">
        <f>VLOOKUP(H544,[1]products!$B:$D,3,0)</f>
        <v>3</v>
      </c>
      <c r="J544" t="str">
        <f>VLOOKUP(I544,[2]categories!$A$2:$B$8,2,0)</f>
        <v>Cruisers Bicycles</v>
      </c>
    </row>
    <row r="545" spans="1:10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 s="1">
        <f t="shared" si="8"/>
        <v>2113.584</v>
      </c>
      <c r="H545" t="str">
        <f>VLOOKUP(C545,[1]products!$A:$B,2,0)</f>
        <v>Heller Shagamaw Frame - 2016</v>
      </c>
      <c r="I545">
        <f>VLOOKUP(H545,[1]products!$B:$D,3,0)</f>
        <v>6</v>
      </c>
      <c r="J545" t="str">
        <f>VLOOKUP(I545,[2]categories!$A$2:$B$8,2,0)</f>
        <v>Mountain Bikes</v>
      </c>
    </row>
    <row r="546" spans="1:10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 s="1">
        <f t="shared" si="8"/>
        <v>4639.984</v>
      </c>
      <c r="H546" t="str">
        <f>VLOOKUP(C546,[1]products!$A:$B,2,0)</f>
        <v>Trek Fuel EX 8 29 - 2016</v>
      </c>
      <c r="I546">
        <f>VLOOKUP(H546,[1]products!$B:$D,3,0)</f>
        <v>6</v>
      </c>
      <c r="J546" t="str">
        <f>VLOOKUP(I546,[2]categories!$A$2:$B$8,2,0)</f>
        <v>Mountain Bikes</v>
      </c>
    </row>
    <row r="547" spans="1:10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 s="1">
        <f t="shared" si="8"/>
        <v>485.982</v>
      </c>
      <c r="H547" t="str">
        <f>VLOOKUP(C547,[1]products!$A:$B,2,0)</f>
        <v>Electra Cruiser 1 (24-Inch) - 2016</v>
      </c>
      <c r="I547">
        <f>VLOOKUP(H547,[1]products!$B:$D,3,0)</f>
        <v>3</v>
      </c>
      <c r="J547" t="str">
        <f>VLOOKUP(I547,[2]categories!$A$2:$B$8,2,0)</f>
        <v>Cruisers Bicycles</v>
      </c>
    </row>
    <row r="548" spans="1:10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 s="1">
        <f t="shared" si="8"/>
        <v>446.4905</v>
      </c>
      <c r="H548" t="str">
        <f>VLOOKUP(C548,[1]products!$A:$B,2,0)</f>
        <v>Surly Ice Cream Truck Frameset - 2016</v>
      </c>
      <c r="I548">
        <f>VLOOKUP(H548,[1]products!$B:$D,3,0)</f>
        <v>6</v>
      </c>
      <c r="J548" t="str">
        <f>VLOOKUP(I548,[2]categories!$A$2:$B$8,2,0)</f>
        <v>Mountain Bikes</v>
      </c>
    </row>
    <row r="549" spans="1:10">
      <c r="A549">
        <v>196</v>
      </c>
      <c r="B549">
        <v>2</v>
      </c>
      <c r="C549">
        <v>3</v>
      </c>
      <c r="D549">
        <v>2</v>
      </c>
      <c r="E549">
        <v>999.99</v>
      </c>
      <c r="F549">
        <v>0.07</v>
      </c>
      <c r="G549" s="1">
        <f t="shared" si="8"/>
        <v>1859.9814</v>
      </c>
      <c r="H549" t="str">
        <f>VLOOKUP(C549,[1]products!$A:$B,2,0)</f>
        <v>Surly Wednesday Frameset - 2016</v>
      </c>
      <c r="I549">
        <f>VLOOKUP(H549,[1]products!$B:$D,3,0)</f>
        <v>6</v>
      </c>
      <c r="J549" t="str">
        <f>VLOOKUP(I549,[2]categories!$A$2:$B$8,2,0)</f>
        <v>Mountain Bikes</v>
      </c>
    </row>
    <row r="550" spans="1:10">
      <c r="A550">
        <v>196</v>
      </c>
      <c r="B550">
        <v>3</v>
      </c>
      <c r="C550">
        <v>10</v>
      </c>
      <c r="D550">
        <v>2</v>
      </c>
      <c r="E550">
        <v>1549</v>
      </c>
      <c r="F550">
        <v>0.07</v>
      </c>
      <c r="G550" s="1">
        <f t="shared" si="8"/>
        <v>2881.14</v>
      </c>
      <c r="H550" t="str">
        <f>VLOOKUP(C550,[1]products!$A:$B,2,0)</f>
        <v>Surly Straggler - 2016</v>
      </c>
      <c r="I550">
        <f>VLOOKUP(H550,[1]products!$B:$D,3,0)</f>
        <v>4</v>
      </c>
      <c r="J550" t="str">
        <f>VLOOKUP(I550,[2]categories!$A$2:$B$8,2,0)</f>
        <v>Cyclocross Bicycles</v>
      </c>
    </row>
    <row r="551" spans="1:10">
      <c r="A551">
        <v>196</v>
      </c>
      <c r="B551">
        <v>4</v>
      </c>
      <c r="C551">
        <v>12</v>
      </c>
      <c r="D551">
        <v>1</v>
      </c>
      <c r="E551">
        <v>549.99</v>
      </c>
      <c r="F551">
        <v>0.07</v>
      </c>
      <c r="G551" s="1">
        <f t="shared" si="8"/>
        <v>511.4907</v>
      </c>
      <c r="H551" t="str">
        <f>VLOOKUP(C551,[1]products!$A:$B,2,0)</f>
        <v>Electra Townie Original 21D - 2016</v>
      </c>
      <c r="I551">
        <f>VLOOKUP(H551,[1]products!$B:$D,3,0)</f>
        <v>3</v>
      </c>
      <c r="J551" t="str">
        <f>VLOOKUP(I551,[2]categories!$A$2:$B$8,2,0)</f>
        <v>Cruisers Bicycles</v>
      </c>
    </row>
    <row r="552" spans="1:10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 s="1">
        <f t="shared" si="8"/>
        <v>539.991</v>
      </c>
      <c r="H552" t="str">
        <f>VLOOKUP(C552,[1]products!$A:$B,2,0)</f>
        <v>Electra Townie Original 7D EQ - Women's - 2016</v>
      </c>
      <c r="I552">
        <f>VLOOKUP(H552,[1]products!$B:$D,3,0)</f>
        <v>3</v>
      </c>
      <c r="J552" t="str">
        <f>VLOOKUP(I552,[2]categories!$A$2:$B$8,2,0)</f>
        <v>Cruisers Bicycles</v>
      </c>
    </row>
    <row r="553" spans="1:10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 s="1">
        <f t="shared" si="8"/>
        <v>4639.984</v>
      </c>
      <c r="H553" t="str">
        <f>VLOOKUP(C553,[1]products!$A:$B,2,0)</f>
        <v>Trek Fuel EX 8 29 - 2016</v>
      </c>
      <c r="I553">
        <f>VLOOKUP(H553,[1]products!$B:$D,3,0)</f>
        <v>6</v>
      </c>
      <c r="J553" t="str">
        <f>VLOOKUP(I553,[2]categories!$A$2:$B$8,2,0)</f>
        <v>Mountain Bikes</v>
      </c>
    </row>
    <row r="554" spans="1:10">
      <c r="A554">
        <v>197</v>
      </c>
      <c r="B554">
        <v>2</v>
      </c>
      <c r="C554">
        <v>2</v>
      </c>
      <c r="D554">
        <v>2</v>
      </c>
      <c r="E554">
        <v>749.99</v>
      </c>
      <c r="F554">
        <v>0.07</v>
      </c>
      <c r="G554" s="1">
        <f t="shared" si="8"/>
        <v>1394.9814</v>
      </c>
      <c r="H554" t="str">
        <f>VLOOKUP(C554,[1]products!$A:$B,2,0)</f>
        <v>Ritchey Timberwolf Frameset - 2016</v>
      </c>
      <c r="I554">
        <f>VLOOKUP(H554,[1]products!$B:$D,3,0)</f>
        <v>6</v>
      </c>
      <c r="J554" t="str">
        <f>VLOOKUP(I554,[2]categories!$A$2:$B$8,2,0)</f>
        <v>Mountain Bikes</v>
      </c>
    </row>
    <row r="555" spans="1:10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 s="1">
        <f t="shared" si="8"/>
        <v>892.981</v>
      </c>
      <c r="H555" t="str">
        <f>VLOOKUP(C555,[1]products!$A:$B,2,0)</f>
        <v>Surly Ice Cream Truck Frameset - 2016</v>
      </c>
      <c r="I555">
        <f>VLOOKUP(H555,[1]products!$B:$D,3,0)</f>
        <v>6</v>
      </c>
      <c r="J555" t="str">
        <f>VLOOKUP(I555,[2]categories!$A$2:$B$8,2,0)</f>
        <v>Mountain Bikes</v>
      </c>
    </row>
    <row r="556" spans="1:10">
      <c r="A556">
        <v>198</v>
      </c>
      <c r="B556">
        <v>2</v>
      </c>
      <c r="C556">
        <v>20</v>
      </c>
      <c r="D556">
        <v>2</v>
      </c>
      <c r="E556">
        <v>599.99</v>
      </c>
      <c r="F556">
        <v>0.07</v>
      </c>
      <c r="G556" s="1">
        <f t="shared" si="8"/>
        <v>1115.9814</v>
      </c>
      <c r="H556" t="str">
        <f>VLOOKUP(C556,[1]products!$A:$B,2,0)</f>
        <v>Electra Townie Original 7D EQ - Women's - 2016</v>
      </c>
      <c r="I556">
        <f>VLOOKUP(H556,[1]products!$B:$D,3,0)</f>
        <v>3</v>
      </c>
      <c r="J556" t="str">
        <f>VLOOKUP(I556,[2]categories!$A$2:$B$8,2,0)</f>
        <v>Cruisers Bicycles</v>
      </c>
    </row>
    <row r="557" spans="1:10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 s="1">
        <f t="shared" si="8"/>
        <v>2879.984</v>
      </c>
      <c r="H557" t="str">
        <f>VLOOKUP(C557,[1]products!$A:$B,2,0)</f>
        <v>Trek Remedy 29 Carbon Frameset - 2016</v>
      </c>
      <c r="I557">
        <f>VLOOKUP(H557,[1]products!$B:$D,3,0)</f>
        <v>6</v>
      </c>
      <c r="J557" t="str">
        <f>VLOOKUP(I557,[2]categories!$A$2:$B$8,2,0)</f>
        <v>Mountain Bikes</v>
      </c>
    </row>
    <row r="558" spans="1:10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 s="1">
        <f t="shared" si="8"/>
        <v>512.981</v>
      </c>
      <c r="H558" t="str">
        <f>VLOOKUP(C558,[1]products!$A:$B,2,0)</f>
        <v>Electra Cruiser 1 (24-Inch) - 2016</v>
      </c>
      <c r="I558">
        <f>VLOOKUP(H558,[1]products!$B:$D,3,0)</f>
        <v>3</v>
      </c>
      <c r="J558" t="str">
        <f>VLOOKUP(I558,[2]categories!$A$2:$B$8,2,0)</f>
        <v>Cruisers Bicycles</v>
      </c>
    </row>
    <row r="559" spans="1:10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 s="1">
        <f t="shared" si="8"/>
        <v>407.55</v>
      </c>
      <c r="H559" t="str">
        <f>VLOOKUP(C559,[1]products!$A:$B,2,0)</f>
        <v>Pure Cycles Vine 8-Speed - 2016</v>
      </c>
      <c r="I559">
        <f>VLOOKUP(H559,[1]products!$B:$D,3,0)</f>
        <v>3</v>
      </c>
      <c r="J559" t="str">
        <f>VLOOKUP(I559,[2]categories!$A$2:$B$8,2,0)</f>
        <v>Cruisers Bicycles</v>
      </c>
    </row>
    <row r="560" spans="1:10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 s="1">
        <f t="shared" si="8"/>
        <v>949.981</v>
      </c>
      <c r="H560" t="str">
        <f>VLOOKUP(C560,[1]products!$A:$B,2,0)</f>
        <v>Electra Townie Original 7D - 2015/2016</v>
      </c>
      <c r="I560">
        <f>VLOOKUP(H560,[1]products!$B:$D,3,0)</f>
        <v>2</v>
      </c>
      <c r="J560" t="str">
        <f>VLOOKUP(I560,[2]categories!$A$2:$B$8,2,0)</f>
        <v>Comfort Bicycles</v>
      </c>
    </row>
    <row r="561" spans="1:10">
      <c r="A561">
        <v>199</v>
      </c>
      <c r="B561">
        <v>2</v>
      </c>
      <c r="C561">
        <v>18</v>
      </c>
      <c r="D561">
        <v>2</v>
      </c>
      <c r="E561">
        <v>449</v>
      </c>
      <c r="F561">
        <v>0.07</v>
      </c>
      <c r="G561" s="1">
        <f t="shared" si="8"/>
        <v>835.14</v>
      </c>
      <c r="H561" t="str">
        <f>VLOOKUP(C561,[1]products!$A:$B,2,0)</f>
        <v>Pure Cycles Western 3-Speed - Women's - 2015/2016</v>
      </c>
      <c r="I561">
        <f>VLOOKUP(H561,[1]products!$B:$D,3,0)</f>
        <v>3</v>
      </c>
      <c r="J561" t="str">
        <f>VLOOKUP(I561,[2]categories!$A$2:$B$8,2,0)</f>
        <v>Cruisers Bicycles</v>
      </c>
    </row>
    <row r="562" spans="1:10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 s="1">
        <f t="shared" si="8"/>
        <v>2319.992</v>
      </c>
      <c r="H562" t="str">
        <f>VLOOKUP(C562,[1]products!$A:$B,2,0)</f>
        <v>Trek Fuel EX 8 29 - 2016</v>
      </c>
      <c r="I562">
        <f>VLOOKUP(H562,[1]products!$B:$D,3,0)</f>
        <v>6</v>
      </c>
      <c r="J562" t="str">
        <f>VLOOKUP(I562,[2]categories!$A$2:$B$8,2,0)</f>
        <v>Mountain Bikes</v>
      </c>
    </row>
    <row r="563" spans="1:10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 s="1">
        <f t="shared" si="8"/>
        <v>569.981</v>
      </c>
      <c r="H563" t="str">
        <f>VLOOKUP(C563,[1]products!$A:$B,2,0)</f>
        <v>Electra Girl's Hawaii 1 (20-inch) - 2015/2016</v>
      </c>
      <c r="I563">
        <f>VLOOKUP(H563,[1]products!$B:$D,3,0)</f>
        <v>1</v>
      </c>
      <c r="J563" t="str">
        <f>VLOOKUP(I563,[2]categories!$A$2:$B$8,2,0)</f>
        <v>Children Bicycles</v>
      </c>
    </row>
    <row r="564" spans="1:10">
      <c r="A564">
        <v>200</v>
      </c>
      <c r="B564">
        <v>2</v>
      </c>
      <c r="C564">
        <v>22</v>
      </c>
      <c r="D564">
        <v>2</v>
      </c>
      <c r="E564">
        <v>269.99</v>
      </c>
      <c r="F564">
        <v>0.07</v>
      </c>
      <c r="G564" s="1">
        <f t="shared" si="8"/>
        <v>502.1814</v>
      </c>
      <c r="H564" t="str">
        <f>VLOOKUP(C564,[1]products!$A:$B,2,0)</f>
        <v>Electra Girl's Hawaii 1 (16-inch) - 2015/2016</v>
      </c>
      <c r="I564">
        <f>VLOOKUP(H564,[1]products!$B:$D,3,0)</f>
        <v>3</v>
      </c>
      <c r="J564" t="str">
        <f>VLOOKUP(I564,[2]categories!$A$2:$B$8,2,0)</f>
        <v>Cruisers Bicycles</v>
      </c>
    </row>
    <row r="565" spans="1:10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 s="1">
        <f t="shared" si="8"/>
        <v>522.4905</v>
      </c>
      <c r="H565" t="str">
        <f>VLOOKUP(C565,[1]products!$A:$B,2,0)</f>
        <v>Electra Townie Original 21D - 2016</v>
      </c>
      <c r="I565">
        <f>VLOOKUP(H565,[1]products!$B:$D,3,0)</f>
        <v>3</v>
      </c>
      <c r="J565" t="str">
        <f>VLOOKUP(I565,[2]categories!$A$2:$B$8,2,0)</f>
        <v>Cruisers Bicycles</v>
      </c>
    </row>
    <row r="566" spans="1:10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 s="1">
        <f t="shared" si="8"/>
        <v>3199.992</v>
      </c>
      <c r="H566" t="str">
        <f>VLOOKUP(C566,[1]products!$A:$B,2,0)</f>
        <v>Trek Slash 8 27.5 - 2016</v>
      </c>
      <c r="I566">
        <f>VLOOKUP(H566,[1]products!$B:$D,3,0)</f>
        <v>6</v>
      </c>
      <c r="J566" t="str">
        <f>VLOOKUP(I566,[2]categories!$A$2:$B$8,2,0)</f>
        <v>Mountain Bikes</v>
      </c>
    </row>
    <row r="567" spans="1:10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 s="1">
        <f t="shared" si="8"/>
        <v>485.982</v>
      </c>
      <c r="H567" t="str">
        <f>VLOOKUP(C567,[1]products!$A:$B,2,0)</f>
        <v>Electra Girl's Hawaii 1 (16-inch) - 2015/2016</v>
      </c>
      <c r="I567">
        <f>VLOOKUP(H567,[1]products!$B:$D,3,0)</f>
        <v>3</v>
      </c>
      <c r="J567" t="str">
        <f>VLOOKUP(I567,[2]categories!$A$2:$B$8,2,0)</f>
        <v>Cruisers Bicycles</v>
      </c>
    </row>
    <row r="568" spans="1:10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 s="1">
        <f t="shared" si="8"/>
        <v>407.55</v>
      </c>
      <c r="H568" t="str">
        <f>VLOOKUP(C568,[1]products!$A:$B,2,0)</f>
        <v>Pure Cycles Vine 8-Speed - 2016</v>
      </c>
      <c r="I568">
        <f>VLOOKUP(H568,[1]products!$B:$D,3,0)</f>
        <v>3</v>
      </c>
      <c r="J568" t="str">
        <f>VLOOKUP(I568,[2]categories!$A$2:$B$8,2,0)</f>
        <v>Cruisers Bicycles</v>
      </c>
    </row>
    <row r="569" spans="1:10">
      <c r="A569">
        <v>202</v>
      </c>
      <c r="B569">
        <v>1</v>
      </c>
      <c r="C569">
        <v>8</v>
      </c>
      <c r="D569">
        <v>1</v>
      </c>
      <c r="E569">
        <v>1799.99</v>
      </c>
      <c r="F569">
        <v>0.07</v>
      </c>
      <c r="G569" s="1">
        <f t="shared" si="8"/>
        <v>1673.9907</v>
      </c>
      <c r="H569" t="str">
        <f>VLOOKUP(C569,[1]products!$A:$B,2,0)</f>
        <v>Trek Remedy 29 Carbon Frameset - 2016</v>
      </c>
      <c r="I569">
        <f>VLOOKUP(H569,[1]products!$B:$D,3,0)</f>
        <v>6</v>
      </c>
      <c r="J569" t="str">
        <f>VLOOKUP(I569,[2]categories!$A$2:$B$8,2,0)</f>
        <v>Mountain Bikes</v>
      </c>
    </row>
    <row r="570" spans="1:10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 s="1">
        <f t="shared" si="8"/>
        <v>407.55</v>
      </c>
      <c r="H570" t="str">
        <f>VLOOKUP(C570,[1]products!$A:$B,2,0)</f>
        <v>Pure Cycles Vine 8-Speed - 2016</v>
      </c>
      <c r="I570">
        <f>VLOOKUP(H570,[1]products!$B:$D,3,0)</f>
        <v>3</v>
      </c>
      <c r="J570" t="str">
        <f>VLOOKUP(I570,[2]categories!$A$2:$B$8,2,0)</f>
        <v>Cruisers Bicycles</v>
      </c>
    </row>
    <row r="571" spans="1:10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 s="1">
        <f t="shared" si="8"/>
        <v>1006.981</v>
      </c>
      <c r="H571" t="str">
        <f>VLOOKUP(C571,[1]products!$A:$B,2,0)</f>
        <v>Electra Moto 1 - 2016</v>
      </c>
      <c r="I571">
        <f>VLOOKUP(H571,[1]products!$B:$D,3,0)</f>
        <v>3</v>
      </c>
      <c r="J571" t="str">
        <f>VLOOKUP(I571,[2]categories!$A$2:$B$8,2,0)</f>
        <v>Cruisers Bicycles</v>
      </c>
    </row>
    <row r="572" spans="1:10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 s="1">
        <f t="shared" si="8"/>
        <v>949.981</v>
      </c>
      <c r="H572" t="str">
        <f>VLOOKUP(C572,[1]products!$A:$B,2,0)</f>
        <v>Electra Townie Original 7D - 2015/2016</v>
      </c>
      <c r="I572">
        <f>VLOOKUP(H572,[1]products!$B:$D,3,0)</f>
        <v>2</v>
      </c>
      <c r="J572" t="str">
        <f>VLOOKUP(I572,[2]categories!$A$2:$B$8,2,0)</f>
        <v>Comfort Bicycles</v>
      </c>
    </row>
    <row r="573" spans="1:10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 s="1">
        <f t="shared" si="8"/>
        <v>569.9905</v>
      </c>
      <c r="H573" t="str">
        <f>VLOOKUP(C573,[1]products!$A:$B,2,0)</f>
        <v>Electra Townie Original 7D EQ - 2016</v>
      </c>
      <c r="I573">
        <f>VLOOKUP(H573,[1]products!$B:$D,3,0)</f>
        <v>3</v>
      </c>
      <c r="J573" t="str">
        <f>VLOOKUP(I573,[2]categories!$A$2:$B$8,2,0)</f>
        <v>Cruisers Bicycles</v>
      </c>
    </row>
    <row r="574" spans="1:10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 s="1">
        <f t="shared" si="8"/>
        <v>1799.982</v>
      </c>
      <c r="H574" t="str">
        <f>VLOOKUP(C574,[1]products!$A:$B,2,0)</f>
        <v>Surly Wednesday Frameset - 2016</v>
      </c>
      <c r="I574">
        <f>VLOOKUP(H574,[1]products!$B:$D,3,0)</f>
        <v>6</v>
      </c>
      <c r="J574" t="str">
        <f>VLOOKUP(I574,[2]categories!$A$2:$B$8,2,0)</f>
        <v>Mountain Bikes</v>
      </c>
    </row>
    <row r="575" spans="1:10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 s="1">
        <f t="shared" si="8"/>
        <v>686.4</v>
      </c>
      <c r="H575" t="str">
        <f>VLOOKUP(C575,[1]products!$A:$B,2,0)</f>
        <v>Pure Cycles Vine 8-Speed - 2016</v>
      </c>
      <c r="I575">
        <f>VLOOKUP(H575,[1]products!$B:$D,3,0)</f>
        <v>3</v>
      </c>
      <c r="J575" t="str">
        <f>VLOOKUP(I575,[2]categories!$A$2:$B$8,2,0)</f>
        <v>Cruisers Bicycles</v>
      </c>
    </row>
    <row r="576" spans="1:10">
      <c r="A576">
        <v>203</v>
      </c>
      <c r="B576">
        <v>4</v>
      </c>
      <c r="C576">
        <v>19</v>
      </c>
      <c r="D576">
        <v>2</v>
      </c>
      <c r="E576">
        <v>449</v>
      </c>
      <c r="F576">
        <v>0.07</v>
      </c>
      <c r="G576" s="1">
        <f t="shared" si="8"/>
        <v>835.14</v>
      </c>
      <c r="H576" t="str">
        <f>VLOOKUP(C576,[1]products!$A:$B,2,0)</f>
        <v>Pure Cycles William 3-Speed - 2016</v>
      </c>
      <c r="I576">
        <f>VLOOKUP(H576,[1]products!$B:$D,3,0)</f>
        <v>3</v>
      </c>
      <c r="J576" t="str">
        <f>VLOOKUP(I576,[2]categories!$A$2:$B$8,2,0)</f>
        <v>Cruisers Bicycles</v>
      </c>
    </row>
    <row r="577" spans="1:10">
      <c r="A577">
        <v>204</v>
      </c>
      <c r="B577">
        <v>1</v>
      </c>
      <c r="C577">
        <v>6</v>
      </c>
      <c r="D577">
        <v>2</v>
      </c>
      <c r="E577">
        <v>469.99</v>
      </c>
      <c r="F577">
        <v>0.07</v>
      </c>
      <c r="G577" s="1">
        <f t="shared" si="8"/>
        <v>874.1814</v>
      </c>
      <c r="H577" t="str">
        <f>VLOOKUP(C577,[1]products!$A:$B,2,0)</f>
        <v>Surly Ice Cream Truck Frameset - 2016</v>
      </c>
      <c r="I577">
        <f>VLOOKUP(H577,[1]products!$B:$D,3,0)</f>
        <v>6</v>
      </c>
      <c r="J577" t="str">
        <f>VLOOKUP(I577,[2]categories!$A$2:$B$8,2,0)</f>
        <v>Mountain Bikes</v>
      </c>
    </row>
    <row r="578" spans="1:10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 s="1">
        <f t="shared" ref="G578:G641" si="9">D578*E578*(1-F578)</f>
        <v>772.2</v>
      </c>
      <c r="H578" t="str">
        <f>VLOOKUP(C578,[1]products!$A:$B,2,0)</f>
        <v>Pure Cycles Vine 8-Speed - 2016</v>
      </c>
      <c r="I578">
        <f>VLOOKUP(H578,[1]products!$B:$D,3,0)</f>
        <v>3</v>
      </c>
      <c r="J578" t="str">
        <f>VLOOKUP(I578,[2]categories!$A$2:$B$8,2,0)</f>
        <v>Cruisers Bicycles</v>
      </c>
    </row>
    <row r="579" spans="1:10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 s="1">
        <f t="shared" si="9"/>
        <v>512.981</v>
      </c>
      <c r="H579" t="str">
        <f>VLOOKUP(C579,[1]products!$A:$B,2,0)</f>
        <v>Electra Girl's Hawaii 1 (16-inch) - 2015/2016</v>
      </c>
      <c r="I579">
        <f>VLOOKUP(H579,[1]products!$B:$D,3,0)</f>
        <v>3</v>
      </c>
      <c r="J579" t="str">
        <f>VLOOKUP(I579,[2]categories!$A$2:$B$8,2,0)</f>
        <v>Cruisers Bicycles</v>
      </c>
    </row>
    <row r="580" spans="1:10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 s="1">
        <f t="shared" si="9"/>
        <v>989.982</v>
      </c>
      <c r="H580" t="str">
        <f>VLOOKUP(C580,[1]products!$A:$B,2,0)</f>
        <v>Electra Townie Original 21D - 2016</v>
      </c>
      <c r="I580">
        <f>VLOOKUP(H580,[1]products!$B:$D,3,0)</f>
        <v>3</v>
      </c>
      <c r="J580" t="str">
        <f>VLOOKUP(I580,[2]categories!$A$2:$B$8,2,0)</f>
        <v>Cruisers Bicycles</v>
      </c>
    </row>
    <row r="581" spans="1:10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 s="1">
        <f t="shared" si="9"/>
        <v>474.9905</v>
      </c>
      <c r="H581" t="str">
        <f>VLOOKUP(C581,[1]products!$A:$B,2,0)</f>
        <v>Electra Townie Original 7D - 2015/2016</v>
      </c>
      <c r="I581">
        <f>VLOOKUP(H581,[1]products!$B:$D,3,0)</f>
        <v>2</v>
      </c>
      <c r="J581" t="str">
        <f>VLOOKUP(I581,[2]categories!$A$2:$B$8,2,0)</f>
        <v>Comfort Bicycles</v>
      </c>
    </row>
    <row r="582" spans="1:10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 s="1">
        <f t="shared" si="9"/>
        <v>479.992</v>
      </c>
      <c r="H582" t="str">
        <f>VLOOKUP(C582,[1]products!$A:$B,2,0)</f>
        <v>Electra Townie Original 7D EQ - Women's - 2016</v>
      </c>
      <c r="I582">
        <f>VLOOKUP(H582,[1]products!$B:$D,3,0)</f>
        <v>3</v>
      </c>
      <c r="J582" t="str">
        <f>VLOOKUP(I582,[2]categories!$A$2:$B$8,2,0)</f>
        <v>Cruisers Bicycles</v>
      </c>
    </row>
    <row r="583" spans="1:10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 s="1">
        <f t="shared" si="9"/>
        <v>879.984</v>
      </c>
      <c r="H583" t="str">
        <f>VLOOKUP(C583,[1]products!$A:$B,2,0)</f>
        <v>Electra Townie Original 21D - 2016</v>
      </c>
      <c r="I583">
        <f>VLOOKUP(H583,[1]products!$B:$D,3,0)</f>
        <v>3</v>
      </c>
      <c r="J583" t="str">
        <f>VLOOKUP(I583,[2]categories!$A$2:$B$8,2,0)</f>
        <v>Cruisers Bicycles</v>
      </c>
    </row>
    <row r="584" spans="1:10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 s="1">
        <f t="shared" si="9"/>
        <v>1254.9405</v>
      </c>
      <c r="H584" t="str">
        <f>VLOOKUP(C584,[1]products!$A:$B,2,0)</f>
        <v>Heller Shagamaw Frame - 2016</v>
      </c>
      <c r="I584">
        <f>VLOOKUP(H584,[1]products!$B:$D,3,0)</f>
        <v>6</v>
      </c>
      <c r="J584" t="str">
        <f>VLOOKUP(I584,[2]categories!$A$2:$B$8,2,0)</f>
        <v>Mountain Bikes</v>
      </c>
    </row>
    <row r="585" spans="1:10">
      <c r="A585">
        <v>207</v>
      </c>
      <c r="B585">
        <v>3</v>
      </c>
      <c r="C585">
        <v>11</v>
      </c>
      <c r="D585">
        <v>2</v>
      </c>
      <c r="E585">
        <v>1680.99</v>
      </c>
      <c r="F585">
        <v>0.07</v>
      </c>
      <c r="G585" s="1">
        <f t="shared" si="9"/>
        <v>3126.6414</v>
      </c>
      <c r="H585" t="str">
        <f>VLOOKUP(C585,[1]products!$A:$B,2,0)</f>
        <v>Surly Straggler 650b - 2016</v>
      </c>
      <c r="I585">
        <f>VLOOKUP(H585,[1]products!$B:$D,3,0)</f>
        <v>4</v>
      </c>
      <c r="J585" t="str">
        <f>VLOOKUP(I585,[2]categories!$A$2:$B$8,2,0)</f>
        <v>Cyclocross Bicycles</v>
      </c>
    </row>
    <row r="586" spans="1:10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 s="1">
        <f t="shared" si="9"/>
        <v>7199.982</v>
      </c>
      <c r="H586" t="str">
        <f>VLOOKUP(C586,[1]products!$A:$B,2,0)</f>
        <v>Trek Slash 8 27.5 - 2016</v>
      </c>
      <c r="I586">
        <f>VLOOKUP(H586,[1]products!$B:$D,3,0)</f>
        <v>6</v>
      </c>
      <c r="J586" t="str">
        <f>VLOOKUP(I586,[2]categories!$A$2:$B$8,2,0)</f>
        <v>Mountain Bikes</v>
      </c>
    </row>
    <row r="587" spans="1:10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 s="1">
        <f t="shared" si="9"/>
        <v>892.981</v>
      </c>
      <c r="H587" t="str">
        <f>VLOOKUP(C587,[1]products!$A:$B,2,0)</f>
        <v>Surly Ice Cream Truck Frameset - 2016</v>
      </c>
      <c r="I587">
        <f>VLOOKUP(H587,[1]products!$B:$D,3,0)</f>
        <v>6</v>
      </c>
      <c r="J587" t="str">
        <f>VLOOKUP(I587,[2]categories!$A$2:$B$8,2,0)</f>
        <v>Mountain Bikes</v>
      </c>
    </row>
    <row r="588" spans="1:10">
      <c r="A588">
        <v>208</v>
      </c>
      <c r="B588">
        <v>2</v>
      </c>
      <c r="C588">
        <v>4</v>
      </c>
      <c r="D588">
        <v>2</v>
      </c>
      <c r="E588">
        <v>2899.99</v>
      </c>
      <c r="F588">
        <v>0.07</v>
      </c>
      <c r="G588" s="1">
        <f t="shared" si="9"/>
        <v>5393.9814</v>
      </c>
      <c r="H588" t="str">
        <f>VLOOKUP(C588,[1]products!$A:$B,2,0)</f>
        <v>Trek Fuel EX 8 29 - 2016</v>
      </c>
      <c r="I588">
        <f>VLOOKUP(H588,[1]products!$B:$D,3,0)</f>
        <v>6</v>
      </c>
      <c r="J588" t="str">
        <f>VLOOKUP(I588,[2]categories!$A$2:$B$8,2,0)</f>
        <v>Mountain Bikes</v>
      </c>
    </row>
    <row r="589" spans="1:10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 s="1">
        <f t="shared" si="9"/>
        <v>949.9905</v>
      </c>
      <c r="H589" t="str">
        <f>VLOOKUP(C589,[1]products!$A:$B,2,0)</f>
        <v>Surly Wednesday Frameset - 2016</v>
      </c>
      <c r="I589">
        <f>VLOOKUP(H589,[1]products!$B:$D,3,0)</f>
        <v>6</v>
      </c>
      <c r="J589" t="str">
        <f>VLOOKUP(I589,[2]categories!$A$2:$B$8,2,0)</f>
        <v>Mountain Bikes</v>
      </c>
    </row>
    <row r="590" spans="1:10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 s="1">
        <f t="shared" si="9"/>
        <v>439.992</v>
      </c>
      <c r="H590" t="str">
        <f>VLOOKUP(C590,[1]products!$A:$B,2,0)</f>
        <v>Electra Townie Original 21D - 2016</v>
      </c>
      <c r="I590">
        <f>VLOOKUP(H590,[1]products!$B:$D,3,0)</f>
        <v>3</v>
      </c>
      <c r="J590" t="str">
        <f>VLOOKUP(I590,[2]categories!$A$2:$B$8,2,0)</f>
        <v>Cruisers Bicycles</v>
      </c>
    </row>
    <row r="591" spans="1:10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 s="1">
        <f t="shared" si="9"/>
        <v>2943.1</v>
      </c>
      <c r="H591" t="str">
        <f>VLOOKUP(C591,[1]products!$A:$B,2,0)</f>
        <v>Surly Straggler - 2016</v>
      </c>
      <c r="I591">
        <f>VLOOKUP(H591,[1]products!$B:$D,3,0)</f>
        <v>4</v>
      </c>
      <c r="J591" t="str">
        <f>VLOOKUP(I591,[2]categories!$A$2:$B$8,2,0)</f>
        <v>Cyclocross Bicycles</v>
      </c>
    </row>
    <row r="592" spans="1:10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 s="1">
        <f t="shared" si="9"/>
        <v>242.991</v>
      </c>
      <c r="H592" t="str">
        <f>VLOOKUP(C592,[1]products!$A:$B,2,0)</f>
        <v>Electra Cruiser 1 (24-Inch) - 2016</v>
      </c>
      <c r="I592">
        <f>VLOOKUP(H592,[1]products!$B:$D,3,0)</f>
        <v>3</v>
      </c>
      <c r="J592" t="str">
        <f>VLOOKUP(I592,[2]categories!$A$2:$B$8,2,0)</f>
        <v>Cruisers Bicycles</v>
      </c>
    </row>
    <row r="593" spans="1:10">
      <c r="A593">
        <v>210</v>
      </c>
      <c r="B593">
        <v>1</v>
      </c>
      <c r="C593">
        <v>14</v>
      </c>
      <c r="D593">
        <v>1</v>
      </c>
      <c r="E593">
        <v>269.99</v>
      </c>
      <c r="F593">
        <v>0.07</v>
      </c>
      <c r="G593" s="1">
        <f t="shared" si="9"/>
        <v>251.0907</v>
      </c>
      <c r="H593" t="str">
        <f>VLOOKUP(C593,[1]products!$A:$B,2,0)</f>
        <v>Electra Girl's Hawaii 1 (16-inch) - 2015/2016</v>
      </c>
      <c r="I593">
        <f>VLOOKUP(H593,[1]products!$B:$D,3,0)</f>
        <v>3</v>
      </c>
      <c r="J593" t="str">
        <f>VLOOKUP(I593,[2]categories!$A$2:$B$8,2,0)</f>
        <v>Cruisers Bicycles</v>
      </c>
    </row>
    <row r="594" spans="1:10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 s="1">
        <f t="shared" si="9"/>
        <v>431.984</v>
      </c>
      <c r="H594" t="str">
        <f>VLOOKUP(C594,[1]products!$A:$B,2,0)</f>
        <v>Electra Cruiser 1 (24-Inch) - 2016</v>
      </c>
      <c r="I594">
        <f>VLOOKUP(H594,[1]products!$B:$D,3,0)</f>
        <v>3</v>
      </c>
      <c r="J594" t="str">
        <f>VLOOKUP(I594,[2]categories!$A$2:$B$8,2,0)</f>
        <v>Cruisers Bicycles</v>
      </c>
    </row>
    <row r="595" spans="1:10">
      <c r="A595">
        <v>211</v>
      </c>
      <c r="B595">
        <v>1</v>
      </c>
      <c r="C595">
        <v>10</v>
      </c>
      <c r="D595">
        <v>1</v>
      </c>
      <c r="E595">
        <v>1549</v>
      </c>
      <c r="F595">
        <v>0.07</v>
      </c>
      <c r="G595" s="1">
        <f t="shared" si="9"/>
        <v>1440.57</v>
      </c>
      <c r="H595" t="str">
        <f>VLOOKUP(C595,[1]products!$A:$B,2,0)</f>
        <v>Surly Straggler - 2016</v>
      </c>
      <c r="I595">
        <f>VLOOKUP(H595,[1]products!$B:$D,3,0)</f>
        <v>4</v>
      </c>
      <c r="J595" t="str">
        <f>VLOOKUP(I595,[2]categories!$A$2:$B$8,2,0)</f>
        <v>Cyclocross Bicycles</v>
      </c>
    </row>
    <row r="596" spans="1:10">
      <c r="A596">
        <v>211</v>
      </c>
      <c r="B596">
        <v>2</v>
      </c>
      <c r="C596">
        <v>2</v>
      </c>
      <c r="D596">
        <v>2</v>
      </c>
      <c r="E596">
        <v>749.99</v>
      </c>
      <c r="F596">
        <v>0.07</v>
      </c>
      <c r="G596" s="1">
        <f t="shared" si="9"/>
        <v>1394.9814</v>
      </c>
      <c r="H596" t="str">
        <f>VLOOKUP(C596,[1]products!$A:$B,2,0)</f>
        <v>Ritchey Timberwolf Frameset - 2016</v>
      </c>
      <c r="I596">
        <f>VLOOKUP(H596,[1]products!$B:$D,3,0)</f>
        <v>6</v>
      </c>
      <c r="J596" t="str">
        <f>VLOOKUP(I596,[2]categories!$A$2:$B$8,2,0)</f>
        <v>Mountain Bikes</v>
      </c>
    </row>
    <row r="597" spans="1:10">
      <c r="A597">
        <v>212</v>
      </c>
      <c r="B597">
        <v>1</v>
      </c>
      <c r="C597">
        <v>16</v>
      </c>
      <c r="D597">
        <v>2</v>
      </c>
      <c r="E597">
        <v>599.99</v>
      </c>
      <c r="F597">
        <v>0.07</v>
      </c>
      <c r="G597" s="1">
        <f t="shared" si="9"/>
        <v>1115.9814</v>
      </c>
      <c r="H597" t="str">
        <f>VLOOKUP(C597,[1]products!$A:$B,2,0)</f>
        <v>Electra Townie Original 7D EQ - 2016</v>
      </c>
      <c r="I597">
        <f>VLOOKUP(H597,[1]products!$B:$D,3,0)</f>
        <v>3</v>
      </c>
      <c r="J597" t="str">
        <f>VLOOKUP(I597,[2]categories!$A$2:$B$8,2,0)</f>
        <v>Cruisers Bicycles</v>
      </c>
    </row>
    <row r="598" spans="1:10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 s="1">
        <f t="shared" si="9"/>
        <v>879.984</v>
      </c>
      <c r="H598" t="str">
        <f>VLOOKUP(C598,[1]products!$A:$B,2,0)</f>
        <v>Electra Townie Original 21D - 2016</v>
      </c>
      <c r="I598">
        <f>VLOOKUP(H598,[1]products!$B:$D,3,0)</f>
        <v>3</v>
      </c>
      <c r="J598" t="str">
        <f>VLOOKUP(I598,[2]categories!$A$2:$B$8,2,0)</f>
        <v>Cruisers Bicycles</v>
      </c>
    </row>
    <row r="599" spans="1:10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 s="1">
        <f t="shared" si="9"/>
        <v>404.1</v>
      </c>
      <c r="H599" t="str">
        <f>VLOOKUP(C599,[1]products!$A:$B,2,0)</f>
        <v>Pure Cycles William 3-Speed - 2016</v>
      </c>
      <c r="I599">
        <f>VLOOKUP(H599,[1]products!$B:$D,3,0)</f>
        <v>3</v>
      </c>
      <c r="J599" t="str">
        <f>VLOOKUP(I599,[2]categories!$A$2:$B$8,2,0)</f>
        <v>Cruisers Bicycles</v>
      </c>
    </row>
    <row r="600" spans="1:10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 s="1">
        <f t="shared" si="9"/>
        <v>3199.992</v>
      </c>
      <c r="H600" t="str">
        <f>VLOOKUP(C600,[1]products!$A:$B,2,0)</f>
        <v>Trek Slash 8 27.5 - 2016</v>
      </c>
      <c r="I600">
        <f>VLOOKUP(H600,[1]products!$B:$D,3,0)</f>
        <v>6</v>
      </c>
      <c r="J600" t="str">
        <f>VLOOKUP(I600,[2]categories!$A$2:$B$8,2,0)</f>
        <v>Mountain Bikes</v>
      </c>
    </row>
    <row r="601" spans="1:10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 s="1">
        <f t="shared" si="9"/>
        <v>242.991</v>
      </c>
      <c r="H601" t="str">
        <f>VLOOKUP(C601,[1]products!$A:$B,2,0)</f>
        <v>Electra Cruiser 1 (24-Inch) - 2016</v>
      </c>
      <c r="I601">
        <f>VLOOKUP(H601,[1]products!$B:$D,3,0)</f>
        <v>3</v>
      </c>
      <c r="J601" t="str">
        <f>VLOOKUP(I601,[2]categories!$A$2:$B$8,2,0)</f>
        <v>Cruisers Bicycles</v>
      </c>
    </row>
    <row r="602" spans="1:10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 s="1">
        <f t="shared" si="9"/>
        <v>242.991</v>
      </c>
      <c r="H602" t="str">
        <f>VLOOKUP(C602,[1]products!$A:$B,2,0)</f>
        <v>Electra Cruiser 1 (24-Inch) - 2016</v>
      </c>
      <c r="I602">
        <f>VLOOKUP(H602,[1]products!$B:$D,3,0)</f>
        <v>3</v>
      </c>
      <c r="J602" t="str">
        <f>VLOOKUP(I602,[2]categories!$A$2:$B$8,2,0)</f>
        <v>Cruisers Bicycles</v>
      </c>
    </row>
    <row r="603" spans="1:10">
      <c r="A603">
        <v>215</v>
      </c>
      <c r="B603">
        <v>1</v>
      </c>
      <c r="C603">
        <v>19</v>
      </c>
      <c r="D603">
        <v>1</v>
      </c>
      <c r="E603">
        <v>449</v>
      </c>
      <c r="F603">
        <v>0.07</v>
      </c>
      <c r="G603" s="1">
        <f t="shared" si="9"/>
        <v>417.57</v>
      </c>
      <c r="H603" t="str">
        <f>VLOOKUP(C603,[1]products!$A:$B,2,0)</f>
        <v>Pure Cycles William 3-Speed - 2016</v>
      </c>
      <c r="I603">
        <f>VLOOKUP(H603,[1]products!$B:$D,3,0)</f>
        <v>3</v>
      </c>
      <c r="J603" t="str">
        <f>VLOOKUP(I603,[2]categories!$A$2:$B$8,2,0)</f>
        <v>Cruisers Bicycles</v>
      </c>
    </row>
    <row r="604" spans="1:10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 s="1">
        <f t="shared" si="9"/>
        <v>989.982</v>
      </c>
      <c r="H604" t="str">
        <f>VLOOKUP(C604,[1]products!$A:$B,2,0)</f>
        <v>Electra Townie Original 21D - 2016</v>
      </c>
      <c r="I604">
        <f>VLOOKUP(H604,[1]products!$B:$D,3,0)</f>
        <v>3</v>
      </c>
      <c r="J604" t="str">
        <f>VLOOKUP(I604,[2]categories!$A$2:$B$8,2,0)</f>
        <v>Cruisers Bicycles</v>
      </c>
    </row>
    <row r="605" spans="1:10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 s="1">
        <f t="shared" si="9"/>
        <v>485.982</v>
      </c>
      <c r="H605" t="str">
        <f>VLOOKUP(C605,[1]products!$A:$B,2,0)</f>
        <v>Electra Girl's Hawaii 1 (16-inch) - 2015/2016</v>
      </c>
      <c r="I605">
        <f>VLOOKUP(H605,[1]products!$B:$D,3,0)</f>
        <v>3</v>
      </c>
      <c r="J605" t="str">
        <f>VLOOKUP(I605,[2]categories!$A$2:$B$8,2,0)</f>
        <v>Cruisers Bicycles</v>
      </c>
    </row>
    <row r="606" spans="1:10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 s="1">
        <f t="shared" si="9"/>
        <v>1139.981</v>
      </c>
      <c r="H606" t="str">
        <f>VLOOKUP(C606,[1]products!$A:$B,2,0)</f>
        <v>Electra Townie Original 7D EQ - 2016</v>
      </c>
      <c r="I606">
        <f>VLOOKUP(H606,[1]products!$B:$D,3,0)</f>
        <v>3</v>
      </c>
      <c r="J606" t="str">
        <f>VLOOKUP(I606,[2]categories!$A$2:$B$8,2,0)</f>
        <v>Cruisers Bicycles</v>
      </c>
    </row>
    <row r="607" spans="1:10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 s="1">
        <f t="shared" si="9"/>
        <v>404.1</v>
      </c>
      <c r="H607" t="str">
        <f>VLOOKUP(C607,[1]products!$A:$B,2,0)</f>
        <v>Pure Cycles Western 3-Speed - Women's - 2015/2016</v>
      </c>
      <c r="I607">
        <f>VLOOKUP(H607,[1]products!$B:$D,3,0)</f>
        <v>3</v>
      </c>
      <c r="J607" t="str">
        <f>VLOOKUP(I607,[2]categories!$A$2:$B$8,2,0)</f>
        <v>Cruisers Bicycles</v>
      </c>
    </row>
    <row r="608" spans="1:10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 s="1">
        <f t="shared" si="9"/>
        <v>2788.2</v>
      </c>
      <c r="H608" t="str">
        <f>VLOOKUP(C608,[1]products!$A:$B,2,0)</f>
        <v>Surly Straggler - 2016</v>
      </c>
      <c r="I608">
        <f>VLOOKUP(H608,[1]products!$B:$D,3,0)</f>
        <v>4</v>
      </c>
      <c r="J608" t="str">
        <f>VLOOKUP(I608,[2]categories!$A$2:$B$8,2,0)</f>
        <v>Cyclocross Bicycles</v>
      </c>
    </row>
    <row r="609" spans="1:10">
      <c r="A609">
        <v>217</v>
      </c>
      <c r="B609">
        <v>3</v>
      </c>
      <c r="C609">
        <v>17</v>
      </c>
      <c r="D609">
        <v>1</v>
      </c>
      <c r="E609">
        <v>429</v>
      </c>
      <c r="F609">
        <v>0.07</v>
      </c>
      <c r="G609" s="1">
        <f t="shared" si="9"/>
        <v>398.97</v>
      </c>
      <c r="H609" t="str">
        <f>VLOOKUP(C609,[1]products!$A:$B,2,0)</f>
        <v>Pure Cycles Vine 8-Speed - 2016</v>
      </c>
      <c r="I609">
        <f>VLOOKUP(H609,[1]products!$B:$D,3,0)</f>
        <v>3</v>
      </c>
      <c r="J609" t="str">
        <f>VLOOKUP(I609,[2]categories!$A$2:$B$8,2,0)</f>
        <v>Cruisers Bicycles</v>
      </c>
    </row>
    <row r="610" spans="1:10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 s="1">
        <f t="shared" si="9"/>
        <v>1349.982</v>
      </c>
      <c r="H610" t="str">
        <f>VLOOKUP(C610,[1]products!$A:$B,2,0)</f>
        <v>Ritchey Timberwolf Frameset - 2016</v>
      </c>
      <c r="I610">
        <f>VLOOKUP(H610,[1]products!$B:$D,3,0)</f>
        <v>6</v>
      </c>
      <c r="J610" t="str">
        <f>VLOOKUP(I610,[2]categories!$A$2:$B$8,2,0)</f>
        <v>Mountain Bikes</v>
      </c>
    </row>
    <row r="611" spans="1:10">
      <c r="A611">
        <v>218</v>
      </c>
      <c r="B611">
        <v>2</v>
      </c>
      <c r="C611">
        <v>13</v>
      </c>
      <c r="D611">
        <v>1</v>
      </c>
      <c r="E611">
        <v>269.99</v>
      </c>
      <c r="F611">
        <v>0.07</v>
      </c>
      <c r="G611" s="1">
        <f t="shared" si="9"/>
        <v>251.0907</v>
      </c>
      <c r="H611" t="str">
        <f>VLOOKUP(C611,[1]products!$A:$B,2,0)</f>
        <v>Electra Cruiser 1 (24-Inch) - 2016</v>
      </c>
      <c r="I611">
        <f>VLOOKUP(H611,[1]products!$B:$D,3,0)</f>
        <v>3</v>
      </c>
      <c r="J611" t="str">
        <f>VLOOKUP(I611,[2]categories!$A$2:$B$8,2,0)</f>
        <v>Cruisers Bicycles</v>
      </c>
    </row>
    <row r="612" spans="1:10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 s="1">
        <f t="shared" si="9"/>
        <v>522.4905</v>
      </c>
      <c r="H612" t="str">
        <f>VLOOKUP(C612,[1]products!$A:$B,2,0)</f>
        <v>Electra Townie Original 21D - 2016</v>
      </c>
      <c r="I612">
        <f>VLOOKUP(H612,[1]products!$B:$D,3,0)</f>
        <v>3</v>
      </c>
      <c r="J612" t="str">
        <f>VLOOKUP(I612,[2]categories!$A$2:$B$8,2,0)</f>
        <v>Cruisers Bicycles</v>
      </c>
    </row>
    <row r="613" spans="1:10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 s="1">
        <f t="shared" si="9"/>
        <v>569.9905</v>
      </c>
      <c r="H613" t="str">
        <f>VLOOKUP(C613,[1]products!$A:$B,2,0)</f>
        <v>Electra Townie Original 7D EQ - 2016</v>
      </c>
      <c r="I613">
        <f>VLOOKUP(H613,[1]products!$B:$D,3,0)</f>
        <v>3</v>
      </c>
      <c r="J613" t="str">
        <f>VLOOKUP(I613,[2]categories!$A$2:$B$8,2,0)</f>
        <v>Cruisers Bicycles</v>
      </c>
    </row>
    <row r="614" spans="1:10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 s="1">
        <f t="shared" si="9"/>
        <v>1056.792</v>
      </c>
      <c r="H614" t="str">
        <f>VLOOKUP(C614,[1]products!$A:$B,2,0)</f>
        <v>Heller Shagamaw Frame - 2016</v>
      </c>
      <c r="I614">
        <f>VLOOKUP(H614,[1]products!$B:$D,3,0)</f>
        <v>6</v>
      </c>
      <c r="J614" t="str">
        <f>VLOOKUP(I614,[2]categories!$A$2:$B$8,2,0)</f>
        <v>Mountain Bikes</v>
      </c>
    </row>
    <row r="615" spans="1:10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 s="1">
        <f t="shared" si="9"/>
        <v>892.981</v>
      </c>
      <c r="H615" t="str">
        <f>VLOOKUP(C615,[1]products!$A:$B,2,0)</f>
        <v>Surly Ice Cream Truck Frameset - 2016</v>
      </c>
      <c r="I615">
        <f>VLOOKUP(H615,[1]products!$B:$D,3,0)</f>
        <v>6</v>
      </c>
      <c r="J615" t="str">
        <f>VLOOKUP(I615,[2]categories!$A$2:$B$8,2,0)</f>
        <v>Mountain Bikes</v>
      </c>
    </row>
    <row r="616" spans="1:10">
      <c r="A616">
        <v>220</v>
      </c>
      <c r="B616">
        <v>2</v>
      </c>
      <c r="C616">
        <v>25</v>
      </c>
      <c r="D616">
        <v>1</v>
      </c>
      <c r="E616">
        <v>499.99</v>
      </c>
      <c r="F616">
        <v>0.07</v>
      </c>
      <c r="G616" s="1">
        <f t="shared" si="9"/>
        <v>464.9907</v>
      </c>
      <c r="H616" t="str">
        <f>VLOOKUP(C616,[1]products!$A:$B,2,0)</f>
        <v>Electra Townie Original 7D - 2015/2016</v>
      </c>
      <c r="I616">
        <f>VLOOKUP(H616,[1]products!$B:$D,3,0)</f>
        <v>2</v>
      </c>
      <c r="J616" t="str">
        <f>VLOOKUP(I616,[2]categories!$A$2:$B$8,2,0)</f>
        <v>Comfort Bicycles</v>
      </c>
    </row>
    <row r="617" spans="1:10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 s="1">
        <f t="shared" si="9"/>
        <v>485.982</v>
      </c>
      <c r="H617" t="str">
        <f>VLOOKUP(C617,[1]products!$A:$B,2,0)</f>
        <v>Electra Girl's Hawaii 1 (16-inch) - 2015/2016</v>
      </c>
      <c r="I617">
        <f>VLOOKUP(H617,[1]products!$B:$D,3,0)</f>
        <v>3</v>
      </c>
      <c r="J617" t="str">
        <f>VLOOKUP(I617,[2]categories!$A$2:$B$8,2,0)</f>
        <v>Cruisers Bicycles</v>
      </c>
    </row>
    <row r="618" spans="1:10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 s="1">
        <f t="shared" si="9"/>
        <v>1599.984</v>
      </c>
      <c r="H618" t="str">
        <f>VLOOKUP(C618,[1]products!$A:$B,2,0)</f>
        <v>Surly Wednesday Frameset - 2016</v>
      </c>
      <c r="I618">
        <f>VLOOKUP(H618,[1]products!$B:$D,3,0)</f>
        <v>6</v>
      </c>
      <c r="J618" t="str">
        <f>VLOOKUP(I618,[2]categories!$A$2:$B$8,2,0)</f>
        <v>Mountain Bikes</v>
      </c>
    </row>
    <row r="619" spans="1:10">
      <c r="A619">
        <v>221</v>
      </c>
      <c r="B619">
        <v>1</v>
      </c>
      <c r="C619">
        <v>11</v>
      </c>
      <c r="D619">
        <v>2</v>
      </c>
      <c r="E619">
        <v>1680.99</v>
      </c>
      <c r="F619">
        <v>0.07</v>
      </c>
      <c r="G619" s="1">
        <f t="shared" si="9"/>
        <v>3126.6414</v>
      </c>
      <c r="H619" t="str">
        <f>VLOOKUP(C619,[1]products!$A:$B,2,0)</f>
        <v>Surly Straggler 650b - 2016</v>
      </c>
      <c r="I619">
        <f>VLOOKUP(H619,[1]products!$B:$D,3,0)</f>
        <v>4</v>
      </c>
      <c r="J619" t="str">
        <f>VLOOKUP(I619,[2]categories!$A$2:$B$8,2,0)</f>
        <v>Cyclocross Bicycles</v>
      </c>
    </row>
    <row r="620" spans="1:10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 s="1">
        <f t="shared" si="9"/>
        <v>1394.1</v>
      </c>
      <c r="H620" t="str">
        <f>VLOOKUP(C620,[1]products!$A:$B,2,0)</f>
        <v>Surly Straggler - 2016</v>
      </c>
      <c r="I620">
        <f>VLOOKUP(H620,[1]products!$B:$D,3,0)</f>
        <v>4</v>
      </c>
      <c r="J620" t="str">
        <f>VLOOKUP(I620,[2]categories!$A$2:$B$8,2,0)</f>
        <v>Cyclocross Bicycles</v>
      </c>
    </row>
    <row r="621" spans="1:10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 s="1">
        <f t="shared" si="9"/>
        <v>1349.982</v>
      </c>
      <c r="H621" t="str">
        <f>VLOOKUP(C621,[1]products!$A:$B,2,0)</f>
        <v>Ritchey Timberwolf Frameset - 2016</v>
      </c>
      <c r="I621">
        <f>VLOOKUP(H621,[1]products!$B:$D,3,0)</f>
        <v>6</v>
      </c>
      <c r="J621" t="str">
        <f>VLOOKUP(I621,[2]categories!$A$2:$B$8,2,0)</f>
        <v>Mountain Bikes</v>
      </c>
    </row>
    <row r="622" spans="1:10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 s="1">
        <f t="shared" si="9"/>
        <v>7599.981</v>
      </c>
      <c r="H622" t="str">
        <f>VLOOKUP(C622,[1]products!$A:$B,2,0)</f>
        <v>Trek Slash 8 27.5 - 2016</v>
      </c>
      <c r="I622">
        <f>VLOOKUP(H622,[1]products!$B:$D,3,0)</f>
        <v>6</v>
      </c>
      <c r="J622" t="str">
        <f>VLOOKUP(I622,[2]categories!$A$2:$B$8,2,0)</f>
        <v>Mountain Bikes</v>
      </c>
    </row>
    <row r="623" spans="1:10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 s="1">
        <f t="shared" si="9"/>
        <v>1056.792</v>
      </c>
      <c r="H623" t="str">
        <f>VLOOKUP(C623,[1]products!$A:$B,2,0)</f>
        <v>Heller Shagamaw Frame - 2016</v>
      </c>
      <c r="I623">
        <f>VLOOKUP(H623,[1]products!$B:$D,3,0)</f>
        <v>6</v>
      </c>
      <c r="J623" t="str">
        <f>VLOOKUP(I623,[2]categories!$A$2:$B$8,2,0)</f>
        <v>Mountain Bikes</v>
      </c>
    </row>
    <row r="624" spans="1:10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 s="1">
        <f t="shared" si="9"/>
        <v>485.982</v>
      </c>
      <c r="H624" t="str">
        <f>VLOOKUP(C624,[1]products!$A:$B,2,0)</f>
        <v>Electra Cruiser 1 (24-Inch) - 2016</v>
      </c>
      <c r="I624">
        <f>VLOOKUP(H624,[1]products!$B:$D,3,0)</f>
        <v>3</v>
      </c>
      <c r="J624" t="str">
        <f>VLOOKUP(I624,[2]categories!$A$2:$B$8,2,0)</f>
        <v>Cruisers Bicycles</v>
      </c>
    </row>
    <row r="625" spans="1:10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 s="1">
        <f t="shared" si="9"/>
        <v>569.9905</v>
      </c>
      <c r="H625" t="str">
        <f>VLOOKUP(C625,[1]products!$A:$B,2,0)</f>
        <v>Electra Townie Original 7D EQ - Women's - 2016</v>
      </c>
      <c r="I625">
        <f>VLOOKUP(H625,[1]products!$B:$D,3,0)</f>
        <v>3</v>
      </c>
      <c r="J625" t="str">
        <f>VLOOKUP(I625,[2]categories!$A$2:$B$8,2,0)</f>
        <v>Cruisers Bicycles</v>
      </c>
    </row>
    <row r="626" spans="1:10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 s="1">
        <f t="shared" si="9"/>
        <v>503.4905</v>
      </c>
      <c r="H626" t="str">
        <f>VLOOKUP(C626,[1]products!$A:$B,2,0)</f>
        <v>Electra Moto 1 - 2016</v>
      </c>
      <c r="I626">
        <f>VLOOKUP(H626,[1]products!$B:$D,3,0)</f>
        <v>3</v>
      </c>
      <c r="J626" t="str">
        <f>VLOOKUP(I626,[2]categories!$A$2:$B$8,2,0)</f>
        <v>Cruisers Bicycles</v>
      </c>
    </row>
    <row r="627" spans="1:10">
      <c r="A627">
        <v>224</v>
      </c>
      <c r="B627">
        <v>1</v>
      </c>
      <c r="C627">
        <v>6</v>
      </c>
      <c r="D627">
        <v>1</v>
      </c>
      <c r="E627">
        <v>469.99</v>
      </c>
      <c r="F627">
        <v>0.07</v>
      </c>
      <c r="G627" s="1">
        <f t="shared" si="9"/>
        <v>437.0907</v>
      </c>
      <c r="H627" t="str">
        <f>VLOOKUP(C627,[1]products!$A:$B,2,0)</f>
        <v>Surly Ice Cream Truck Frameset - 2016</v>
      </c>
      <c r="I627">
        <f>VLOOKUP(H627,[1]products!$B:$D,3,0)</f>
        <v>6</v>
      </c>
      <c r="J627" t="str">
        <f>VLOOKUP(I627,[2]categories!$A$2:$B$8,2,0)</f>
        <v>Mountain Bikes</v>
      </c>
    </row>
    <row r="628" spans="1:10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 s="1">
        <f t="shared" si="9"/>
        <v>3025.782</v>
      </c>
      <c r="H628" t="str">
        <f>VLOOKUP(C628,[1]products!$A:$B,2,0)</f>
        <v>Surly Straggler 650b - 2016</v>
      </c>
      <c r="I628">
        <f>VLOOKUP(H628,[1]products!$B:$D,3,0)</f>
        <v>4</v>
      </c>
      <c r="J628" t="str">
        <f>VLOOKUP(I628,[2]categories!$A$2:$B$8,2,0)</f>
        <v>Cyclocross Bicycles</v>
      </c>
    </row>
    <row r="629" spans="1:10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 s="1">
        <f t="shared" si="9"/>
        <v>2478.4</v>
      </c>
      <c r="H629" t="str">
        <f>VLOOKUP(C629,[1]products!$A:$B,2,0)</f>
        <v>Surly Straggler - 2016</v>
      </c>
      <c r="I629">
        <f>VLOOKUP(H629,[1]products!$B:$D,3,0)</f>
        <v>4</v>
      </c>
      <c r="J629" t="str">
        <f>VLOOKUP(I629,[2]categories!$A$2:$B$8,2,0)</f>
        <v>Cyclocross Bicycles</v>
      </c>
    </row>
    <row r="630" spans="1:10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 s="1">
        <f t="shared" si="9"/>
        <v>474.9905</v>
      </c>
      <c r="H630" t="str">
        <f>VLOOKUP(C630,[1]products!$A:$B,2,0)</f>
        <v>Electra Townie Original 7D - 2015/2016</v>
      </c>
      <c r="I630">
        <f>VLOOKUP(H630,[1]products!$B:$D,3,0)</f>
        <v>2</v>
      </c>
      <c r="J630" t="str">
        <f>VLOOKUP(I630,[2]categories!$A$2:$B$8,2,0)</f>
        <v>Comfort Bicycles</v>
      </c>
    </row>
    <row r="631" spans="1:10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 s="1">
        <f t="shared" si="9"/>
        <v>242.991</v>
      </c>
      <c r="H631" t="str">
        <f>VLOOKUP(C631,[1]products!$A:$B,2,0)</f>
        <v>Electra Cruiser 1 (24-Inch) - 2016</v>
      </c>
      <c r="I631">
        <f>VLOOKUP(H631,[1]products!$B:$D,3,0)</f>
        <v>3</v>
      </c>
      <c r="J631" t="str">
        <f>VLOOKUP(I631,[2]categories!$A$2:$B$8,2,0)</f>
        <v>Cruisers Bicycles</v>
      </c>
    </row>
    <row r="632" spans="1:10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 s="1">
        <f t="shared" si="9"/>
        <v>2699.991</v>
      </c>
      <c r="H632" t="str">
        <f>VLOOKUP(C632,[1]products!$A:$B,2,0)</f>
        <v>Trek Conduit+ - 2016</v>
      </c>
      <c r="I632">
        <f>VLOOKUP(H632,[1]products!$B:$D,3,0)</f>
        <v>5</v>
      </c>
      <c r="J632" t="str">
        <f>VLOOKUP(I632,[2]categories!$A$2:$B$8,2,0)</f>
        <v>Electric Bikes</v>
      </c>
    </row>
    <row r="633" spans="1:10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 s="1">
        <f t="shared" si="9"/>
        <v>712.4905</v>
      </c>
      <c r="H633" t="str">
        <f>VLOOKUP(C633,[1]products!$A:$B,2,0)</f>
        <v>Ritchey Timberwolf Frameset - 2016</v>
      </c>
      <c r="I633">
        <f>VLOOKUP(H633,[1]products!$B:$D,3,0)</f>
        <v>6</v>
      </c>
      <c r="J633" t="str">
        <f>VLOOKUP(I633,[2]categories!$A$2:$B$8,2,0)</f>
        <v>Mountain Bikes</v>
      </c>
    </row>
    <row r="634" spans="1:10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 s="1">
        <f t="shared" si="9"/>
        <v>1899.981</v>
      </c>
      <c r="H634" t="str">
        <f>VLOOKUP(C634,[1]products!$A:$B,2,0)</f>
        <v>Surly Wednesday Frameset - 2016</v>
      </c>
      <c r="I634">
        <f>VLOOKUP(H634,[1]products!$B:$D,3,0)</f>
        <v>6</v>
      </c>
      <c r="J634" t="str">
        <f>VLOOKUP(I634,[2]categories!$A$2:$B$8,2,0)</f>
        <v>Mountain Bikes</v>
      </c>
    </row>
    <row r="635" spans="1:10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 s="1">
        <f t="shared" si="9"/>
        <v>953.982</v>
      </c>
      <c r="H635" t="str">
        <f>VLOOKUP(C635,[1]products!$A:$B,2,0)</f>
        <v>Electra Moto 1 - 2016</v>
      </c>
      <c r="I635">
        <f>VLOOKUP(H635,[1]products!$B:$D,3,0)</f>
        <v>3</v>
      </c>
      <c r="J635" t="str">
        <f>VLOOKUP(I635,[2]categories!$A$2:$B$8,2,0)</f>
        <v>Cruisers Bicycles</v>
      </c>
    </row>
    <row r="636" spans="1:10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 s="1">
        <f t="shared" si="9"/>
        <v>399.992</v>
      </c>
      <c r="H636" t="str">
        <f>VLOOKUP(C636,[1]products!$A:$B,2,0)</f>
        <v>Electra Townie Original 7D - 2015/2016</v>
      </c>
      <c r="I636">
        <f>VLOOKUP(H636,[1]products!$B:$D,3,0)</f>
        <v>2</v>
      </c>
      <c r="J636" t="str">
        <f>VLOOKUP(I636,[2]categories!$A$2:$B$8,2,0)</f>
        <v>Comfort Bicycles</v>
      </c>
    </row>
    <row r="637" spans="1:10">
      <c r="A637">
        <v>228</v>
      </c>
      <c r="B637">
        <v>2</v>
      </c>
      <c r="C637">
        <v>2</v>
      </c>
      <c r="D637">
        <v>2</v>
      </c>
      <c r="E637">
        <v>749.99</v>
      </c>
      <c r="F637">
        <v>0.07</v>
      </c>
      <c r="G637" s="1">
        <f t="shared" si="9"/>
        <v>1394.9814</v>
      </c>
      <c r="H637" t="str">
        <f>VLOOKUP(C637,[1]products!$A:$B,2,0)</f>
        <v>Ritchey Timberwolf Frameset - 2016</v>
      </c>
      <c r="I637">
        <f>VLOOKUP(H637,[1]products!$B:$D,3,0)</f>
        <v>6</v>
      </c>
      <c r="J637" t="str">
        <f>VLOOKUP(I637,[2]categories!$A$2:$B$8,2,0)</f>
        <v>Mountain Bikes</v>
      </c>
    </row>
    <row r="638" spans="1:10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 s="1">
        <f t="shared" si="9"/>
        <v>539.982</v>
      </c>
      <c r="H638" t="str">
        <f>VLOOKUP(C638,[1]products!$A:$B,2,0)</f>
        <v>Electra Girl's Hawaii 1 (20-inch) - 2015/2016</v>
      </c>
      <c r="I638">
        <f>VLOOKUP(H638,[1]products!$B:$D,3,0)</f>
        <v>1</v>
      </c>
      <c r="J638" t="str">
        <f>VLOOKUP(I638,[2]categories!$A$2:$B$8,2,0)</f>
        <v>Children Bicycles</v>
      </c>
    </row>
    <row r="639" spans="1:10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 s="1">
        <f t="shared" si="9"/>
        <v>2319.992</v>
      </c>
      <c r="H639" t="str">
        <f>VLOOKUP(C639,[1]products!$A:$B,2,0)</f>
        <v>Trek Fuel EX 8 29 - 2016</v>
      </c>
      <c r="I639">
        <f>VLOOKUP(H639,[1]products!$B:$D,3,0)</f>
        <v>6</v>
      </c>
      <c r="J639" t="str">
        <f>VLOOKUP(I639,[2]categories!$A$2:$B$8,2,0)</f>
        <v>Mountain Bikes</v>
      </c>
    </row>
    <row r="640" spans="1:10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 s="1">
        <f t="shared" si="9"/>
        <v>256.4905</v>
      </c>
      <c r="H640" t="str">
        <f>VLOOKUP(C640,[1]products!$A:$B,2,0)</f>
        <v>Electra Girl's Hawaii 1 (16-inch) - 2015/2016</v>
      </c>
      <c r="I640">
        <f>VLOOKUP(H640,[1]products!$B:$D,3,0)</f>
        <v>3</v>
      </c>
      <c r="J640" t="str">
        <f>VLOOKUP(I640,[2]categories!$A$2:$B$8,2,0)</f>
        <v>Cruisers Bicycles</v>
      </c>
    </row>
    <row r="641" spans="1:10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 s="1">
        <f t="shared" si="9"/>
        <v>799.984</v>
      </c>
      <c r="H641" t="str">
        <f>VLOOKUP(C641,[1]products!$A:$B,2,0)</f>
        <v>Electra Townie Original 7D - 2015/2016</v>
      </c>
      <c r="I641">
        <f>VLOOKUP(H641,[1]products!$B:$D,3,0)</f>
        <v>2</v>
      </c>
      <c r="J641" t="str">
        <f>VLOOKUP(I641,[2]categories!$A$2:$B$8,2,0)</f>
        <v>Comfort Bicycles</v>
      </c>
    </row>
    <row r="642" spans="1:10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 s="1">
        <f t="shared" ref="G642:G705" si="10">D642*E642*(1-F642)</f>
        <v>2377.782</v>
      </c>
      <c r="H642" t="str">
        <f>VLOOKUP(C642,[1]products!$A:$B,2,0)</f>
        <v>Heller Shagamaw Frame - 2016</v>
      </c>
      <c r="I642">
        <f>VLOOKUP(H642,[1]products!$B:$D,3,0)</f>
        <v>6</v>
      </c>
      <c r="J642" t="str">
        <f>VLOOKUP(I642,[2]categories!$A$2:$B$8,2,0)</f>
        <v>Mountain Bikes</v>
      </c>
    </row>
    <row r="643" spans="1:10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 s="1">
        <f t="shared" si="10"/>
        <v>1439.992</v>
      </c>
      <c r="H643" t="str">
        <f>VLOOKUP(C643,[1]products!$A:$B,2,0)</f>
        <v>Trek Remedy 29 Carbon Frameset - 2016</v>
      </c>
      <c r="I643">
        <f>VLOOKUP(H643,[1]products!$B:$D,3,0)</f>
        <v>6</v>
      </c>
      <c r="J643" t="str">
        <f>VLOOKUP(I643,[2]categories!$A$2:$B$8,2,0)</f>
        <v>Mountain Bikes</v>
      </c>
    </row>
    <row r="644" spans="1:10">
      <c r="A644">
        <v>230</v>
      </c>
      <c r="B644">
        <v>1</v>
      </c>
      <c r="C644">
        <v>11</v>
      </c>
      <c r="D644">
        <v>2</v>
      </c>
      <c r="E644">
        <v>1680.99</v>
      </c>
      <c r="F644">
        <v>0.07</v>
      </c>
      <c r="G644" s="1">
        <f t="shared" si="10"/>
        <v>3126.6414</v>
      </c>
      <c r="H644" t="str">
        <f>VLOOKUP(C644,[1]products!$A:$B,2,0)</f>
        <v>Surly Straggler 650b - 2016</v>
      </c>
      <c r="I644">
        <f>VLOOKUP(H644,[1]products!$B:$D,3,0)</f>
        <v>4</v>
      </c>
      <c r="J644" t="str">
        <f>VLOOKUP(I644,[2]categories!$A$2:$B$8,2,0)</f>
        <v>Cyclocross Bicycles</v>
      </c>
    </row>
    <row r="645" spans="1:10">
      <c r="A645">
        <v>231</v>
      </c>
      <c r="B645">
        <v>1</v>
      </c>
      <c r="C645">
        <v>8</v>
      </c>
      <c r="D645">
        <v>2</v>
      </c>
      <c r="E645">
        <v>1799.99</v>
      </c>
      <c r="F645">
        <v>0.07</v>
      </c>
      <c r="G645" s="1">
        <f t="shared" si="10"/>
        <v>3347.9814</v>
      </c>
      <c r="H645" t="str">
        <f>VLOOKUP(C645,[1]products!$A:$B,2,0)</f>
        <v>Trek Remedy 29 Carbon Frameset - 2016</v>
      </c>
      <c r="I645">
        <f>VLOOKUP(H645,[1]products!$B:$D,3,0)</f>
        <v>6</v>
      </c>
      <c r="J645" t="str">
        <f>VLOOKUP(I645,[2]categories!$A$2:$B$8,2,0)</f>
        <v>Mountain Bikes</v>
      </c>
    </row>
    <row r="646" spans="1:10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 s="1">
        <f t="shared" si="10"/>
        <v>431.984</v>
      </c>
      <c r="H646" t="str">
        <f>VLOOKUP(C646,[1]products!$A:$B,2,0)</f>
        <v>Electra Girl's Hawaii 1 (16-inch) - 2015/2016</v>
      </c>
      <c r="I646">
        <f>VLOOKUP(H646,[1]products!$B:$D,3,0)</f>
        <v>3</v>
      </c>
      <c r="J646" t="str">
        <f>VLOOKUP(I646,[2]categories!$A$2:$B$8,2,0)</f>
        <v>Cruisers Bicycles</v>
      </c>
    </row>
    <row r="647" spans="1:10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 s="1">
        <f t="shared" si="10"/>
        <v>2113.584</v>
      </c>
      <c r="H647" t="str">
        <f>VLOOKUP(C647,[1]products!$A:$B,2,0)</f>
        <v>Heller Shagamaw Frame - 2016</v>
      </c>
      <c r="I647">
        <f>VLOOKUP(H647,[1]products!$B:$D,3,0)</f>
        <v>6</v>
      </c>
      <c r="J647" t="str">
        <f>VLOOKUP(I647,[2]categories!$A$2:$B$8,2,0)</f>
        <v>Mountain Bikes</v>
      </c>
    </row>
    <row r="648" spans="1:10">
      <c r="A648">
        <v>232</v>
      </c>
      <c r="B648">
        <v>1</v>
      </c>
      <c r="C648">
        <v>18</v>
      </c>
      <c r="D648">
        <v>1</v>
      </c>
      <c r="E648">
        <v>449</v>
      </c>
      <c r="F648">
        <v>0.07</v>
      </c>
      <c r="G648" s="1">
        <f t="shared" si="10"/>
        <v>417.57</v>
      </c>
      <c r="H648" t="str">
        <f>VLOOKUP(C648,[1]products!$A:$B,2,0)</f>
        <v>Pure Cycles Western 3-Speed - Women's - 2015/2016</v>
      </c>
      <c r="I648">
        <f>VLOOKUP(H648,[1]products!$B:$D,3,0)</f>
        <v>3</v>
      </c>
      <c r="J648" t="str">
        <f>VLOOKUP(I648,[2]categories!$A$2:$B$8,2,0)</f>
        <v>Cruisers Bicycles</v>
      </c>
    </row>
    <row r="649" spans="1:10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 s="1">
        <f t="shared" si="10"/>
        <v>3193.881</v>
      </c>
      <c r="H649" t="str">
        <f>VLOOKUP(C649,[1]products!$A:$B,2,0)</f>
        <v>Surly Straggler 650b - 2016</v>
      </c>
      <c r="I649">
        <f>VLOOKUP(H649,[1]products!$B:$D,3,0)</f>
        <v>4</v>
      </c>
      <c r="J649" t="str">
        <f>VLOOKUP(I649,[2]categories!$A$2:$B$8,2,0)</f>
        <v>Cyclocross Bicycles</v>
      </c>
    </row>
    <row r="650" spans="1:10">
      <c r="A650">
        <v>232</v>
      </c>
      <c r="B650">
        <v>3</v>
      </c>
      <c r="C650">
        <v>26</v>
      </c>
      <c r="D650">
        <v>2</v>
      </c>
      <c r="E650">
        <v>599.99</v>
      </c>
      <c r="F650">
        <v>0.07</v>
      </c>
      <c r="G650" s="1">
        <f t="shared" si="10"/>
        <v>1115.9814</v>
      </c>
      <c r="H650" t="str">
        <f>VLOOKUP(C650,[1]products!$A:$B,2,0)</f>
        <v>Electra Townie Original 7D EQ - 2016</v>
      </c>
      <c r="I650">
        <f>VLOOKUP(H650,[1]products!$B:$D,3,0)</f>
        <v>3</v>
      </c>
      <c r="J650" t="str">
        <f>VLOOKUP(I650,[2]categories!$A$2:$B$8,2,0)</f>
        <v>Cruisers Bicycles</v>
      </c>
    </row>
    <row r="651" spans="1:10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 s="1">
        <f t="shared" si="10"/>
        <v>3239.982</v>
      </c>
      <c r="H651" t="str">
        <f>VLOOKUP(C651,[1]products!$A:$B,2,0)</f>
        <v>Trek Remedy 29 Carbon Frameset - 2016</v>
      </c>
      <c r="I651">
        <f>VLOOKUP(H651,[1]products!$B:$D,3,0)</f>
        <v>6</v>
      </c>
      <c r="J651" t="str">
        <f>VLOOKUP(I651,[2]categories!$A$2:$B$8,2,0)</f>
        <v>Mountain Bikes</v>
      </c>
    </row>
    <row r="652" spans="1:10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 s="1">
        <f t="shared" si="10"/>
        <v>242.991</v>
      </c>
      <c r="H652" t="str">
        <f>VLOOKUP(C652,[1]products!$A:$B,2,0)</f>
        <v>Electra Girl's Hawaii 1 (16-inch) - 2015/2016</v>
      </c>
      <c r="I652">
        <f>VLOOKUP(H652,[1]products!$B:$D,3,0)</f>
        <v>3</v>
      </c>
      <c r="J652" t="str">
        <f>VLOOKUP(I652,[2]categories!$A$2:$B$8,2,0)</f>
        <v>Cruisers Bicycles</v>
      </c>
    </row>
    <row r="653" spans="1:10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 s="1">
        <f t="shared" si="10"/>
        <v>1079.982</v>
      </c>
      <c r="H653" t="str">
        <f>VLOOKUP(C653,[1]products!$A:$B,2,0)</f>
        <v>Electra Townie Original 7D EQ - 2016</v>
      </c>
      <c r="I653">
        <f>VLOOKUP(H653,[1]products!$B:$D,3,0)</f>
        <v>3</v>
      </c>
      <c r="J653" t="str">
        <f>VLOOKUP(I653,[2]categories!$A$2:$B$8,2,0)</f>
        <v>Cruisers Bicycles</v>
      </c>
    </row>
    <row r="654" spans="1:10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 s="1">
        <f t="shared" si="10"/>
        <v>439.992</v>
      </c>
      <c r="H654" t="str">
        <f>VLOOKUP(C654,[1]products!$A:$B,2,0)</f>
        <v>Electra Townie Original 21D - 2016</v>
      </c>
      <c r="I654">
        <f>VLOOKUP(H654,[1]products!$B:$D,3,0)</f>
        <v>3</v>
      </c>
      <c r="J654" t="str">
        <f>VLOOKUP(I654,[2]categories!$A$2:$B$8,2,0)</f>
        <v>Cruisers Bicycles</v>
      </c>
    </row>
    <row r="655" spans="1:10">
      <c r="A655">
        <v>233</v>
      </c>
      <c r="B655">
        <v>4</v>
      </c>
      <c r="C655">
        <v>15</v>
      </c>
      <c r="D655">
        <v>2</v>
      </c>
      <c r="E655">
        <v>529.99</v>
      </c>
      <c r="F655">
        <v>0.07</v>
      </c>
      <c r="G655" s="1">
        <f t="shared" si="10"/>
        <v>985.7814</v>
      </c>
      <c r="H655" t="str">
        <f>VLOOKUP(C655,[1]products!$A:$B,2,0)</f>
        <v>Electra Moto 1 - 2016</v>
      </c>
      <c r="I655">
        <f>VLOOKUP(H655,[1]products!$B:$D,3,0)</f>
        <v>3</v>
      </c>
      <c r="J655" t="str">
        <f>VLOOKUP(I655,[2]categories!$A$2:$B$8,2,0)</f>
        <v>Cruisers Bicycles</v>
      </c>
    </row>
    <row r="656" spans="1:10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 s="1">
        <f t="shared" si="10"/>
        <v>2689.584</v>
      </c>
      <c r="H656" t="str">
        <f>VLOOKUP(C656,[1]products!$A:$B,2,0)</f>
        <v>Surly Straggler 650b - 2016</v>
      </c>
      <c r="I656">
        <f>VLOOKUP(H656,[1]products!$B:$D,3,0)</f>
        <v>4</v>
      </c>
      <c r="J656" t="str">
        <f>VLOOKUP(I656,[2]categories!$A$2:$B$8,2,0)</f>
        <v>Cyclocross Bicycles</v>
      </c>
    </row>
    <row r="657" spans="1:10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 s="1">
        <f t="shared" si="10"/>
        <v>815.1</v>
      </c>
      <c r="H657" t="str">
        <f>VLOOKUP(C657,[1]products!$A:$B,2,0)</f>
        <v>Pure Cycles Vine 8-Speed - 2016</v>
      </c>
      <c r="I657">
        <f>VLOOKUP(H657,[1]products!$B:$D,3,0)</f>
        <v>3</v>
      </c>
      <c r="J657" t="str">
        <f>VLOOKUP(I657,[2]categories!$A$2:$B$8,2,0)</f>
        <v>Cruisers Bicycles</v>
      </c>
    </row>
    <row r="658" spans="1:10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 s="1">
        <f t="shared" si="10"/>
        <v>494.991</v>
      </c>
      <c r="H658" t="str">
        <f>VLOOKUP(C658,[1]products!$A:$B,2,0)</f>
        <v>Electra Townie Original 21D - 2016</v>
      </c>
      <c r="I658">
        <f>VLOOKUP(H658,[1]products!$B:$D,3,0)</f>
        <v>3</v>
      </c>
      <c r="J658" t="str">
        <f>VLOOKUP(I658,[2]categories!$A$2:$B$8,2,0)</f>
        <v>Cruisers Bicycles</v>
      </c>
    </row>
    <row r="659" spans="1:10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 s="1">
        <f t="shared" si="10"/>
        <v>3799.9905</v>
      </c>
      <c r="H659" t="str">
        <f>VLOOKUP(C659,[1]products!$A:$B,2,0)</f>
        <v>Trek Slash 8 27.5 - 2016</v>
      </c>
      <c r="I659">
        <f>VLOOKUP(H659,[1]products!$B:$D,3,0)</f>
        <v>6</v>
      </c>
      <c r="J659" t="str">
        <f>VLOOKUP(I659,[2]categories!$A$2:$B$8,2,0)</f>
        <v>Mountain Bikes</v>
      </c>
    </row>
    <row r="660" spans="1:10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 s="1">
        <f t="shared" si="10"/>
        <v>269.991</v>
      </c>
      <c r="H660" t="str">
        <f>VLOOKUP(C660,[1]products!$A:$B,2,0)</f>
        <v>Electra Girl's Hawaii 1 (20-inch) - 2015/2016</v>
      </c>
      <c r="I660">
        <f>VLOOKUP(H660,[1]products!$B:$D,3,0)</f>
        <v>1</v>
      </c>
      <c r="J660" t="str">
        <f>VLOOKUP(I660,[2]categories!$A$2:$B$8,2,0)</f>
        <v>Children Bicycles</v>
      </c>
    </row>
    <row r="661" spans="1:10">
      <c r="A661">
        <v>235</v>
      </c>
      <c r="B661">
        <v>1</v>
      </c>
      <c r="C661">
        <v>6</v>
      </c>
      <c r="D661">
        <v>1</v>
      </c>
      <c r="E661">
        <v>469.99</v>
      </c>
      <c r="F661">
        <v>0.07</v>
      </c>
      <c r="G661" s="1">
        <f t="shared" si="10"/>
        <v>437.0907</v>
      </c>
      <c r="H661" t="str">
        <f>VLOOKUP(C661,[1]products!$A:$B,2,0)</f>
        <v>Surly Ice Cream Truck Frameset - 2016</v>
      </c>
      <c r="I661">
        <f>VLOOKUP(H661,[1]products!$B:$D,3,0)</f>
        <v>6</v>
      </c>
      <c r="J661" t="str">
        <f>VLOOKUP(I661,[2]categories!$A$2:$B$8,2,0)</f>
        <v>Mountain Bikes</v>
      </c>
    </row>
    <row r="662" spans="1:10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 s="1">
        <f t="shared" si="10"/>
        <v>512.981</v>
      </c>
      <c r="H662" t="str">
        <f>VLOOKUP(C662,[1]products!$A:$B,2,0)</f>
        <v>Electra Cruiser 1 (24-Inch) - 2016</v>
      </c>
      <c r="I662">
        <f>VLOOKUP(H662,[1]products!$B:$D,3,0)</f>
        <v>3</v>
      </c>
      <c r="J662" t="str">
        <f>VLOOKUP(I662,[2]categories!$A$2:$B$8,2,0)</f>
        <v>Cruisers Bicycles</v>
      </c>
    </row>
    <row r="663" spans="1:10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 s="1">
        <f t="shared" si="10"/>
        <v>7599.981</v>
      </c>
      <c r="H663" t="str">
        <f>VLOOKUP(C663,[1]products!$A:$B,2,0)</f>
        <v>Trek Slash 8 27.5 - 2016</v>
      </c>
      <c r="I663">
        <f>VLOOKUP(H663,[1]products!$B:$D,3,0)</f>
        <v>6</v>
      </c>
      <c r="J663" t="str">
        <f>VLOOKUP(I663,[2]categories!$A$2:$B$8,2,0)</f>
        <v>Mountain Bikes</v>
      </c>
    </row>
    <row r="664" spans="1:10">
      <c r="A664">
        <v>236</v>
      </c>
      <c r="B664">
        <v>1</v>
      </c>
      <c r="C664">
        <v>3</v>
      </c>
      <c r="D664">
        <v>2</v>
      </c>
      <c r="E664">
        <v>999.99</v>
      </c>
      <c r="F664">
        <v>0.07</v>
      </c>
      <c r="G664" s="1">
        <f t="shared" si="10"/>
        <v>1859.9814</v>
      </c>
      <c r="H664" t="str">
        <f>VLOOKUP(C664,[1]products!$A:$B,2,0)</f>
        <v>Surly Wednesday Frameset - 2016</v>
      </c>
      <c r="I664">
        <f>VLOOKUP(H664,[1]products!$B:$D,3,0)</f>
        <v>6</v>
      </c>
      <c r="J664" t="str">
        <f>VLOOKUP(I664,[2]categories!$A$2:$B$8,2,0)</f>
        <v>Mountain Bikes</v>
      </c>
    </row>
    <row r="665" spans="1:10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 s="1">
        <f t="shared" si="10"/>
        <v>1349.982</v>
      </c>
      <c r="H665" t="str">
        <f>VLOOKUP(C665,[1]products!$A:$B,2,0)</f>
        <v>Ritchey Timberwolf Frameset - 2016</v>
      </c>
      <c r="I665">
        <f>VLOOKUP(H665,[1]products!$B:$D,3,0)</f>
        <v>6</v>
      </c>
      <c r="J665" t="str">
        <f>VLOOKUP(I665,[2]categories!$A$2:$B$8,2,0)</f>
        <v>Mountain Bikes</v>
      </c>
    </row>
    <row r="666" spans="1:10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 s="1">
        <f t="shared" si="10"/>
        <v>5219.982</v>
      </c>
      <c r="H666" t="str">
        <f>VLOOKUP(C666,[1]products!$A:$B,2,0)</f>
        <v>Trek Fuel EX 8 29 - 2016</v>
      </c>
      <c r="I666">
        <f>VLOOKUP(H666,[1]products!$B:$D,3,0)</f>
        <v>6</v>
      </c>
      <c r="J666" t="str">
        <f>VLOOKUP(I666,[2]categories!$A$2:$B$8,2,0)</f>
        <v>Mountain Bikes</v>
      </c>
    </row>
    <row r="667" spans="1:10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 s="1">
        <f t="shared" si="10"/>
        <v>423.992</v>
      </c>
      <c r="H667" t="str">
        <f>VLOOKUP(C667,[1]products!$A:$B,2,0)</f>
        <v>Electra Moto 1 - 2016</v>
      </c>
      <c r="I667">
        <f>VLOOKUP(H667,[1]products!$B:$D,3,0)</f>
        <v>3</v>
      </c>
      <c r="J667" t="str">
        <f>VLOOKUP(I667,[2]categories!$A$2:$B$8,2,0)</f>
        <v>Cruisers Bicycles</v>
      </c>
    </row>
    <row r="668" spans="1:10">
      <c r="A668">
        <v>237</v>
      </c>
      <c r="B668">
        <v>2</v>
      </c>
      <c r="C668">
        <v>24</v>
      </c>
      <c r="D668">
        <v>1</v>
      </c>
      <c r="E668">
        <v>549.99</v>
      </c>
      <c r="F668">
        <v>0.07</v>
      </c>
      <c r="G668" s="1">
        <f t="shared" si="10"/>
        <v>511.4907</v>
      </c>
      <c r="H668" t="str">
        <f>VLOOKUP(C668,[1]products!$A:$B,2,0)</f>
        <v>Electra Townie Original 21D - 2016</v>
      </c>
      <c r="I668">
        <f>VLOOKUP(H668,[1]products!$B:$D,3,0)</f>
        <v>3</v>
      </c>
      <c r="J668" t="str">
        <f>VLOOKUP(I668,[2]categories!$A$2:$B$8,2,0)</f>
        <v>Cruisers Bicycles</v>
      </c>
    </row>
    <row r="669" spans="1:10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 s="1">
        <f t="shared" si="10"/>
        <v>959.984</v>
      </c>
      <c r="H669" t="str">
        <f>VLOOKUP(C669,[1]products!$A:$B,2,0)</f>
        <v>Electra Townie Original 7D EQ - Women's - 2016</v>
      </c>
      <c r="I669">
        <f>VLOOKUP(H669,[1]products!$B:$D,3,0)</f>
        <v>3</v>
      </c>
      <c r="J669" t="str">
        <f>VLOOKUP(I669,[2]categories!$A$2:$B$8,2,0)</f>
        <v>Cruisers Bicycles</v>
      </c>
    </row>
    <row r="670" spans="1:10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 s="1">
        <f t="shared" si="10"/>
        <v>569.9905</v>
      </c>
      <c r="H670" t="str">
        <f>VLOOKUP(C670,[1]products!$A:$B,2,0)</f>
        <v>Electra Townie Original 7D EQ - 2016</v>
      </c>
      <c r="I670">
        <f>VLOOKUP(H670,[1]products!$B:$D,3,0)</f>
        <v>3</v>
      </c>
      <c r="J670" t="str">
        <f>VLOOKUP(I670,[2]categories!$A$2:$B$8,2,0)</f>
        <v>Cruisers Bicycles</v>
      </c>
    </row>
    <row r="671" spans="1:10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 s="1">
        <f t="shared" si="10"/>
        <v>959.984</v>
      </c>
      <c r="H671" t="str">
        <f>VLOOKUP(C671,[1]products!$A:$B,2,0)</f>
        <v>Electra Townie Original 7D EQ - Women's - 2016</v>
      </c>
      <c r="I671">
        <f>VLOOKUP(H671,[1]products!$B:$D,3,0)</f>
        <v>3</v>
      </c>
      <c r="J671" t="str">
        <f>VLOOKUP(I671,[2]categories!$A$2:$B$8,2,0)</f>
        <v>Cruisers Bicycles</v>
      </c>
    </row>
    <row r="672" spans="1:10">
      <c r="A672">
        <v>238</v>
      </c>
      <c r="B672">
        <v>2</v>
      </c>
      <c r="C672">
        <v>25</v>
      </c>
      <c r="D672">
        <v>1</v>
      </c>
      <c r="E672">
        <v>499.99</v>
      </c>
      <c r="F672">
        <v>0.07</v>
      </c>
      <c r="G672" s="1">
        <f t="shared" si="10"/>
        <v>464.9907</v>
      </c>
      <c r="H672" t="str">
        <f>VLOOKUP(C672,[1]products!$A:$B,2,0)</f>
        <v>Electra Townie Original 7D - 2015/2016</v>
      </c>
      <c r="I672">
        <f>VLOOKUP(H672,[1]products!$B:$D,3,0)</f>
        <v>2</v>
      </c>
      <c r="J672" t="str">
        <f>VLOOKUP(I672,[2]categories!$A$2:$B$8,2,0)</f>
        <v>Comfort Bicycles</v>
      </c>
    </row>
    <row r="673" spans="1:10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 s="1">
        <f t="shared" si="10"/>
        <v>431.984</v>
      </c>
      <c r="H673" t="str">
        <f>VLOOKUP(C673,[1]products!$A:$B,2,0)</f>
        <v>Electra Cruiser 1 (24-Inch) - 2016</v>
      </c>
      <c r="I673">
        <f>VLOOKUP(H673,[1]products!$B:$D,3,0)</f>
        <v>3</v>
      </c>
      <c r="J673" t="str">
        <f>VLOOKUP(I673,[2]categories!$A$2:$B$8,2,0)</f>
        <v>Cruisers Bicycles</v>
      </c>
    </row>
    <row r="674" spans="1:10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 s="1">
        <f t="shared" si="10"/>
        <v>512.981</v>
      </c>
      <c r="H674" t="str">
        <f>VLOOKUP(C674,[1]products!$A:$B,2,0)</f>
        <v>Electra Girl's Hawaii 1 (16-inch) - 2015/2016</v>
      </c>
      <c r="I674">
        <f>VLOOKUP(H674,[1]products!$B:$D,3,0)</f>
        <v>3</v>
      </c>
      <c r="J674" t="str">
        <f>VLOOKUP(I674,[2]categories!$A$2:$B$8,2,0)</f>
        <v>Cruisers Bicycles</v>
      </c>
    </row>
    <row r="675" spans="1:10">
      <c r="A675">
        <v>238</v>
      </c>
      <c r="B675">
        <v>5</v>
      </c>
      <c r="C675">
        <v>7</v>
      </c>
      <c r="D675">
        <v>1</v>
      </c>
      <c r="E675">
        <v>3999.99</v>
      </c>
      <c r="F675">
        <v>0.07</v>
      </c>
      <c r="G675" s="1">
        <f t="shared" si="10"/>
        <v>3719.9907</v>
      </c>
      <c r="H675" t="str">
        <f>VLOOKUP(C675,[1]products!$A:$B,2,0)</f>
        <v>Trek Slash 8 27.5 - 2016</v>
      </c>
      <c r="I675">
        <f>VLOOKUP(H675,[1]products!$B:$D,3,0)</f>
        <v>6</v>
      </c>
      <c r="J675" t="str">
        <f>VLOOKUP(I675,[2]categories!$A$2:$B$8,2,0)</f>
        <v>Mountain Bikes</v>
      </c>
    </row>
    <row r="676" spans="1:10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 s="1">
        <f t="shared" si="10"/>
        <v>1079.982</v>
      </c>
      <c r="H676" t="str">
        <f>VLOOKUP(C676,[1]products!$A:$B,2,0)</f>
        <v>Electra Townie Original 7D EQ - 2016</v>
      </c>
      <c r="I676">
        <f>VLOOKUP(H676,[1]products!$B:$D,3,0)</f>
        <v>3</v>
      </c>
      <c r="J676" t="str">
        <f>VLOOKUP(I676,[2]categories!$A$2:$B$8,2,0)</f>
        <v>Cruisers Bicycles</v>
      </c>
    </row>
    <row r="677" spans="1:10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 s="1">
        <f t="shared" si="10"/>
        <v>512.981</v>
      </c>
      <c r="H677" t="str">
        <f>VLOOKUP(C677,[1]products!$A:$B,2,0)</f>
        <v>Electra Cruiser 1 (24-Inch) - 2016</v>
      </c>
      <c r="I677">
        <f>VLOOKUP(H677,[1]products!$B:$D,3,0)</f>
        <v>3</v>
      </c>
      <c r="J677" t="str">
        <f>VLOOKUP(I677,[2]categories!$A$2:$B$8,2,0)</f>
        <v>Cruisers Bicycles</v>
      </c>
    </row>
    <row r="678" spans="1:10">
      <c r="A678">
        <v>239</v>
      </c>
      <c r="B678">
        <v>3</v>
      </c>
      <c r="C678">
        <v>18</v>
      </c>
      <c r="D678">
        <v>1</v>
      </c>
      <c r="E678">
        <v>449</v>
      </c>
      <c r="F678">
        <v>0.07</v>
      </c>
      <c r="G678" s="1">
        <f t="shared" si="10"/>
        <v>417.57</v>
      </c>
      <c r="H678" t="str">
        <f>VLOOKUP(C678,[1]products!$A:$B,2,0)</f>
        <v>Pure Cycles Western 3-Speed - Women's - 2015/2016</v>
      </c>
      <c r="I678">
        <f>VLOOKUP(H678,[1]products!$B:$D,3,0)</f>
        <v>3</v>
      </c>
      <c r="J678" t="str">
        <f>VLOOKUP(I678,[2]categories!$A$2:$B$8,2,0)</f>
        <v>Cruisers Bicycles</v>
      </c>
    </row>
    <row r="679" spans="1:10">
      <c r="A679">
        <v>239</v>
      </c>
      <c r="B679">
        <v>4</v>
      </c>
      <c r="C679">
        <v>4</v>
      </c>
      <c r="D679">
        <v>2</v>
      </c>
      <c r="E679">
        <v>2899.99</v>
      </c>
      <c r="F679">
        <v>0.07</v>
      </c>
      <c r="G679" s="1">
        <f t="shared" si="10"/>
        <v>5393.9814</v>
      </c>
      <c r="H679" t="str">
        <f>VLOOKUP(C679,[1]products!$A:$B,2,0)</f>
        <v>Trek Fuel EX 8 29 - 2016</v>
      </c>
      <c r="I679">
        <f>VLOOKUP(H679,[1]products!$B:$D,3,0)</f>
        <v>6</v>
      </c>
      <c r="J679" t="str">
        <f>VLOOKUP(I679,[2]categories!$A$2:$B$8,2,0)</f>
        <v>Mountain Bikes</v>
      </c>
    </row>
    <row r="680" spans="1:10">
      <c r="A680">
        <v>240</v>
      </c>
      <c r="B680">
        <v>1</v>
      </c>
      <c r="C680">
        <v>9</v>
      </c>
      <c r="D680">
        <v>1</v>
      </c>
      <c r="E680">
        <v>2999.99</v>
      </c>
      <c r="F680">
        <v>0.07</v>
      </c>
      <c r="G680" s="1">
        <f t="shared" si="10"/>
        <v>2789.9907</v>
      </c>
      <c r="H680" t="str">
        <f>VLOOKUP(C680,[1]products!$A:$B,2,0)</f>
        <v>Trek Conduit+ - 2016</v>
      </c>
      <c r="I680">
        <f>VLOOKUP(H680,[1]products!$B:$D,3,0)</f>
        <v>5</v>
      </c>
      <c r="J680" t="str">
        <f>VLOOKUP(I680,[2]categories!$A$2:$B$8,2,0)</f>
        <v>Electric Bikes</v>
      </c>
    </row>
    <row r="681" spans="1:10">
      <c r="A681">
        <v>240</v>
      </c>
      <c r="B681">
        <v>2</v>
      </c>
      <c r="C681">
        <v>8</v>
      </c>
      <c r="D681">
        <v>1</v>
      </c>
      <c r="E681">
        <v>1799.99</v>
      </c>
      <c r="F681">
        <v>0.07</v>
      </c>
      <c r="G681" s="1">
        <f t="shared" si="10"/>
        <v>1673.9907</v>
      </c>
      <c r="H681" t="str">
        <f>VLOOKUP(C681,[1]products!$A:$B,2,0)</f>
        <v>Trek Remedy 29 Carbon Frameset - 2016</v>
      </c>
      <c r="I681">
        <f>VLOOKUP(H681,[1]products!$B:$D,3,0)</f>
        <v>6</v>
      </c>
      <c r="J681" t="str">
        <f>VLOOKUP(I681,[2]categories!$A$2:$B$8,2,0)</f>
        <v>Mountain Bikes</v>
      </c>
    </row>
    <row r="682" spans="1:10">
      <c r="A682">
        <v>240</v>
      </c>
      <c r="B682">
        <v>3</v>
      </c>
      <c r="C682">
        <v>5</v>
      </c>
      <c r="D682">
        <v>1</v>
      </c>
      <c r="E682">
        <v>1320.99</v>
      </c>
      <c r="F682">
        <v>0.07</v>
      </c>
      <c r="G682" s="1">
        <f t="shared" si="10"/>
        <v>1228.5207</v>
      </c>
      <c r="H682" t="str">
        <f>VLOOKUP(C682,[1]products!$A:$B,2,0)</f>
        <v>Heller Shagamaw Frame - 2016</v>
      </c>
      <c r="I682">
        <f>VLOOKUP(H682,[1]products!$B:$D,3,0)</f>
        <v>6</v>
      </c>
      <c r="J682" t="str">
        <f>VLOOKUP(I682,[2]categories!$A$2:$B$8,2,0)</f>
        <v>Mountain Bikes</v>
      </c>
    </row>
    <row r="683" spans="1:10">
      <c r="A683">
        <v>240</v>
      </c>
      <c r="B683">
        <v>4</v>
      </c>
      <c r="C683">
        <v>18</v>
      </c>
      <c r="D683">
        <v>2</v>
      </c>
      <c r="E683">
        <v>449</v>
      </c>
      <c r="F683">
        <v>0.07</v>
      </c>
      <c r="G683" s="1">
        <f t="shared" si="10"/>
        <v>835.14</v>
      </c>
      <c r="H683" t="str">
        <f>VLOOKUP(C683,[1]products!$A:$B,2,0)</f>
        <v>Pure Cycles Western 3-Speed - Women's - 2015/2016</v>
      </c>
      <c r="I683">
        <f>VLOOKUP(H683,[1]products!$B:$D,3,0)</f>
        <v>3</v>
      </c>
      <c r="J683" t="str">
        <f>VLOOKUP(I683,[2]categories!$A$2:$B$8,2,0)</f>
        <v>Cruisers Bicycles</v>
      </c>
    </row>
    <row r="684" spans="1:10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 s="1">
        <f t="shared" si="10"/>
        <v>3199.992</v>
      </c>
      <c r="H684" t="str">
        <f>VLOOKUP(C684,[1]products!$A:$B,2,0)</f>
        <v>Trek Slash 8 27.5 - 2016</v>
      </c>
      <c r="I684">
        <f>VLOOKUP(H684,[1]products!$B:$D,3,0)</f>
        <v>6</v>
      </c>
      <c r="J684" t="str">
        <f>VLOOKUP(I684,[2]categories!$A$2:$B$8,2,0)</f>
        <v>Mountain Bikes</v>
      </c>
    </row>
    <row r="685" spans="1:10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 s="1">
        <f t="shared" si="10"/>
        <v>799.992</v>
      </c>
      <c r="H685" t="str">
        <f>VLOOKUP(C685,[1]products!$A:$B,2,0)</f>
        <v>Surly Wednesday Frameset - 2016</v>
      </c>
      <c r="I685">
        <f>VLOOKUP(H685,[1]products!$B:$D,3,0)</f>
        <v>6</v>
      </c>
      <c r="J685" t="str">
        <f>VLOOKUP(I685,[2]categories!$A$2:$B$8,2,0)</f>
        <v>Mountain Bikes</v>
      </c>
    </row>
    <row r="686" spans="1:10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 s="1">
        <f t="shared" si="10"/>
        <v>949.981</v>
      </c>
      <c r="H686" t="str">
        <f>VLOOKUP(C686,[1]products!$A:$B,2,0)</f>
        <v>Electra Townie Original 7D - 2015/2016</v>
      </c>
      <c r="I686">
        <f>VLOOKUP(H686,[1]products!$B:$D,3,0)</f>
        <v>2</v>
      </c>
      <c r="J686" t="str">
        <f>VLOOKUP(I686,[2]categories!$A$2:$B$8,2,0)</f>
        <v>Comfort Bicycles</v>
      </c>
    </row>
    <row r="687" spans="1:10">
      <c r="A687">
        <v>243</v>
      </c>
      <c r="B687">
        <v>2</v>
      </c>
      <c r="C687">
        <v>19</v>
      </c>
      <c r="D687">
        <v>2</v>
      </c>
      <c r="E687">
        <v>449</v>
      </c>
      <c r="F687">
        <v>0.07</v>
      </c>
      <c r="G687" s="1">
        <f t="shared" si="10"/>
        <v>835.14</v>
      </c>
      <c r="H687" t="str">
        <f>VLOOKUP(C687,[1]products!$A:$B,2,0)</f>
        <v>Pure Cycles William 3-Speed - 2016</v>
      </c>
      <c r="I687">
        <f>VLOOKUP(H687,[1]products!$B:$D,3,0)</f>
        <v>3</v>
      </c>
      <c r="J687" t="str">
        <f>VLOOKUP(I687,[2]categories!$A$2:$B$8,2,0)</f>
        <v>Cruisers Bicycles</v>
      </c>
    </row>
    <row r="688" spans="1:10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 s="1">
        <f t="shared" si="10"/>
        <v>7599.981</v>
      </c>
      <c r="H688" t="str">
        <f>VLOOKUP(C688,[1]products!$A:$B,2,0)</f>
        <v>Trek Slash 8 27.5 - 2016</v>
      </c>
      <c r="I688">
        <f>VLOOKUP(H688,[1]products!$B:$D,3,0)</f>
        <v>6</v>
      </c>
      <c r="J688" t="str">
        <f>VLOOKUP(I688,[2]categories!$A$2:$B$8,2,0)</f>
        <v>Mountain Bikes</v>
      </c>
    </row>
    <row r="689" spans="1:10">
      <c r="A689">
        <v>244</v>
      </c>
      <c r="B689">
        <v>1</v>
      </c>
      <c r="C689">
        <v>19</v>
      </c>
      <c r="D689">
        <v>1</v>
      </c>
      <c r="E689">
        <v>449</v>
      </c>
      <c r="F689">
        <v>0.07</v>
      </c>
      <c r="G689" s="1">
        <f t="shared" si="10"/>
        <v>417.57</v>
      </c>
      <c r="H689" t="str">
        <f>VLOOKUP(C689,[1]products!$A:$B,2,0)</f>
        <v>Pure Cycles William 3-Speed - 2016</v>
      </c>
      <c r="I689">
        <f>VLOOKUP(H689,[1]products!$B:$D,3,0)</f>
        <v>3</v>
      </c>
      <c r="J689" t="str">
        <f>VLOOKUP(I689,[2]categories!$A$2:$B$8,2,0)</f>
        <v>Cruisers Bicycles</v>
      </c>
    </row>
    <row r="690" spans="1:10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 s="1">
        <f t="shared" si="10"/>
        <v>399.992</v>
      </c>
      <c r="H690" t="str">
        <f>VLOOKUP(C690,[1]products!$A:$B,2,0)</f>
        <v>Electra Townie Original 7D - 2015/2016</v>
      </c>
      <c r="I690">
        <f>VLOOKUP(H690,[1]products!$B:$D,3,0)</f>
        <v>2</v>
      </c>
      <c r="J690" t="str">
        <f>VLOOKUP(I690,[2]categories!$A$2:$B$8,2,0)</f>
        <v>Comfort Bicycles</v>
      </c>
    </row>
    <row r="691" spans="1:10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 s="1">
        <f t="shared" si="10"/>
        <v>242.991</v>
      </c>
      <c r="H691" t="str">
        <f>VLOOKUP(C691,[1]products!$A:$B,2,0)</f>
        <v>Electra Girl's Hawaii 1 (16-inch) - 2015/2016</v>
      </c>
      <c r="I691">
        <f>VLOOKUP(H691,[1]products!$B:$D,3,0)</f>
        <v>3</v>
      </c>
      <c r="J691" t="str">
        <f>VLOOKUP(I691,[2]categories!$A$2:$B$8,2,0)</f>
        <v>Cruisers Bicycles</v>
      </c>
    </row>
    <row r="692" spans="1:10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 s="1">
        <f t="shared" si="10"/>
        <v>2943.1</v>
      </c>
      <c r="H692" t="str">
        <f>VLOOKUP(C692,[1]products!$A:$B,2,0)</f>
        <v>Surly Straggler - 2016</v>
      </c>
      <c r="I692">
        <f>VLOOKUP(H692,[1]products!$B:$D,3,0)</f>
        <v>4</v>
      </c>
      <c r="J692" t="str">
        <f>VLOOKUP(I692,[2]categories!$A$2:$B$8,2,0)</f>
        <v>Cyclocross Bicycles</v>
      </c>
    </row>
    <row r="693" spans="1:10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 s="1">
        <f t="shared" si="10"/>
        <v>1619.991</v>
      </c>
      <c r="H693" t="str">
        <f>VLOOKUP(C693,[1]products!$A:$B,2,0)</f>
        <v>Trek Remedy 29 Carbon Frameset - 2016</v>
      </c>
      <c r="I693">
        <f>VLOOKUP(H693,[1]products!$B:$D,3,0)</f>
        <v>6</v>
      </c>
      <c r="J693" t="str">
        <f>VLOOKUP(I693,[2]categories!$A$2:$B$8,2,0)</f>
        <v>Mountain Bikes</v>
      </c>
    </row>
    <row r="694" spans="1:10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 s="1">
        <f t="shared" si="10"/>
        <v>686.4</v>
      </c>
      <c r="H694" t="str">
        <f>VLOOKUP(C694,[1]products!$A:$B,2,0)</f>
        <v>Pure Cycles Vine 8-Speed - 2016</v>
      </c>
      <c r="I694">
        <f>VLOOKUP(H694,[1]products!$B:$D,3,0)</f>
        <v>3</v>
      </c>
      <c r="J694" t="str">
        <f>VLOOKUP(I694,[2]categories!$A$2:$B$8,2,0)</f>
        <v>Cruisers Bicycles</v>
      </c>
    </row>
    <row r="695" spans="1:10">
      <c r="A695">
        <v>247</v>
      </c>
      <c r="B695">
        <v>1</v>
      </c>
      <c r="C695">
        <v>25</v>
      </c>
      <c r="D695">
        <v>1</v>
      </c>
      <c r="E695">
        <v>499.99</v>
      </c>
      <c r="F695">
        <v>0.07</v>
      </c>
      <c r="G695" s="1">
        <f t="shared" si="10"/>
        <v>464.9907</v>
      </c>
      <c r="H695" t="str">
        <f>VLOOKUP(C695,[1]products!$A:$B,2,0)</f>
        <v>Electra Townie Original 7D - 2015/2016</v>
      </c>
      <c r="I695">
        <f>VLOOKUP(H695,[1]products!$B:$D,3,0)</f>
        <v>2</v>
      </c>
      <c r="J695" t="str">
        <f>VLOOKUP(I695,[2]categories!$A$2:$B$8,2,0)</f>
        <v>Comfort Bicycles</v>
      </c>
    </row>
    <row r="696" spans="1:10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 s="1">
        <f t="shared" si="10"/>
        <v>799.992</v>
      </c>
      <c r="H696" t="str">
        <f>VLOOKUP(C696,[1]products!$A:$B,2,0)</f>
        <v>Surly Wednesday Frameset - 2016</v>
      </c>
      <c r="I696">
        <f>VLOOKUP(H696,[1]products!$B:$D,3,0)</f>
        <v>6</v>
      </c>
      <c r="J696" t="str">
        <f>VLOOKUP(I696,[2]categories!$A$2:$B$8,2,0)</f>
        <v>Mountain Bikes</v>
      </c>
    </row>
    <row r="697" spans="1:10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 s="1">
        <f t="shared" si="10"/>
        <v>242.991</v>
      </c>
      <c r="H697" t="str">
        <f>VLOOKUP(C697,[1]products!$A:$B,2,0)</f>
        <v>Electra Cruiser 1 (24-Inch) - 2016</v>
      </c>
      <c r="I697">
        <f>VLOOKUP(H697,[1]products!$B:$D,3,0)</f>
        <v>3</v>
      </c>
      <c r="J697" t="str">
        <f>VLOOKUP(I697,[2]categories!$A$2:$B$8,2,0)</f>
        <v>Cruisers Bicycles</v>
      </c>
    </row>
    <row r="698" spans="1:10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 s="1">
        <f t="shared" si="10"/>
        <v>1079.982</v>
      </c>
      <c r="H698" t="str">
        <f>VLOOKUP(C698,[1]products!$A:$B,2,0)</f>
        <v>Electra Townie Original 7D EQ - 2016</v>
      </c>
      <c r="I698">
        <f>VLOOKUP(H698,[1]products!$B:$D,3,0)</f>
        <v>3</v>
      </c>
      <c r="J698" t="str">
        <f>VLOOKUP(I698,[2]categories!$A$2:$B$8,2,0)</f>
        <v>Cruisers Bicycles</v>
      </c>
    </row>
    <row r="699" spans="1:10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 s="1">
        <f t="shared" si="10"/>
        <v>386.1</v>
      </c>
      <c r="H699" t="str">
        <f>VLOOKUP(C699,[1]products!$A:$B,2,0)</f>
        <v>Pure Cycles Vine 8-Speed - 2016</v>
      </c>
      <c r="I699">
        <f>VLOOKUP(H699,[1]products!$B:$D,3,0)</f>
        <v>3</v>
      </c>
      <c r="J699" t="str">
        <f>VLOOKUP(I699,[2]categories!$A$2:$B$8,2,0)</f>
        <v>Cruisers Bicycles</v>
      </c>
    </row>
    <row r="700" spans="1:10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 s="1">
        <f t="shared" si="10"/>
        <v>2399.992</v>
      </c>
      <c r="H700" t="str">
        <f>VLOOKUP(C700,[1]products!$A:$B,2,0)</f>
        <v>Trek Conduit+ - 2016</v>
      </c>
      <c r="I700">
        <f>VLOOKUP(H700,[1]products!$B:$D,3,0)</f>
        <v>5</v>
      </c>
      <c r="J700" t="str">
        <f>VLOOKUP(I700,[2]categories!$A$2:$B$8,2,0)</f>
        <v>Electric Bikes</v>
      </c>
    </row>
    <row r="701" spans="1:10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 s="1">
        <f t="shared" si="10"/>
        <v>7599.981</v>
      </c>
      <c r="H701" t="str">
        <f>VLOOKUP(C701,[1]products!$A:$B,2,0)</f>
        <v>Trek Slash 8 27.5 - 2016</v>
      </c>
      <c r="I701">
        <f>VLOOKUP(H701,[1]products!$B:$D,3,0)</f>
        <v>6</v>
      </c>
      <c r="J701" t="str">
        <f>VLOOKUP(I701,[2]categories!$A$2:$B$8,2,0)</f>
        <v>Mountain Bikes</v>
      </c>
    </row>
    <row r="702" spans="1:10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 s="1">
        <f t="shared" si="10"/>
        <v>853.1</v>
      </c>
      <c r="H702" t="str">
        <f>VLOOKUP(C702,[1]products!$A:$B,2,0)</f>
        <v>Pure Cycles Western 3-Speed - Women's - 2015/2016</v>
      </c>
      <c r="I702">
        <f>VLOOKUP(H702,[1]products!$B:$D,3,0)</f>
        <v>3</v>
      </c>
      <c r="J702" t="str">
        <f>VLOOKUP(I702,[2]categories!$A$2:$B$8,2,0)</f>
        <v>Cruisers Bicycles</v>
      </c>
    </row>
    <row r="703" spans="1:10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 s="1">
        <f t="shared" si="10"/>
        <v>242.991</v>
      </c>
      <c r="H703" t="str">
        <f>VLOOKUP(C703,[1]products!$A:$B,2,0)</f>
        <v>Electra Girl's Hawaii 1 (16-inch) - 2015/2016</v>
      </c>
      <c r="I703">
        <f>VLOOKUP(H703,[1]products!$B:$D,3,0)</f>
        <v>3</v>
      </c>
      <c r="J703" t="str">
        <f>VLOOKUP(I703,[2]categories!$A$2:$B$8,2,0)</f>
        <v>Cruisers Bicycles</v>
      </c>
    </row>
    <row r="704" spans="1:10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 s="1">
        <f t="shared" si="10"/>
        <v>815.1</v>
      </c>
      <c r="H704" t="str">
        <f>VLOOKUP(C704,[1]products!$A:$B,2,0)</f>
        <v>Pure Cycles Vine 8-Speed - 2016</v>
      </c>
      <c r="I704">
        <f>VLOOKUP(H704,[1]products!$B:$D,3,0)</f>
        <v>3</v>
      </c>
      <c r="J704" t="str">
        <f>VLOOKUP(I704,[2]categories!$A$2:$B$8,2,0)</f>
        <v>Cruisers Bicycles</v>
      </c>
    </row>
    <row r="705" spans="1:10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 s="1">
        <f t="shared" si="10"/>
        <v>3025.782</v>
      </c>
      <c r="H705" t="str">
        <f>VLOOKUP(C705,[1]products!$A:$B,2,0)</f>
        <v>Surly Straggler 650b - 2016</v>
      </c>
      <c r="I705">
        <f>VLOOKUP(H705,[1]products!$B:$D,3,0)</f>
        <v>4</v>
      </c>
      <c r="J705" t="str">
        <f>VLOOKUP(I705,[2]categories!$A$2:$B$8,2,0)</f>
        <v>Cyclocross Bicycles</v>
      </c>
    </row>
    <row r="706" spans="1:10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 s="1">
        <f t="shared" ref="G706:G769" si="11">D706*E706*(1-F706)</f>
        <v>479.984</v>
      </c>
      <c r="H706" t="str">
        <f>VLOOKUP(C706,[1]products!$A:$B,2,0)</f>
        <v>Electra Girl's Hawaii 1 (20-inch) - 2015/2016</v>
      </c>
      <c r="I706">
        <f>VLOOKUP(H706,[1]products!$B:$D,3,0)</f>
        <v>1</v>
      </c>
      <c r="J706" t="str">
        <f>VLOOKUP(I706,[2]categories!$A$2:$B$8,2,0)</f>
        <v>Children Bicycles</v>
      </c>
    </row>
    <row r="707" spans="1:10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 s="1">
        <f t="shared" si="11"/>
        <v>512.981</v>
      </c>
      <c r="H707" t="str">
        <f>VLOOKUP(C707,[1]products!$A:$B,2,0)</f>
        <v>Electra Girl's Hawaii 1 (16-inch) - 2015/2016</v>
      </c>
      <c r="I707">
        <f>VLOOKUP(H707,[1]products!$B:$D,3,0)</f>
        <v>3</v>
      </c>
      <c r="J707" t="str">
        <f>VLOOKUP(I707,[2]categories!$A$2:$B$8,2,0)</f>
        <v>Cruisers Bicycles</v>
      </c>
    </row>
    <row r="708" spans="1:10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 s="1">
        <f t="shared" si="11"/>
        <v>3025.782</v>
      </c>
      <c r="H708" t="str">
        <f>VLOOKUP(C708,[1]products!$A:$B,2,0)</f>
        <v>Surly Straggler 650b - 2016</v>
      </c>
      <c r="I708">
        <f>VLOOKUP(H708,[1]products!$B:$D,3,0)</f>
        <v>4</v>
      </c>
      <c r="J708" t="str">
        <f>VLOOKUP(I708,[2]categories!$A$2:$B$8,2,0)</f>
        <v>Cyclocross Bicycles</v>
      </c>
    </row>
    <row r="709" spans="1:10">
      <c r="A709">
        <v>252</v>
      </c>
      <c r="B709">
        <v>2</v>
      </c>
      <c r="C709">
        <v>4</v>
      </c>
      <c r="D709">
        <v>1</v>
      </c>
      <c r="E709">
        <v>2899.99</v>
      </c>
      <c r="F709">
        <v>0.07</v>
      </c>
      <c r="G709" s="1">
        <f t="shared" si="11"/>
        <v>2696.9907</v>
      </c>
      <c r="H709" t="str">
        <f>VLOOKUP(C709,[1]products!$A:$B,2,0)</f>
        <v>Trek Fuel EX 8 29 - 2016</v>
      </c>
      <c r="I709">
        <f>VLOOKUP(H709,[1]products!$B:$D,3,0)</f>
        <v>6</v>
      </c>
      <c r="J709" t="str">
        <f>VLOOKUP(I709,[2]categories!$A$2:$B$8,2,0)</f>
        <v>Mountain Bikes</v>
      </c>
    </row>
    <row r="710" spans="1:10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 s="1">
        <f t="shared" si="11"/>
        <v>404.1</v>
      </c>
      <c r="H710" t="str">
        <f>VLOOKUP(C710,[1]products!$A:$B,2,0)</f>
        <v>Pure Cycles William 3-Speed - 2016</v>
      </c>
      <c r="I710">
        <f>VLOOKUP(H710,[1]products!$B:$D,3,0)</f>
        <v>3</v>
      </c>
      <c r="J710" t="str">
        <f>VLOOKUP(I710,[2]categories!$A$2:$B$8,2,0)</f>
        <v>Cruisers Bicycles</v>
      </c>
    </row>
    <row r="711" spans="1:10">
      <c r="A711">
        <v>253</v>
      </c>
      <c r="B711">
        <v>1</v>
      </c>
      <c r="C711">
        <v>11</v>
      </c>
      <c r="D711">
        <v>2</v>
      </c>
      <c r="E711">
        <v>1680.99</v>
      </c>
      <c r="F711">
        <v>0.07</v>
      </c>
      <c r="G711" s="1">
        <f t="shared" si="11"/>
        <v>3126.6414</v>
      </c>
      <c r="H711" t="str">
        <f>VLOOKUP(C711,[1]products!$A:$B,2,0)</f>
        <v>Surly Straggler 650b - 2016</v>
      </c>
      <c r="I711">
        <f>VLOOKUP(H711,[1]products!$B:$D,3,0)</f>
        <v>4</v>
      </c>
      <c r="J711" t="str">
        <f>VLOOKUP(I711,[2]categories!$A$2:$B$8,2,0)</f>
        <v>Cyclocross Bicycles</v>
      </c>
    </row>
    <row r="712" spans="1:10">
      <c r="A712">
        <v>254</v>
      </c>
      <c r="B712">
        <v>1</v>
      </c>
      <c r="C712">
        <v>6</v>
      </c>
      <c r="D712">
        <v>2</v>
      </c>
      <c r="E712">
        <v>469.99</v>
      </c>
      <c r="F712">
        <v>0.07</v>
      </c>
      <c r="G712" s="1">
        <f t="shared" si="11"/>
        <v>874.1814</v>
      </c>
      <c r="H712" t="str">
        <f>VLOOKUP(C712,[1]products!$A:$B,2,0)</f>
        <v>Surly Ice Cream Truck Frameset - 2016</v>
      </c>
      <c r="I712">
        <f>VLOOKUP(H712,[1]products!$B:$D,3,0)</f>
        <v>6</v>
      </c>
      <c r="J712" t="str">
        <f>VLOOKUP(I712,[2]categories!$A$2:$B$8,2,0)</f>
        <v>Mountain Bikes</v>
      </c>
    </row>
    <row r="713" spans="1:10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 s="1">
        <f t="shared" si="11"/>
        <v>949.9905</v>
      </c>
      <c r="H713" t="str">
        <f>VLOOKUP(C713,[1]products!$A:$B,2,0)</f>
        <v>Surly Wednesday Frameset - 2016</v>
      </c>
      <c r="I713">
        <f>VLOOKUP(H713,[1]products!$B:$D,3,0)</f>
        <v>6</v>
      </c>
      <c r="J713" t="str">
        <f>VLOOKUP(I713,[2]categories!$A$2:$B$8,2,0)</f>
        <v>Mountain Bikes</v>
      </c>
    </row>
    <row r="714" spans="1:10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 s="1">
        <f t="shared" si="11"/>
        <v>522.4905</v>
      </c>
      <c r="H714" t="str">
        <f>VLOOKUP(C714,[1]products!$A:$B,2,0)</f>
        <v>Electra Townie Original 21D - 2016</v>
      </c>
      <c r="I714">
        <f>VLOOKUP(H714,[1]products!$B:$D,3,0)</f>
        <v>3</v>
      </c>
      <c r="J714" t="str">
        <f>VLOOKUP(I714,[2]categories!$A$2:$B$8,2,0)</f>
        <v>Cruisers Bicycles</v>
      </c>
    </row>
    <row r="715" spans="1:10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 s="1">
        <f t="shared" si="11"/>
        <v>2377.782</v>
      </c>
      <c r="H715" t="str">
        <f>VLOOKUP(C715,[1]products!$A:$B,2,0)</f>
        <v>Heller Shagamaw Frame - 2016</v>
      </c>
      <c r="I715">
        <f>VLOOKUP(H715,[1]products!$B:$D,3,0)</f>
        <v>6</v>
      </c>
      <c r="J715" t="str">
        <f>VLOOKUP(I715,[2]categories!$A$2:$B$8,2,0)</f>
        <v>Mountain Bikes</v>
      </c>
    </row>
    <row r="716" spans="1:10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 s="1">
        <f t="shared" si="11"/>
        <v>215.992</v>
      </c>
      <c r="H716" t="str">
        <f>VLOOKUP(C716,[1]products!$A:$B,2,0)</f>
        <v>Electra Girl's Hawaii 1 (16-inch) - 2015/2016</v>
      </c>
      <c r="I716">
        <f>VLOOKUP(H716,[1]products!$B:$D,3,0)</f>
        <v>3</v>
      </c>
      <c r="J716" t="str">
        <f>VLOOKUP(I716,[2]categories!$A$2:$B$8,2,0)</f>
        <v>Cruisers Bicycles</v>
      </c>
    </row>
    <row r="717" spans="1:10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 s="1">
        <f t="shared" si="11"/>
        <v>1199.984</v>
      </c>
      <c r="H717" t="str">
        <f>VLOOKUP(C717,[1]products!$A:$B,2,0)</f>
        <v>Ritchey Timberwolf Frameset - 2016</v>
      </c>
      <c r="I717">
        <f>VLOOKUP(H717,[1]products!$B:$D,3,0)</f>
        <v>6</v>
      </c>
      <c r="J717" t="str">
        <f>VLOOKUP(I717,[2]categories!$A$2:$B$8,2,0)</f>
        <v>Mountain Bikes</v>
      </c>
    </row>
    <row r="718" spans="1:10">
      <c r="A718">
        <v>255</v>
      </c>
      <c r="B718">
        <v>4</v>
      </c>
      <c r="C718">
        <v>21</v>
      </c>
      <c r="D718">
        <v>1</v>
      </c>
      <c r="E718">
        <v>269.99</v>
      </c>
      <c r="F718">
        <v>0.07</v>
      </c>
      <c r="G718" s="1">
        <f t="shared" si="11"/>
        <v>251.0907</v>
      </c>
      <c r="H718" t="str">
        <f>VLOOKUP(C718,[1]products!$A:$B,2,0)</f>
        <v>Electra Cruiser 1 (24-Inch) - 2016</v>
      </c>
      <c r="I718">
        <f>VLOOKUP(H718,[1]products!$B:$D,3,0)</f>
        <v>3</v>
      </c>
      <c r="J718" t="str">
        <f>VLOOKUP(I718,[2]categories!$A$2:$B$8,2,0)</f>
        <v>Cruisers Bicycles</v>
      </c>
    </row>
    <row r="719" spans="1:10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 s="1">
        <f t="shared" si="11"/>
        <v>1512.891</v>
      </c>
      <c r="H719" t="str">
        <f>VLOOKUP(C719,[1]products!$A:$B,2,0)</f>
        <v>Surly Straggler 650b - 2016</v>
      </c>
      <c r="I719">
        <f>VLOOKUP(H719,[1]products!$B:$D,3,0)</f>
        <v>4</v>
      </c>
      <c r="J719" t="str">
        <f>VLOOKUP(I719,[2]categories!$A$2:$B$8,2,0)</f>
        <v>Cyclocross Bicycles</v>
      </c>
    </row>
    <row r="720" spans="1:10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 s="1">
        <f t="shared" si="11"/>
        <v>256.4905</v>
      </c>
      <c r="H720" t="str">
        <f>VLOOKUP(C720,[1]products!$A:$B,2,0)</f>
        <v>Electra Cruiser 1 (24-Inch) - 2016</v>
      </c>
      <c r="I720">
        <f>VLOOKUP(H720,[1]products!$B:$D,3,0)</f>
        <v>3</v>
      </c>
      <c r="J720" t="str">
        <f>VLOOKUP(I720,[2]categories!$A$2:$B$8,2,0)</f>
        <v>Cruisers Bicycles</v>
      </c>
    </row>
    <row r="721" spans="1:10">
      <c r="A721">
        <v>257</v>
      </c>
      <c r="B721">
        <v>1</v>
      </c>
      <c r="C721">
        <v>8</v>
      </c>
      <c r="D721">
        <v>2</v>
      </c>
      <c r="E721">
        <v>1799.99</v>
      </c>
      <c r="F721">
        <v>0.07</v>
      </c>
      <c r="G721" s="1">
        <f t="shared" si="11"/>
        <v>3347.9814</v>
      </c>
      <c r="H721" t="str">
        <f>VLOOKUP(C721,[1]products!$A:$B,2,0)</f>
        <v>Trek Remedy 29 Carbon Frameset - 2016</v>
      </c>
      <c r="I721">
        <f>VLOOKUP(H721,[1]products!$B:$D,3,0)</f>
        <v>6</v>
      </c>
      <c r="J721" t="str">
        <f>VLOOKUP(I721,[2]categories!$A$2:$B$8,2,0)</f>
        <v>Mountain Bikes</v>
      </c>
    </row>
    <row r="722" spans="1:10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 s="1">
        <f t="shared" si="11"/>
        <v>431.984</v>
      </c>
      <c r="H722" t="str">
        <f>VLOOKUP(C722,[1]products!$A:$B,2,0)</f>
        <v>Electra Cruiser 1 (24-Inch) - 2016</v>
      </c>
      <c r="I722">
        <f>VLOOKUP(H722,[1]products!$B:$D,3,0)</f>
        <v>3</v>
      </c>
      <c r="J722" t="str">
        <f>VLOOKUP(I722,[2]categories!$A$2:$B$8,2,0)</f>
        <v>Cruisers Bicycles</v>
      </c>
    </row>
    <row r="723" spans="1:10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 s="1">
        <f t="shared" si="11"/>
        <v>2788.2</v>
      </c>
      <c r="H723" t="str">
        <f>VLOOKUP(C723,[1]products!$A:$B,2,0)</f>
        <v>Surly Straggler - 2016</v>
      </c>
      <c r="I723">
        <f>VLOOKUP(H723,[1]products!$B:$D,3,0)</f>
        <v>4</v>
      </c>
      <c r="J723" t="str">
        <f>VLOOKUP(I723,[2]categories!$A$2:$B$8,2,0)</f>
        <v>Cyclocross Bicycles</v>
      </c>
    </row>
    <row r="724" spans="1:10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 s="1">
        <f t="shared" si="11"/>
        <v>476.991</v>
      </c>
      <c r="H724" t="str">
        <f>VLOOKUP(C724,[1]products!$A:$B,2,0)</f>
        <v>Electra Moto 1 - 2016</v>
      </c>
      <c r="I724">
        <f>VLOOKUP(H724,[1]products!$B:$D,3,0)</f>
        <v>3</v>
      </c>
      <c r="J724" t="str">
        <f>VLOOKUP(I724,[2]categories!$A$2:$B$8,2,0)</f>
        <v>Cruisers Bicycles</v>
      </c>
    </row>
    <row r="725" spans="1:10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 s="1">
        <f t="shared" si="11"/>
        <v>3419.981</v>
      </c>
      <c r="H725" t="str">
        <f>VLOOKUP(C725,[1]products!$A:$B,2,0)</f>
        <v>Trek Remedy 29 Carbon Frameset - 2016</v>
      </c>
      <c r="I725">
        <f>VLOOKUP(H725,[1]products!$B:$D,3,0)</f>
        <v>6</v>
      </c>
      <c r="J725" t="str">
        <f>VLOOKUP(I725,[2]categories!$A$2:$B$8,2,0)</f>
        <v>Mountain Bikes</v>
      </c>
    </row>
    <row r="726" spans="1:10">
      <c r="A726">
        <v>258</v>
      </c>
      <c r="B726">
        <v>2</v>
      </c>
      <c r="C726">
        <v>4</v>
      </c>
      <c r="D726">
        <v>1</v>
      </c>
      <c r="E726">
        <v>2899.99</v>
      </c>
      <c r="F726">
        <v>0.07</v>
      </c>
      <c r="G726" s="1">
        <f t="shared" si="11"/>
        <v>2696.9907</v>
      </c>
      <c r="H726" t="str">
        <f>VLOOKUP(C726,[1]products!$A:$B,2,0)</f>
        <v>Trek Fuel EX 8 29 - 2016</v>
      </c>
      <c r="I726">
        <f>VLOOKUP(H726,[1]products!$B:$D,3,0)</f>
        <v>6</v>
      </c>
      <c r="J726" t="str">
        <f>VLOOKUP(I726,[2]categories!$A$2:$B$8,2,0)</f>
        <v>Mountain Bikes</v>
      </c>
    </row>
    <row r="727" spans="1:10">
      <c r="A727">
        <v>258</v>
      </c>
      <c r="B727">
        <v>3</v>
      </c>
      <c r="C727">
        <v>19</v>
      </c>
      <c r="D727">
        <v>1</v>
      </c>
      <c r="E727">
        <v>449</v>
      </c>
      <c r="F727">
        <v>0.07</v>
      </c>
      <c r="G727" s="1">
        <f t="shared" si="11"/>
        <v>417.57</v>
      </c>
      <c r="H727" t="str">
        <f>VLOOKUP(C727,[1]products!$A:$B,2,0)</f>
        <v>Pure Cycles William 3-Speed - 2016</v>
      </c>
      <c r="I727">
        <f>VLOOKUP(H727,[1]products!$B:$D,3,0)</f>
        <v>3</v>
      </c>
      <c r="J727" t="str">
        <f>VLOOKUP(I727,[2]categories!$A$2:$B$8,2,0)</f>
        <v>Cruisers Bicycles</v>
      </c>
    </row>
    <row r="728" spans="1:10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 s="1">
        <f t="shared" si="11"/>
        <v>426.55</v>
      </c>
      <c r="H728" t="str">
        <f>VLOOKUP(C728,[1]products!$A:$B,2,0)</f>
        <v>Pure Cycles Western 3-Speed - Women's - 2015/2016</v>
      </c>
      <c r="I728">
        <f>VLOOKUP(H728,[1]products!$B:$D,3,0)</f>
        <v>3</v>
      </c>
      <c r="J728" t="str">
        <f>VLOOKUP(I728,[2]categories!$A$2:$B$8,2,0)</f>
        <v>Cruisers Bicycles</v>
      </c>
    </row>
    <row r="729" spans="1:10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 s="1">
        <f t="shared" si="11"/>
        <v>569.9905</v>
      </c>
      <c r="H729" t="str">
        <f>VLOOKUP(C729,[1]products!$A:$B,2,0)</f>
        <v>Electra Townie Original 7D EQ - 2016</v>
      </c>
      <c r="I729">
        <f>VLOOKUP(H729,[1]products!$B:$D,3,0)</f>
        <v>3</v>
      </c>
      <c r="J729" t="str">
        <f>VLOOKUP(I729,[2]categories!$A$2:$B$8,2,0)</f>
        <v>Cruisers Bicycles</v>
      </c>
    </row>
    <row r="730" spans="1:10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 s="1">
        <f t="shared" si="11"/>
        <v>845.982</v>
      </c>
      <c r="H730" t="str">
        <f>VLOOKUP(C730,[1]products!$A:$B,2,0)</f>
        <v>Surly Ice Cream Truck Frameset - 2016</v>
      </c>
      <c r="I730">
        <f>VLOOKUP(H730,[1]products!$B:$D,3,0)</f>
        <v>6</v>
      </c>
      <c r="J730" t="str">
        <f>VLOOKUP(I730,[2]categories!$A$2:$B$8,2,0)</f>
        <v>Mountain Bikes</v>
      </c>
    </row>
    <row r="731" spans="1:10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 s="1">
        <f t="shared" si="11"/>
        <v>1199.984</v>
      </c>
      <c r="H731" t="str">
        <f>VLOOKUP(C731,[1]products!$A:$B,2,0)</f>
        <v>Ritchey Timberwolf Frameset - 2016</v>
      </c>
      <c r="I731">
        <f>VLOOKUP(H731,[1]products!$B:$D,3,0)</f>
        <v>6</v>
      </c>
      <c r="J731" t="str">
        <f>VLOOKUP(I731,[2]categories!$A$2:$B$8,2,0)</f>
        <v>Mountain Bikes</v>
      </c>
    </row>
    <row r="732" spans="1:10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 s="1">
        <f t="shared" si="11"/>
        <v>2609.991</v>
      </c>
      <c r="H732" t="str">
        <f>VLOOKUP(C732,[1]products!$A:$B,2,0)</f>
        <v>Trek Fuel EX 8 29 - 2016</v>
      </c>
      <c r="I732">
        <f>VLOOKUP(H732,[1]products!$B:$D,3,0)</f>
        <v>6</v>
      </c>
      <c r="J732" t="str">
        <f>VLOOKUP(I732,[2]categories!$A$2:$B$8,2,0)</f>
        <v>Mountain Bikes</v>
      </c>
    </row>
    <row r="733" spans="1:10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 s="1">
        <f t="shared" si="11"/>
        <v>479.984</v>
      </c>
      <c r="H733" t="str">
        <f>VLOOKUP(C733,[1]products!$A:$B,2,0)</f>
        <v>Electra Girl's Hawaii 1 (20-inch) - 2015/2016</v>
      </c>
      <c r="I733">
        <f>VLOOKUP(H733,[1]products!$B:$D,3,0)</f>
        <v>1</v>
      </c>
      <c r="J733" t="str">
        <f>VLOOKUP(I733,[2]categories!$A$2:$B$8,2,0)</f>
        <v>Children Bicycles</v>
      </c>
    </row>
    <row r="734" spans="1:10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 s="1">
        <f t="shared" si="11"/>
        <v>1239.2</v>
      </c>
      <c r="H734" t="str">
        <f>VLOOKUP(C734,[1]products!$A:$B,2,0)</f>
        <v>Surly Straggler - 2016</v>
      </c>
      <c r="I734">
        <f>VLOOKUP(H734,[1]products!$B:$D,3,0)</f>
        <v>4</v>
      </c>
      <c r="J734" t="str">
        <f>VLOOKUP(I734,[2]categories!$A$2:$B$8,2,0)</f>
        <v>Cyclocross Bicycles</v>
      </c>
    </row>
    <row r="735" spans="1:10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 s="1">
        <f t="shared" si="11"/>
        <v>879.984</v>
      </c>
      <c r="H735" t="str">
        <f>VLOOKUP(C735,[1]products!$A:$B,2,0)</f>
        <v>Electra Townie Original 21D - 2016</v>
      </c>
      <c r="I735">
        <f>VLOOKUP(H735,[1]products!$B:$D,3,0)</f>
        <v>3</v>
      </c>
      <c r="J735" t="str">
        <f>VLOOKUP(I735,[2]categories!$A$2:$B$8,2,0)</f>
        <v>Cruisers Bicycles</v>
      </c>
    </row>
    <row r="736" spans="1:10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 s="1">
        <f t="shared" si="11"/>
        <v>1139.981</v>
      </c>
      <c r="H736" t="str">
        <f>VLOOKUP(C736,[1]products!$A:$B,2,0)</f>
        <v>Electra Townie Original 7D EQ - 2016</v>
      </c>
      <c r="I736">
        <f>VLOOKUP(H736,[1]products!$B:$D,3,0)</f>
        <v>3</v>
      </c>
      <c r="J736" t="str">
        <f>VLOOKUP(I736,[2]categories!$A$2:$B$8,2,0)</f>
        <v>Cruisers Bicycles</v>
      </c>
    </row>
    <row r="737" spans="1:10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 s="1">
        <f t="shared" si="11"/>
        <v>242.991</v>
      </c>
      <c r="H737" t="str">
        <f>VLOOKUP(C737,[1]products!$A:$B,2,0)</f>
        <v>Electra Girl's Hawaii 1 (16-inch) - 2015/2016</v>
      </c>
      <c r="I737">
        <f>VLOOKUP(H737,[1]products!$B:$D,3,0)</f>
        <v>3</v>
      </c>
      <c r="J737" t="str">
        <f>VLOOKUP(I737,[2]categories!$A$2:$B$8,2,0)</f>
        <v>Cruisers Bicycles</v>
      </c>
    </row>
    <row r="738" spans="1:10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 s="1">
        <f t="shared" si="11"/>
        <v>772.2</v>
      </c>
      <c r="H738" t="str">
        <f>VLOOKUP(C738,[1]products!$A:$B,2,0)</f>
        <v>Pure Cycles Vine 8-Speed - 2016</v>
      </c>
      <c r="I738">
        <f>VLOOKUP(H738,[1]products!$B:$D,3,0)</f>
        <v>3</v>
      </c>
      <c r="J738" t="str">
        <f>VLOOKUP(I738,[2]categories!$A$2:$B$8,2,0)</f>
        <v>Cruisers Bicycles</v>
      </c>
    </row>
    <row r="739" spans="1:10">
      <c r="A739">
        <v>262</v>
      </c>
      <c r="B739">
        <v>1</v>
      </c>
      <c r="C739">
        <v>2</v>
      </c>
      <c r="D739">
        <v>1</v>
      </c>
      <c r="E739">
        <v>749.99</v>
      </c>
      <c r="F739">
        <v>0.07</v>
      </c>
      <c r="G739" s="1">
        <f t="shared" si="11"/>
        <v>697.4907</v>
      </c>
      <c r="H739" t="str">
        <f>VLOOKUP(C739,[1]products!$A:$B,2,0)</f>
        <v>Ritchey Timberwolf Frameset - 2016</v>
      </c>
      <c r="I739">
        <f>VLOOKUP(H739,[1]products!$B:$D,3,0)</f>
        <v>6</v>
      </c>
      <c r="J739" t="str">
        <f>VLOOKUP(I739,[2]categories!$A$2:$B$8,2,0)</f>
        <v>Mountain Bikes</v>
      </c>
    </row>
    <row r="740" spans="1:10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 s="1">
        <f t="shared" si="11"/>
        <v>5699.981</v>
      </c>
      <c r="H740" t="str">
        <f>VLOOKUP(C740,[1]products!$A:$B,2,0)</f>
        <v>Trek Conduit+ - 2016</v>
      </c>
      <c r="I740">
        <f>VLOOKUP(H740,[1]products!$B:$D,3,0)</f>
        <v>5</v>
      </c>
      <c r="J740" t="str">
        <f>VLOOKUP(I740,[2]categories!$A$2:$B$8,2,0)</f>
        <v>Electric Bikes</v>
      </c>
    </row>
    <row r="741" spans="1:10">
      <c r="A741">
        <v>263</v>
      </c>
      <c r="B741">
        <v>1</v>
      </c>
      <c r="C741">
        <v>9</v>
      </c>
      <c r="D741">
        <v>1</v>
      </c>
      <c r="E741">
        <v>2999.99</v>
      </c>
      <c r="F741">
        <v>0.07</v>
      </c>
      <c r="G741" s="1">
        <f t="shared" si="11"/>
        <v>2789.9907</v>
      </c>
      <c r="H741" t="str">
        <f>VLOOKUP(C741,[1]products!$A:$B,2,0)</f>
        <v>Trek Conduit+ - 2016</v>
      </c>
      <c r="I741">
        <f>VLOOKUP(H741,[1]products!$B:$D,3,0)</f>
        <v>5</v>
      </c>
      <c r="J741" t="str">
        <f>VLOOKUP(I741,[2]categories!$A$2:$B$8,2,0)</f>
        <v>Electric Bikes</v>
      </c>
    </row>
    <row r="742" spans="1:10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 s="1">
        <f t="shared" si="11"/>
        <v>799.992</v>
      </c>
      <c r="H742" t="str">
        <f>VLOOKUP(C742,[1]products!$A:$B,2,0)</f>
        <v>Surly Wednesday Frameset - 2016</v>
      </c>
      <c r="I742">
        <f>VLOOKUP(H742,[1]products!$B:$D,3,0)</f>
        <v>6</v>
      </c>
      <c r="J742" t="str">
        <f>VLOOKUP(I742,[2]categories!$A$2:$B$8,2,0)</f>
        <v>Mountain Bikes</v>
      </c>
    </row>
    <row r="743" spans="1:10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 s="1">
        <f t="shared" si="11"/>
        <v>1424.981</v>
      </c>
      <c r="H743" t="str">
        <f>VLOOKUP(C743,[1]products!$A:$B,2,0)</f>
        <v>Ritchey Timberwolf Frameset - 2016</v>
      </c>
      <c r="I743">
        <f>VLOOKUP(H743,[1]products!$B:$D,3,0)</f>
        <v>6</v>
      </c>
      <c r="J743" t="str">
        <f>VLOOKUP(I743,[2]categories!$A$2:$B$8,2,0)</f>
        <v>Mountain Bikes</v>
      </c>
    </row>
    <row r="744" spans="1:10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 s="1">
        <f t="shared" si="11"/>
        <v>1239.2</v>
      </c>
      <c r="H744" t="str">
        <f>VLOOKUP(C744,[1]products!$A:$B,2,0)</f>
        <v>Surly Straggler - 2016</v>
      </c>
      <c r="I744">
        <f>VLOOKUP(H744,[1]products!$B:$D,3,0)</f>
        <v>4</v>
      </c>
      <c r="J744" t="str">
        <f>VLOOKUP(I744,[2]categories!$A$2:$B$8,2,0)</f>
        <v>Cyclocross Bicycles</v>
      </c>
    </row>
    <row r="745" spans="1:10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 s="1">
        <f t="shared" si="11"/>
        <v>1044.981</v>
      </c>
      <c r="H745" t="str">
        <f>VLOOKUP(C745,[1]products!$A:$B,2,0)</f>
        <v>Electra Townie Original 21D - 2016</v>
      </c>
      <c r="I745">
        <f>VLOOKUP(H745,[1]products!$B:$D,3,0)</f>
        <v>3</v>
      </c>
      <c r="J745" t="str">
        <f>VLOOKUP(I745,[2]categories!$A$2:$B$8,2,0)</f>
        <v>Cruisers Bicycles</v>
      </c>
    </row>
    <row r="746" spans="1:10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 s="1">
        <f t="shared" si="11"/>
        <v>953.982</v>
      </c>
      <c r="H746" t="str">
        <f>VLOOKUP(C746,[1]products!$A:$B,2,0)</f>
        <v>Electra Moto 1 - 2016</v>
      </c>
      <c r="I746">
        <f>VLOOKUP(H746,[1]products!$B:$D,3,0)</f>
        <v>3</v>
      </c>
      <c r="J746" t="str">
        <f>VLOOKUP(I746,[2]categories!$A$2:$B$8,2,0)</f>
        <v>Cruisers Bicycles</v>
      </c>
    </row>
    <row r="747" spans="1:10">
      <c r="A747">
        <v>264</v>
      </c>
      <c r="B747">
        <v>4</v>
      </c>
      <c r="C747">
        <v>3</v>
      </c>
      <c r="D747">
        <v>2</v>
      </c>
      <c r="E747">
        <v>999.99</v>
      </c>
      <c r="F747">
        <v>0.07</v>
      </c>
      <c r="G747" s="1">
        <f t="shared" si="11"/>
        <v>1859.9814</v>
      </c>
      <c r="H747" t="str">
        <f>VLOOKUP(C747,[1]products!$A:$B,2,0)</f>
        <v>Surly Wednesday Frameset - 2016</v>
      </c>
      <c r="I747">
        <f>VLOOKUP(H747,[1]products!$B:$D,3,0)</f>
        <v>6</v>
      </c>
      <c r="J747" t="str">
        <f>VLOOKUP(I747,[2]categories!$A$2:$B$8,2,0)</f>
        <v>Mountain Bikes</v>
      </c>
    </row>
    <row r="748" spans="1:10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 s="1">
        <f t="shared" si="11"/>
        <v>4799.984</v>
      </c>
      <c r="H748" t="str">
        <f>VLOOKUP(C748,[1]products!$A:$B,2,0)</f>
        <v>Trek Conduit+ - 2016</v>
      </c>
      <c r="I748">
        <f>VLOOKUP(H748,[1]products!$B:$D,3,0)</f>
        <v>5</v>
      </c>
      <c r="J748" t="str">
        <f>VLOOKUP(I748,[2]categories!$A$2:$B$8,2,0)</f>
        <v>Electric Bikes</v>
      </c>
    </row>
    <row r="749" spans="1:10">
      <c r="A749">
        <v>266</v>
      </c>
      <c r="B749">
        <v>1</v>
      </c>
      <c r="C749">
        <v>6</v>
      </c>
      <c r="D749">
        <v>2</v>
      </c>
      <c r="E749">
        <v>469.99</v>
      </c>
      <c r="F749">
        <v>0.07</v>
      </c>
      <c r="G749" s="1">
        <f t="shared" si="11"/>
        <v>874.1814</v>
      </c>
      <c r="H749" t="str">
        <f>VLOOKUP(C749,[1]products!$A:$B,2,0)</f>
        <v>Surly Ice Cream Truck Frameset - 2016</v>
      </c>
      <c r="I749">
        <f>VLOOKUP(H749,[1]products!$B:$D,3,0)</f>
        <v>6</v>
      </c>
      <c r="J749" t="str">
        <f>VLOOKUP(I749,[2]categories!$A$2:$B$8,2,0)</f>
        <v>Mountain Bikes</v>
      </c>
    </row>
    <row r="750" spans="1:10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 s="1">
        <f t="shared" si="11"/>
        <v>359.2</v>
      </c>
      <c r="H750" t="str">
        <f>VLOOKUP(C750,[1]products!$A:$B,2,0)</f>
        <v>Pure Cycles William 3-Speed - 2016</v>
      </c>
      <c r="I750">
        <f>VLOOKUP(H750,[1]products!$B:$D,3,0)</f>
        <v>3</v>
      </c>
      <c r="J750" t="str">
        <f>VLOOKUP(I750,[2]categories!$A$2:$B$8,2,0)</f>
        <v>Cruisers Bicycles</v>
      </c>
    </row>
    <row r="751" spans="1:10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 s="1">
        <f t="shared" si="11"/>
        <v>474.9905</v>
      </c>
      <c r="H751" t="str">
        <f>VLOOKUP(C751,[1]products!$A:$B,2,0)</f>
        <v>Electra Townie Original 7D - 2015/2016</v>
      </c>
      <c r="I751">
        <f>VLOOKUP(H751,[1]products!$B:$D,3,0)</f>
        <v>2</v>
      </c>
      <c r="J751" t="str">
        <f>VLOOKUP(I751,[2]categories!$A$2:$B$8,2,0)</f>
        <v>Comfort Bicycles</v>
      </c>
    </row>
    <row r="752" spans="1:10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 s="1">
        <f t="shared" si="11"/>
        <v>431.984</v>
      </c>
      <c r="H752" t="str">
        <f>VLOOKUP(C752,[1]products!$A:$B,2,0)</f>
        <v>Electra Girl's Hawaii 1 (16-inch) - 2015/2016</v>
      </c>
      <c r="I752">
        <f>VLOOKUP(H752,[1]products!$B:$D,3,0)</f>
        <v>3</v>
      </c>
      <c r="J752" t="str">
        <f>VLOOKUP(I752,[2]categories!$A$2:$B$8,2,0)</f>
        <v>Cruisers Bicycles</v>
      </c>
    </row>
    <row r="753" spans="1:10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 s="1">
        <f t="shared" si="11"/>
        <v>539.982</v>
      </c>
      <c r="H753" t="str">
        <f>VLOOKUP(C753,[1]products!$A:$B,2,0)</f>
        <v>Electra Girl's Hawaii 1 (20-inch) - 2015/2016</v>
      </c>
      <c r="I753">
        <f>VLOOKUP(H753,[1]products!$B:$D,3,0)</f>
        <v>1</v>
      </c>
      <c r="J753" t="str">
        <f>VLOOKUP(I753,[2]categories!$A$2:$B$8,2,0)</f>
        <v>Children Bicycles</v>
      </c>
    </row>
    <row r="754" spans="1:10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 s="1">
        <f t="shared" si="11"/>
        <v>494.991</v>
      </c>
      <c r="H754" t="str">
        <f>VLOOKUP(C754,[1]products!$A:$B,2,0)</f>
        <v>Electra Townie Original 21D - 2016</v>
      </c>
      <c r="I754">
        <f>VLOOKUP(H754,[1]products!$B:$D,3,0)</f>
        <v>3</v>
      </c>
      <c r="J754" t="str">
        <f>VLOOKUP(I754,[2]categories!$A$2:$B$8,2,0)</f>
        <v>Cruisers Bicycles</v>
      </c>
    </row>
    <row r="755" spans="1:10">
      <c r="A755">
        <v>267</v>
      </c>
      <c r="B755">
        <v>4</v>
      </c>
      <c r="C755">
        <v>7</v>
      </c>
      <c r="D755">
        <v>2</v>
      </c>
      <c r="E755">
        <v>3999.99</v>
      </c>
      <c r="F755">
        <v>0.07</v>
      </c>
      <c r="G755" s="1">
        <f t="shared" si="11"/>
        <v>7439.9814</v>
      </c>
      <c r="H755" t="str">
        <f>VLOOKUP(C755,[1]products!$A:$B,2,0)</f>
        <v>Trek Slash 8 27.5 - 2016</v>
      </c>
      <c r="I755">
        <f>VLOOKUP(H755,[1]products!$B:$D,3,0)</f>
        <v>6</v>
      </c>
      <c r="J755" t="str">
        <f>VLOOKUP(I755,[2]categories!$A$2:$B$8,2,0)</f>
        <v>Mountain Bikes</v>
      </c>
    </row>
    <row r="756" spans="1:10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 s="1">
        <f t="shared" si="11"/>
        <v>256.4905</v>
      </c>
      <c r="H756" t="str">
        <f>VLOOKUP(C756,[1]products!$A:$B,2,0)</f>
        <v>Electra Cruiser 1 (24-Inch) - 2016</v>
      </c>
      <c r="I756">
        <f>VLOOKUP(H756,[1]products!$B:$D,3,0)</f>
        <v>3</v>
      </c>
      <c r="J756" t="str">
        <f>VLOOKUP(I756,[2]categories!$A$2:$B$8,2,0)</f>
        <v>Cruisers Bicycles</v>
      </c>
    </row>
    <row r="757" spans="1:10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 s="1">
        <f t="shared" si="11"/>
        <v>3799.9905</v>
      </c>
      <c r="H757" t="str">
        <f>VLOOKUP(C757,[1]products!$A:$B,2,0)</f>
        <v>Trek Slash 8 27.5 - 2016</v>
      </c>
      <c r="I757">
        <f>VLOOKUP(H757,[1]products!$B:$D,3,0)</f>
        <v>6</v>
      </c>
      <c r="J757" t="str">
        <f>VLOOKUP(I757,[2]categories!$A$2:$B$8,2,0)</f>
        <v>Mountain Bikes</v>
      </c>
    </row>
    <row r="758" spans="1:10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 s="1">
        <f t="shared" si="11"/>
        <v>751.984</v>
      </c>
      <c r="H758" t="str">
        <f>VLOOKUP(C758,[1]products!$A:$B,2,0)</f>
        <v>Surly Ice Cream Truck Frameset - 2016</v>
      </c>
      <c r="I758">
        <f>VLOOKUP(H758,[1]products!$B:$D,3,0)</f>
        <v>6</v>
      </c>
      <c r="J758" t="str">
        <f>VLOOKUP(I758,[2]categories!$A$2:$B$8,2,0)</f>
        <v>Mountain Bikes</v>
      </c>
    </row>
    <row r="759" spans="1:10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 s="1">
        <f t="shared" si="11"/>
        <v>2699.991</v>
      </c>
      <c r="H759" t="str">
        <f>VLOOKUP(C759,[1]products!$A:$B,2,0)</f>
        <v>Trek Conduit+ - 2016</v>
      </c>
      <c r="I759">
        <f>VLOOKUP(H759,[1]products!$B:$D,3,0)</f>
        <v>5</v>
      </c>
      <c r="J759" t="str">
        <f>VLOOKUP(I759,[2]categories!$A$2:$B$8,2,0)</f>
        <v>Electric Bikes</v>
      </c>
    </row>
    <row r="760" spans="1:10">
      <c r="A760">
        <v>269</v>
      </c>
      <c r="B760">
        <v>1</v>
      </c>
      <c r="C760">
        <v>5</v>
      </c>
      <c r="D760">
        <v>1</v>
      </c>
      <c r="E760">
        <v>1320.99</v>
      </c>
      <c r="F760">
        <v>0.07</v>
      </c>
      <c r="G760" s="1">
        <f t="shared" si="11"/>
        <v>1228.5207</v>
      </c>
      <c r="H760" t="str">
        <f>VLOOKUP(C760,[1]products!$A:$B,2,0)</f>
        <v>Heller Shagamaw Frame - 2016</v>
      </c>
      <c r="I760">
        <f>VLOOKUP(H760,[1]products!$B:$D,3,0)</f>
        <v>6</v>
      </c>
      <c r="J760" t="str">
        <f>VLOOKUP(I760,[2]categories!$A$2:$B$8,2,0)</f>
        <v>Mountain Bikes</v>
      </c>
    </row>
    <row r="761" spans="1:10">
      <c r="A761">
        <v>269</v>
      </c>
      <c r="B761">
        <v>2</v>
      </c>
      <c r="C761">
        <v>23</v>
      </c>
      <c r="D761">
        <v>2</v>
      </c>
      <c r="E761">
        <v>299.99</v>
      </c>
      <c r="F761">
        <v>0.07</v>
      </c>
      <c r="G761" s="1">
        <f t="shared" si="11"/>
        <v>557.9814</v>
      </c>
      <c r="H761" t="str">
        <f>VLOOKUP(C761,[1]products!$A:$B,2,0)</f>
        <v>Electra Girl's Hawaii 1 (20-inch) - 2015/2016</v>
      </c>
      <c r="I761">
        <f>VLOOKUP(H761,[1]products!$B:$D,3,0)</f>
        <v>1</v>
      </c>
      <c r="J761" t="str">
        <f>VLOOKUP(I761,[2]categories!$A$2:$B$8,2,0)</f>
        <v>Children Bicycles</v>
      </c>
    </row>
    <row r="762" spans="1:10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 s="1">
        <f t="shared" si="11"/>
        <v>426.55</v>
      </c>
      <c r="H762" t="str">
        <f>VLOOKUP(C762,[1]products!$A:$B,2,0)</f>
        <v>Pure Cycles Western 3-Speed - Women's - 2015/2016</v>
      </c>
      <c r="I762">
        <f>VLOOKUP(H762,[1]products!$B:$D,3,0)</f>
        <v>3</v>
      </c>
      <c r="J762" t="str">
        <f>VLOOKUP(I762,[2]categories!$A$2:$B$8,2,0)</f>
        <v>Cruisers Bicycles</v>
      </c>
    </row>
    <row r="763" spans="1:10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 s="1">
        <f t="shared" si="11"/>
        <v>949.9905</v>
      </c>
      <c r="H763" t="str">
        <f>VLOOKUP(C763,[1]products!$A:$B,2,0)</f>
        <v>Surly Wednesday Frameset - 2016</v>
      </c>
      <c r="I763">
        <f>VLOOKUP(H763,[1]products!$B:$D,3,0)</f>
        <v>6</v>
      </c>
      <c r="J763" t="str">
        <f>VLOOKUP(I763,[2]categories!$A$2:$B$8,2,0)</f>
        <v>Mountain Bikes</v>
      </c>
    </row>
    <row r="764" spans="1:10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 s="1">
        <f t="shared" si="11"/>
        <v>799.984</v>
      </c>
      <c r="H764" t="str">
        <f>VLOOKUP(C764,[1]products!$A:$B,2,0)</f>
        <v>Electra Townie Original 7D - 2015/2016</v>
      </c>
      <c r="I764">
        <f>VLOOKUP(H764,[1]products!$B:$D,3,0)</f>
        <v>2</v>
      </c>
      <c r="J764" t="str">
        <f>VLOOKUP(I764,[2]categories!$A$2:$B$8,2,0)</f>
        <v>Comfort Bicycles</v>
      </c>
    </row>
    <row r="765" spans="1:10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 s="1">
        <f t="shared" si="11"/>
        <v>476.991</v>
      </c>
      <c r="H765" t="str">
        <f>VLOOKUP(C765,[1]products!$A:$B,2,0)</f>
        <v>Electra Moto 1 - 2016</v>
      </c>
      <c r="I765">
        <f>VLOOKUP(H765,[1]products!$B:$D,3,0)</f>
        <v>3</v>
      </c>
      <c r="J765" t="str">
        <f>VLOOKUP(I765,[2]categories!$A$2:$B$8,2,0)</f>
        <v>Cruisers Bicycles</v>
      </c>
    </row>
    <row r="766" spans="1:10">
      <c r="A766">
        <v>271</v>
      </c>
      <c r="B766">
        <v>1</v>
      </c>
      <c r="C766">
        <v>11</v>
      </c>
      <c r="D766">
        <v>2</v>
      </c>
      <c r="E766">
        <v>1680.99</v>
      </c>
      <c r="F766">
        <v>0.07</v>
      </c>
      <c r="G766" s="1">
        <f t="shared" si="11"/>
        <v>3126.6414</v>
      </c>
      <c r="H766" t="str">
        <f>VLOOKUP(C766,[1]products!$A:$B,2,0)</f>
        <v>Surly Straggler 650b - 2016</v>
      </c>
      <c r="I766">
        <f>VLOOKUP(H766,[1]products!$B:$D,3,0)</f>
        <v>4</v>
      </c>
      <c r="J766" t="str">
        <f>VLOOKUP(I766,[2]categories!$A$2:$B$8,2,0)</f>
        <v>Cyclocross Bicycles</v>
      </c>
    </row>
    <row r="767" spans="1:10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 s="1">
        <f t="shared" si="11"/>
        <v>892.981</v>
      </c>
      <c r="H767" t="str">
        <f>VLOOKUP(C767,[1]products!$A:$B,2,0)</f>
        <v>Surly Ice Cream Truck Frameset - 2016</v>
      </c>
      <c r="I767">
        <f>VLOOKUP(H767,[1]products!$B:$D,3,0)</f>
        <v>6</v>
      </c>
      <c r="J767" t="str">
        <f>VLOOKUP(I767,[2]categories!$A$2:$B$8,2,0)</f>
        <v>Mountain Bikes</v>
      </c>
    </row>
    <row r="768" spans="1:10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 s="1">
        <f t="shared" si="11"/>
        <v>242.991</v>
      </c>
      <c r="H768" t="str">
        <f>VLOOKUP(C768,[1]products!$A:$B,2,0)</f>
        <v>Electra Cruiser 1 (24-Inch) - 2016</v>
      </c>
      <c r="I768">
        <f>VLOOKUP(H768,[1]products!$B:$D,3,0)</f>
        <v>3</v>
      </c>
      <c r="J768" t="str">
        <f>VLOOKUP(I768,[2]categories!$A$2:$B$8,2,0)</f>
        <v>Cruisers Bicycles</v>
      </c>
    </row>
    <row r="769" spans="1:10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 s="1">
        <f t="shared" si="11"/>
        <v>7199.982</v>
      </c>
      <c r="H769" t="str">
        <f>VLOOKUP(C769,[1]products!$A:$B,2,0)</f>
        <v>Trek Slash 8 27.5 - 2016</v>
      </c>
      <c r="I769">
        <f>VLOOKUP(H769,[1]products!$B:$D,3,0)</f>
        <v>6</v>
      </c>
      <c r="J769" t="str">
        <f>VLOOKUP(I769,[2]categories!$A$2:$B$8,2,0)</f>
        <v>Mountain Bikes</v>
      </c>
    </row>
    <row r="770" spans="1:10">
      <c r="A770">
        <v>272</v>
      </c>
      <c r="B770">
        <v>1</v>
      </c>
      <c r="C770">
        <v>2</v>
      </c>
      <c r="D770">
        <v>2</v>
      </c>
      <c r="E770">
        <v>749.99</v>
      </c>
      <c r="F770">
        <v>0.07</v>
      </c>
      <c r="G770" s="1">
        <f t="shared" ref="G770:G833" si="12">D770*E770*(1-F770)</f>
        <v>1394.9814</v>
      </c>
      <c r="H770" t="str">
        <f>VLOOKUP(C770,[1]products!$A:$B,2,0)</f>
        <v>Ritchey Timberwolf Frameset - 2016</v>
      </c>
      <c r="I770">
        <f>VLOOKUP(H770,[1]products!$B:$D,3,0)</f>
        <v>6</v>
      </c>
      <c r="J770" t="str">
        <f>VLOOKUP(I770,[2]categories!$A$2:$B$8,2,0)</f>
        <v>Mountain Bikes</v>
      </c>
    </row>
    <row r="771" spans="1:10">
      <c r="A771">
        <v>272</v>
      </c>
      <c r="B771">
        <v>2</v>
      </c>
      <c r="C771">
        <v>11</v>
      </c>
      <c r="D771">
        <v>1</v>
      </c>
      <c r="E771">
        <v>1680.99</v>
      </c>
      <c r="F771">
        <v>0.07</v>
      </c>
      <c r="G771" s="1">
        <f t="shared" si="12"/>
        <v>1563.3207</v>
      </c>
      <c r="H771" t="str">
        <f>VLOOKUP(C771,[1]products!$A:$B,2,0)</f>
        <v>Surly Straggler 650b - 2016</v>
      </c>
      <c r="I771">
        <f>VLOOKUP(H771,[1]products!$B:$D,3,0)</f>
        <v>4</v>
      </c>
      <c r="J771" t="str">
        <f>VLOOKUP(I771,[2]categories!$A$2:$B$8,2,0)</f>
        <v>Cyclocross Bicycles</v>
      </c>
    </row>
    <row r="772" spans="1:10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 s="1">
        <f t="shared" si="12"/>
        <v>242.991</v>
      </c>
      <c r="H772" t="str">
        <f>VLOOKUP(C772,[1]products!$A:$B,2,0)</f>
        <v>Electra Cruiser 1 (24-Inch) - 2016</v>
      </c>
      <c r="I772">
        <f>VLOOKUP(H772,[1]products!$B:$D,3,0)</f>
        <v>3</v>
      </c>
      <c r="J772" t="str">
        <f>VLOOKUP(I772,[2]categories!$A$2:$B$8,2,0)</f>
        <v>Cruisers Bicycles</v>
      </c>
    </row>
    <row r="773" spans="1:10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 s="1">
        <f t="shared" si="12"/>
        <v>3193.881</v>
      </c>
      <c r="H773" t="str">
        <f>VLOOKUP(C773,[1]products!$A:$B,2,0)</f>
        <v>Surly Straggler 650b - 2016</v>
      </c>
      <c r="I773">
        <f>VLOOKUP(H773,[1]products!$B:$D,3,0)</f>
        <v>4</v>
      </c>
      <c r="J773" t="str">
        <f>VLOOKUP(I773,[2]categories!$A$2:$B$8,2,0)</f>
        <v>Cyclocross Bicycles</v>
      </c>
    </row>
    <row r="774" spans="1:10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 s="1">
        <f t="shared" si="12"/>
        <v>899.982</v>
      </c>
      <c r="H774" t="str">
        <f>VLOOKUP(C774,[1]products!$A:$B,2,0)</f>
        <v>Electra Townie Original 7D - 2015/2016</v>
      </c>
      <c r="I774">
        <f>VLOOKUP(H774,[1]products!$B:$D,3,0)</f>
        <v>2</v>
      </c>
      <c r="J774" t="str">
        <f>VLOOKUP(I774,[2]categories!$A$2:$B$8,2,0)</f>
        <v>Comfort Bicycles</v>
      </c>
    </row>
    <row r="775" spans="1:10">
      <c r="A775">
        <v>274</v>
      </c>
      <c r="B775">
        <v>3</v>
      </c>
      <c r="C775">
        <v>9</v>
      </c>
      <c r="D775">
        <v>2</v>
      </c>
      <c r="E775">
        <v>2999.99</v>
      </c>
      <c r="F775">
        <v>0.07</v>
      </c>
      <c r="G775" s="1">
        <f t="shared" si="12"/>
        <v>5579.9814</v>
      </c>
      <c r="H775" t="str">
        <f>VLOOKUP(C775,[1]products!$A:$B,2,0)</f>
        <v>Trek Conduit+ - 2016</v>
      </c>
      <c r="I775">
        <f>VLOOKUP(H775,[1]products!$B:$D,3,0)</f>
        <v>5</v>
      </c>
      <c r="J775" t="str">
        <f>VLOOKUP(I775,[2]categories!$A$2:$B$8,2,0)</f>
        <v>Electric Bikes</v>
      </c>
    </row>
    <row r="776" spans="1:10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 s="1">
        <f t="shared" si="12"/>
        <v>426.55</v>
      </c>
      <c r="H776" t="str">
        <f>VLOOKUP(C776,[1]products!$A:$B,2,0)</f>
        <v>Pure Cycles Western 3-Speed - Women's - 2015/2016</v>
      </c>
      <c r="I776">
        <f>VLOOKUP(H776,[1]products!$B:$D,3,0)</f>
        <v>3</v>
      </c>
      <c r="J776" t="str">
        <f>VLOOKUP(I776,[2]categories!$A$2:$B$8,2,0)</f>
        <v>Cruisers Bicycles</v>
      </c>
    </row>
    <row r="777" spans="1:10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 s="1">
        <f t="shared" si="12"/>
        <v>449.991</v>
      </c>
      <c r="H777" t="str">
        <f>VLOOKUP(C777,[1]products!$A:$B,2,0)</f>
        <v>Electra Townie Original 7D - 2015/2016</v>
      </c>
      <c r="I777">
        <f>VLOOKUP(H777,[1]products!$B:$D,3,0)</f>
        <v>2</v>
      </c>
      <c r="J777" t="str">
        <f>VLOOKUP(I777,[2]categories!$A$2:$B$8,2,0)</f>
        <v>Comfort Bicycles</v>
      </c>
    </row>
    <row r="778" spans="1:10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 s="1">
        <f t="shared" si="12"/>
        <v>7599.981</v>
      </c>
      <c r="H778" t="str">
        <f>VLOOKUP(C778,[1]products!$A:$B,2,0)</f>
        <v>Trek Slash 8 27.5 - 2016</v>
      </c>
      <c r="I778">
        <f>VLOOKUP(H778,[1]products!$B:$D,3,0)</f>
        <v>6</v>
      </c>
      <c r="J778" t="str">
        <f>VLOOKUP(I778,[2]categories!$A$2:$B$8,2,0)</f>
        <v>Mountain Bikes</v>
      </c>
    </row>
    <row r="779" spans="1:10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 s="1">
        <f t="shared" si="12"/>
        <v>1599.984</v>
      </c>
      <c r="H779" t="str">
        <f>VLOOKUP(C779,[1]products!$A:$B,2,0)</f>
        <v>Surly Wednesday Frameset - 2016</v>
      </c>
      <c r="I779">
        <f>VLOOKUP(H779,[1]products!$B:$D,3,0)</f>
        <v>6</v>
      </c>
      <c r="J779" t="str">
        <f>VLOOKUP(I779,[2]categories!$A$2:$B$8,2,0)</f>
        <v>Mountain Bikes</v>
      </c>
    </row>
    <row r="780" spans="1:10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 s="1">
        <f t="shared" si="12"/>
        <v>407.55</v>
      </c>
      <c r="H780" t="str">
        <f>VLOOKUP(C780,[1]products!$A:$B,2,0)</f>
        <v>Pure Cycles Vine 8-Speed - 2016</v>
      </c>
      <c r="I780">
        <f>VLOOKUP(H780,[1]products!$B:$D,3,0)</f>
        <v>3</v>
      </c>
      <c r="J780" t="str">
        <f>VLOOKUP(I780,[2]categories!$A$2:$B$8,2,0)</f>
        <v>Cruisers Bicycles</v>
      </c>
    </row>
    <row r="781" spans="1:10">
      <c r="A781">
        <v>276</v>
      </c>
      <c r="B781">
        <v>3</v>
      </c>
      <c r="C781">
        <v>9</v>
      </c>
      <c r="D781">
        <v>2</v>
      </c>
      <c r="E781">
        <v>2999.99</v>
      </c>
      <c r="F781">
        <v>0.07</v>
      </c>
      <c r="G781" s="1">
        <f t="shared" si="12"/>
        <v>5579.9814</v>
      </c>
      <c r="H781" t="str">
        <f>VLOOKUP(C781,[1]products!$A:$B,2,0)</f>
        <v>Trek Conduit+ - 2016</v>
      </c>
      <c r="I781">
        <f>VLOOKUP(H781,[1]products!$B:$D,3,0)</f>
        <v>5</v>
      </c>
      <c r="J781" t="str">
        <f>VLOOKUP(I781,[2]categories!$A$2:$B$8,2,0)</f>
        <v>Electric Bikes</v>
      </c>
    </row>
    <row r="782" spans="1:10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 s="1">
        <f t="shared" si="12"/>
        <v>959.984</v>
      </c>
      <c r="H782" t="str">
        <f>VLOOKUP(C782,[1]products!$A:$B,2,0)</f>
        <v>Electra Townie Original 7D EQ - Women's - 2016</v>
      </c>
      <c r="I782">
        <f>VLOOKUP(H782,[1]products!$B:$D,3,0)</f>
        <v>3</v>
      </c>
      <c r="J782" t="str">
        <f>VLOOKUP(I782,[2]categories!$A$2:$B$8,2,0)</f>
        <v>Cruisers Bicycles</v>
      </c>
    </row>
    <row r="783" spans="1:10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 s="1">
        <f t="shared" si="12"/>
        <v>751.984</v>
      </c>
      <c r="H783" t="str">
        <f>VLOOKUP(C783,[1]products!$A:$B,2,0)</f>
        <v>Surly Ice Cream Truck Frameset - 2016</v>
      </c>
      <c r="I783">
        <f>VLOOKUP(H783,[1]products!$B:$D,3,0)</f>
        <v>6</v>
      </c>
      <c r="J783" t="str">
        <f>VLOOKUP(I783,[2]categories!$A$2:$B$8,2,0)</f>
        <v>Mountain Bikes</v>
      </c>
    </row>
    <row r="784" spans="1:10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 s="1">
        <f t="shared" si="12"/>
        <v>485.982</v>
      </c>
      <c r="H784" t="str">
        <f>VLOOKUP(C784,[1]products!$A:$B,2,0)</f>
        <v>Electra Cruiser 1 (24-Inch) - 2016</v>
      </c>
      <c r="I784">
        <f>VLOOKUP(H784,[1]products!$B:$D,3,0)</f>
        <v>3</v>
      </c>
      <c r="J784" t="str">
        <f>VLOOKUP(I784,[2]categories!$A$2:$B$8,2,0)</f>
        <v>Cruisers Bicycles</v>
      </c>
    </row>
    <row r="785" spans="1:10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 s="1">
        <f t="shared" si="12"/>
        <v>479.992</v>
      </c>
      <c r="H785" t="str">
        <f>VLOOKUP(C785,[1]products!$A:$B,2,0)</f>
        <v>Electra Townie Original 7D EQ - 2016</v>
      </c>
      <c r="I785">
        <f>VLOOKUP(H785,[1]products!$B:$D,3,0)</f>
        <v>3</v>
      </c>
      <c r="J785" t="str">
        <f>VLOOKUP(I785,[2]categories!$A$2:$B$8,2,0)</f>
        <v>Cruisers Bicycles</v>
      </c>
    </row>
    <row r="786" spans="1:10">
      <c r="A786">
        <v>278</v>
      </c>
      <c r="B786">
        <v>2</v>
      </c>
      <c r="C786">
        <v>19</v>
      </c>
      <c r="D786">
        <v>2</v>
      </c>
      <c r="E786">
        <v>449</v>
      </c>
      <c r="F786">
        <v>0.07</v>
      </c>
      <c r="G786" s="1">
        <f t="shared" si="12"/>
        <v>835.14</v>
      </c>
      <c r="H786" t="str">
        <f>VLOOKUP(C786,[1]products!$A:$B,2,0)</f>
        <v>Pure Cycles William 3-Speed - 2016</v>
      </c>
      <c r="I786">
        <f>VLOOKUP(H786,[1]products!$B:$D,3,0)</f>
        <v>3</v>
      </c>
      <c r="J786" t="str">
        <f>VLOOKUP(I786,[2]categories!$A$2:$B$8,2,0)</f>
        <v>Cruisers Bicycles</v>
      </c>
    </row>
    <row r="787" spans="1:10">
      <c r="A787">
        <v>278</v>
      </c>
      <c r="B787">
        <v>3</v>
      </c>
      <c r="C787">
        <v>13</v>
      </c>
      <c r="D787">
        <v>1</v>
      </c>
      <c r="E787">
        <v>269.99</v>
      </c>
      <c r="F787">
        <v>0.07</v>
      </c>
      <c r="G787" s="1">
        <f t="shared" si="12"/>
        <v>251.0907</v>
      </c>
      <c r="H787" t="str">
        <f>VLOOKUP(C787,[1]products!$A:$B,2,0)</f>
        <v>Electra Cruiser 1 (24-Inch) - 2016</v>
      </c>
      <c r="I787">
        <f>VLOOKUP(H787,[1]products!$B:$D,3,0)</f>
        <v>3</v>
      </c>
      <c r="J787" t="str">
        <f>VLOOKUP(I787,[2]categories!$A$2:$B$8,2,0)</f>
        <v>Cruisers Bicycles</v>
      </c>
    </row>
    <row r="788" spans="1:10">
      <c r="A788">
        <v>278</v>
      </c>
      <c r="B788">
        <v>4</v>
      </c>
      <c r="C788">
        <v>11</v>
      </c>
      <c r="D788">
        <v>2</v>
      </c>
      <c r="E788">
        <v>1680.99</v>
      </c>
      <c r="F788">
        <v>0.07</v>
      </c>
      <c r="G788" s="1">
        <f t="shared" si="12"/>
        <v>3126.6414</v>
      </c>
      <c r="H788" t="str">
        <f>VLOOKUP(C788,[1]products!$A:$B,2,0)</f>
        <v>Surly Straggler 650b - 2016</v>
      </c>
      <c r="I788">
        <f>VLOOKUP(H788,[1]products!$B:$D,3,0)</f>
        <v>4</v>
      </c>
      <c r="J788" t="str">
        <f>VLOOKUP(I788,[2]categories!$A$2:$B$8,2,0)</f>
        <v>Cyclocross Bicycles</v>
      </c>
    </row>
    <row r="789" spans="1:10">
      <c r="A789">
        <v>279</v>
      </c>
      <c r="B789">
        <v>1</v>
      </c>
      <c r="C789">
        <v>25</v>
      </c>
      <c r="D789">
        <v>1</v>
      </c>
      <c r="E789">
        <v>499.99</v>
      </c>
      <c r="F789">
        <v>0.07</v>
      </c>
      <c r="G789" s="1">
        <f t="shared" si="12"/>
        <v>464.9907</v>
      </c>
      <c r="H789" t="str">
        <f>VLOOKUP(C789,[1]products!$A:$B,2,0)</f>
        <v>Electra Townie Original 7D - 2015/2016</v>
      </c>
      <c r="I789">
        <f>VLOOKUP(H789,[1]products!$B:$D,3,0)</f>
        <v>2</v>
      </c>
      <c r="J789" t="str">
        <f>VLOOKUP(I789,[2]categories!$A$2:$B$8,2,0)</f>
        <v>Comfort Bicycles</v>
      </c>
    </row>
    <row r="790" spans="1:10">
      <c r="A790">
        <v>280</v>
      </c>
      <c r="B790">
        <v>1</v>
      </c>
      <c r="C790">
        <v>25</v>
      </c>
      <c r="D790">
        <v>1</v>
      </c>
      <c r="E790">
        <v>499.99</v>
      </c>
      <c r="F790">
        <v>0.07</v>
      </c>
      <c r="G790" s="1">
        <f t="shared" si="12"/>
        <v>464.9907</v>
      </c>
      <c r="H790" t="str">
        <f>VLOOKUP(C790,[1]products!$A:$B,2,0)</f>
        <v>Electra Townie Original 7D - 2015/2016</v>
      </c>
      <c r="I790">
        <f>VLOOKUP(H790,[1]products!$B:$D,3,0)</f>
        <v>2</v>
      </c>
      <c r="J790" t="str">
        <f>VLOOKUP(I790,[2]categories!$A$2:$B$8,2,0)</f>
        <v>Comfort Bicycles</v>
      </c>
    </row>
    <row r="791" spans="1:10">
      <c r="A791">
        <v>280</v>
      </c>
      <c r="B791">
        <v>2</v>
      </c>
      <c r="C791">
        <v>26</v>
      </c>
      <c r="D791">
        <v>2</v>
      </c>
      <c r="E791">
        <v>599.99</v>
      </c>
      <c r="F791">
        <v>0.07</v>
      </c>
      <c r="G791" s="1">
        <f t="shared" si="12"/>
        <v>1115.9814</v>
      </c>
      <c r="H791" t="str">
        <f>VLOOKUP(C791,[1]products!$A:$B,2,0)</f>
        <v>Electra Townie Original 7D EQ - 2016</v>
      </c>
      <c r="I791">
        <f>VLOOKUP(H791,[1]products!$B:$D,3,0)</f>
        <v>3</v>
      </c>
      <c r="J791" t="str">
        <f>VLOOKUP(I791,[2]categories!$A$2:$B$8,2,0)</f>
        <v>Cruisers Bicycles</v>
      </c>
    </row>
    <row r="792" spans="1:10">
      <c r="A792">
        <v>280</v>
      </c>
      <c r="B792">
        <v>3</v>
      </c>
      <c r="C792">
        <v>13</v>
      </c>
      <c r="D792">
        <v>1</v>
      </c>
      <c r="E792">
        <v>269.99</v>
      </c>
      <c r="F792">
        <v>0.07</v>
      </c>
      <c r="G792" s="1">
        <f t="shared" si="12"/>
        <v>251.0907</v>
      </c>
      <c r="H792" t="str">
        <f>VLOOKUP(C792,[1]products!$A:$B,2,0)</f>
        <v>Electra Cruiser 1 (24-Inch) - 2016</v>
      </c>
      <c r="I792">
        <f>VLOOKUP(H792,[1]products!$B:$D,3,0)</f>
        <v>3</v>
      </c>
      <c r="J792" t="str">
        <f>VLOOKUP(I792,[2]categories!$A$2:$B$8,2,0)</f>
        <v>Cruisers Bicycles</v>
      </c>
    </row>
    <row r="793" spans="1:10">
      <c r="A793">
        <v>281</v>
      </c>
      <c r="B793">
        <v>1</v>
      </c>
      <c r="C793">
        <v>22</v>
      </c>
      <c r="D793">
        <v>1</v>
      </c>
      <c r="E793">
        <v>269.99</v>
      </c>
      <c r="F793">
        <v>0.07</v>
      </c>
      <c r="G793" s="1">
        <f t="shared" si="12"/>
        <v>251.0907</v>
      </c>
      <c r="H793" t="str">
        <f>VLOOKUP(C793,[1]products!$A:$B,2,0)</f>
        <v>Electra Girl's Hawaii 1 (16-inch) - 2015/2016</v>
      </c>
      <c r="I793">
        <f>VLOOKUP(H793,[1]products!$B:$D,3,0)</f>
        <v>3</v>
      </c>
      <c r="J793" t="str">
        <f>VLOOKUP(I793,[2]categories!$A$2:$B$8,2,0)</f>
        <v>Cruisers Bicycles</v>
      </c>
    </row>
    <row r="794" spans="1:10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 s="1">
        <f t="shared" si="12"/>
        <v>485.982</v>
      </c>
      <c r="H794" t="str">
        <f>VLOOKUP(C794,[1]products!$A:$B,2,0)</f>
        <v>Electra Girl's Hawaii 1 (16-inch) - 2015/2016</v>
      </c>
      <c r="I794">
        <f>VLOOKUP(H794,[1]products!$B:$D,3,0)</f>
        <v>3</v>
      </c>
      <c r="J794" t="str">
        <f>VLOOKUP(I794,[2]categories!$A$2:$B$8,2,0)</f>
        <v>Cruisers Bicycles</v>
      </c>
    </row>
    <row r="795" spans="1:10">
      <c r="A795">
        <v>281</v>
      </c>
      <c r="B795">
        <v>3</v>
      </c>
      <c r="C795">
        <v>7</v>
      </c>
      <c r="D795">
        <v>2</v>
      </c>
      <c r="E795">
        <v>3999.99</v>
      </c>
      <c r="F795">
        <v>0.07</v>
      </c>
      <c r="G795" s="1">
        <f t="shared" si="12"/>
        <v>7439.9814</v>
      </c>
      <c r="H795" t="str">
        <f>VLOOKUP(C795,[1]products!$A:$B,2,0)</f>
        <v>Trek Slash 8 27.5 - 2016</v>
      </c>
      <c r="I795">
        <f>VLOOKUP(H795,[1]products!$B:$D,3,0)</f>
        <v>6</v>
      </c>
      <c r="J795" t="str">
        <f>VLOOKUP(I795,[2]categories!$A$2:$B$8,2,0)</f>
        <v>Mountain Bikes</v>
      </c>
    </row>
    <row r="796" spans="1:10">
      <c r="A796">
        <v>282</v>
      </c>
      <c r="B796">
        <v>1</v>
      </c>
      <c r="C796">
        <v>20</v>
      </c>
      <c r="D796">
        <v>1</v>
      </c>
      <c r="E796">
        <v>599.99</v>
      </c>
      <c r="F796">
        <v>0.07</v>
      </c>
      <c r="G796" s="1">
        <f t="shared" si="12"/>
        <v>557.9907</v>
      </c>
      <c r="H796" t="str">
        <f>VLOOKUP(C796,[1]products!$A:$B,2,0)</f>
        <v>Electra Townie Original 7D EQ - Women's - 2016</v>
      </c>
      <c r="I796">
        <f>VLOOKUP(H796,[1]products!$B:$D,3,0)</f>
        <v>3</v>
      </c>
      <c r="J796" t="str">
        <f>VLOOKUP(I796,[2]categories!$A$2:$B$8,2,0)</f>
        <v>Cruisers Bicycles</v>
      </c>
    </row>
    <row r="797" spans="1:10">
      <c r="A797">
        <v>282</v>
      </c>
      <c r="B797">
        <v>2</v>
      </c>
      <c r="C797">
        <v>7</v>
      </c>
      <c r="D797">
        <v>2</v>
      </c>
      <c r="E797">
        <v>3999.99</v>
      </c>
      <c r="F797">
        <v>0.07</v>
      </c>
      <c r="G797" s="1">
        <f t="shared" si="12"/>
        <v>7439.9814</v>
      </c>
      <c r="H797" t="str">
        <f>VLOOKUP(C797,[1]products!$A:$B,2,0)</f>
        <v>Trek Slash 8 27.5 - 2016</v>
      </c>
      <c r="I797">
        <f>VLOOKUP(H797,[1]products!$B:$D,3,0)</f>
        <v>6</v>
      </c>
      <c r="J797" t="str">
        <f>VLOOKUP(I797,[2]categories!$A$2:$B$8,2,0)</f>
        <v>Mountain Bikes</v>
      </c>
    </row>
    <row r="798" spans="1:10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 s="1">
        <f t="shared" si="12"/>
        <v>1899.981</v>
      </c>
      <c r="H798" t="str">
        <f>VLOOKUP(C798,[1]products!$A:$B,2,0)</f>
        <v>Surly Wednesday Frameset - 2016</v>
      </c>
      <c r="I798">
        <f>VLOOKUP(H798,[1]products!$B:$D,3,0)</f>
        <v>6</v>
      </c>
      <c r="J798" t="str">
        <f>VLOOKUP(I798,[2]categories!$A$2:$B$8,2,0)</f>
        <v>Mountain Bikes</v>
      </c>
    </row>
    <row r="799" spans="1:10">
      <c r="A799">
        <v>282</v>
      </c>
      <c r="B799">
        <v>4</v>
      </c>
      <c r="C799">
        <v>16</v>
      </c>
      <c r="D799">
        <v>2</v>
      </c>
      <c r="E799">
        <v>599.99</v>
      </c>
      <c r="F799">
        <v>0.07</v>
      </c>
      <c r="G799" s="1">
        <f t="shared" si="12"/>
        <v>1115.9814</v>
      </c>
      <c r="H799" t="str">
        <f>VLOOKUP(C799,[1]products!$A:$B,2,0)</f>
        <v>Electra Townie Original 7D EQ - 2016</v>
      </c>
      <c r="I799">
        <f>VLOOKUP(H799,[1]products!$B:$D,3,0)</f>
        <v>3</v>
      </c>
      <c r="J799" t="str">
        <f>VLOOKUP(I799,[2]categories!$A$2:$B$8,2,0)</f>
        <v>Cruisers Bicycles</v>
      </c>
    </row>
    <row r="800" spans="1:10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 s="1">
        <f t="shared" si="12"/>
        <v>2849.9905</v>
      </c>
      <c r="H800" t="str">
        <f>VLOOKUP(C800,[1]products!$A:$B,2,0)</f>
        <v>Trek Conduit+ - 2016</v>
      </c>
      <c r="I800">
        <f>VLOOKUP(H800,[1]products!$B:$D,3,0)</f>
        <v>5</v>
      </c>
      <c r="J800" t="str">
        <f>VLOOKUP(I800,[2]categories!$A$2:$B$8,2,0)</f>
        <v>Electric Bikes</v>
      </c>
    </row>
    <row r="801" spans="1:10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 s="1">
        <f t="shared" si="12"/>
        <v>959.984</v>
      </c>
      <c r="H801" t="str">
        <f>VLOOKUP(C801,[1]products!$A:$B,2,0)</f>
        <v>Electra Townie Original 7D EQ - 2016</v>
      </c>
      <c r="I801">
        <f>VLOOKUP(H801,[1]products!$B:$D,3,0)</f>
        <v>3</v>
      </c>
      <c r="J801" t="str">
        <f>VLOOKUP(I801,[2]categories!$A$2:$B$8,2,0)</f>
        <v>Cruisers Bicycles</v>
      </c>
    </row>
    <row r="802" spans="1:10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 s="1">
        <f t="shared" si="12"/>
        <v>879.984</v>
      </c>
      <c r="H802" t="str">
        <f>VLOOKUP(C802,[1]products!$A:$B,2,0)</f>
        <v>Electra Townie Original 21D - 2016</v>
      </c>
      <c r="I802">
        <f>VLOOKUP(H802,[1]products!$B:$D,3,0)</f>
        <v>3</v>
      </c>
      <c r="J802" t="str">
        <f>VLOOKUP(I802,[2]categories!$A$2:$B$8,2,0)</f>
        <v>Cruisers Bicycles</v>
      </c>
    </row>
    <row r="803" spans="1:10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 s="1">
        <f t="shared" si="12"/>
        <v>479.992</v>
      </c>
      <c r="H803" t="str">
        <f>VLOOKUP(C803,[1]products!$A:$B,2,0)</f>
        <v>Electra Townie Original 7D EQ - Women's - 2016</v>
      </c>
      <c r="I803">
        <f>VLOOKUP(H803,[1]products!$B:$D,3,0)</f>
        <v>3</v>
      </c>
      <c r="J803" t="str">
        <f>VLOOKUP(I803,[2]categories!$A$2:$B$8,2,0)</f>
        <v>Cruisers Bicycles</v>
      </c>
    </row>
    <row r="804" spans="1:10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 s="1">
        <f t="shared" si="12"/>
        <v>1139.981</v>
      </c>
      <c r="H804" t="str">
        <f>VLOOKUP(C804,[1]products!$A:$B,2,0)</f>
        <v>Electra Townie Original 7D EQ - 2016</v>
      </c>
      <c r="I804">
        <f>VLOOKUP(H804,[1]products!$B:$D,3,0)</f>
        <v>3</v>
      </c>
      <c r="J804" t="str">
        <f>VLOOKUP(I804,[2]categories!$A$2:$B$8,2,0)</f>
        <v>Cruisers Bicycles</v>
      </c>
    </row>
    <row r="805" spans="1:10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 s="1">
        <f t="shared" si="12"/>
        <v>522.4905</v>
      </c>
      <c r="H805" t="str">
        <f>VLOOKUP(C805,[1]products!$A:$B,2,0)</f>
        <v>Electra Townie Original 21D - 2016</v>
      </c>
      <c r="I805">
        <f>VLOOKUP(H805,[1]products!$B:$D,3,0)</f>
        <v>3</v>
      </c>
      <c r="J805" t="str">
        <f>VLOOKUP(I805,[2]categories!$A$2:$B$8,2,0)</f>
        <v>Cruisers Bicycles</v>
      </c>
    </row>
    <row r="806" spans="1:10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 s="1">
        <f t="shared" si="12"/>
        <v>674.991</v>
      </c>
      <c r="H806" t="str">
        <f>VLOOKUP(C806,[1]products!$A:$B,2,0)</f>
        <v>Ritchey Timberwolf Frameset - 2016</v>
      </c>
      <c r="I806">
        <f>VLOOKUP(H806,[1]products!$B:$D,3,0)</f>
        <v>6</v>
      </c>
      <c r="J806" t="str">
        <f>VLOOKUP(I806,[2]categories!$A$2:$B$8,2,0)</f>
        <v>Mountain Bikes</v>
      </c>
    </row>
    <row r="807" spans="1:10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 s="1">
        <f t="shared" si="12"/>
        <v>959.984</v>
      </c>
      <c r="H807" t="str">
        <f>VLOOKUP(C807,[1]products!$A:$B,2,0)</f>
        <v>Electra Townie Original 7D EQ - 2016</v>
      </c>
      <c r="I807">
        <f>VLOOKUP(H807,[1]products!$B:$D,3,0)</f>
        <v>3</v>
      </c>
      <c r="J807" t="str">
        <f>VLOOKUP(I807,[2]categories!$A$2:$B$8,2,0)</f>
        <v>Cruisers Bicycles</v>
      </c>
    </row>
    <row r="808" spans="1:10">
      <c r="A808">
        <v>286</v>
      </c>
      <c r="B808">
        <v>2</v>
      </c>
      <c r="C808">
        <v>21</v>
      </c>
      <c r="D808">
        <v>2</v>
      </c>
      <c r="E808">
        <v>269.99</v>
      </c>
      <c r="F808">
        <v>0.07</v>
      </c>
      <c r="G808" s="1">
        <f t="shared" si="12"/>
        <v>502.1814</v>
      </c>
      <c r="H808" t="str">
        <f>VLOOKUP(C808,[1]products!$A:$B,2,0)</f>
        <v>Electra Cruiser 1 (24-Inch) - 2016</v>
      </c>
      <c r="I808">
        <f>VLOOKUP(H808,[1]products!$B:$D,3,0)</f>
        <v>3</v>
      </c>
      <c r="J808" t="str">
        <f>VLOOKUP(I808,[2]categories!$A$2:$B$8,2,0)</f>
        <v>Cruisers Bicycles</v>
      </c>
    </row>
    <row r="809" spans="1:10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 s="1">
        <f t="shared" si="12"/>
        <v>1079.982</v>
      </c>
      <c r="H809" t="str">
        <f>VLOOKUP(C809,[1]products!$A:$B,2,0)</f>
        <v>Electra Townie Original 7D EQ - 2016</v>
      </c>
      <c r="I809">
        <f>VLOOKUP(H809,[1]products!$B:$D,3,0)</f>
        <v>3</v>
      </c>
      <c r="J809" t="str">
        <f>VLOOKUP(I809,[2]categories!$A$2:$B$8,2,0)</f>
        <v>Cruisers Bicycles</v>
      </c>
    </row>
    <row r="810" spans="1:10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 s="1">
        <f t="shared" si="12"/>
        <v>3599.991</v>
      </c>
      <c r="H810" t="str">
        <f>VLOOKUP(C810,[1]products!$A:$B,2,0)</f>
        <v>Trek Slash 8 27.5 - 2016</v>
      </c>
      <c r="I810">
        <f>VLOOKUP(H810,[1]products!$B:$D,3,0)</f>
        <v>6</v>
      </c>
      <c r="J810" t="str">
        <f>VLOOKUP(I810,[2]categories!$A$2:$B$8,2,0)</f>
        <v>Mountain Bikes</v>
      </c>
    </row>
    <row r="811" spans="1:10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 s="1">
        <f t="shared" si="12"/>
        <v>1056.792</v>
      </c>
      <c r="H811" t="str">
        <f>VLOOKUP(C811,[1]products!$A:$B,2,0)</f>
        <v>Heller Shagamaw Frame - 2016</v>
      </c>
      <c r="I811">
        <f>VLOOKUP(H811,[1]products!$B:$D,3,0)</f>
        <v>6</v>
      </c>
      <c r="J811" t="str">
        <f>VLOOKUP(I811,[2]categories!$A$2:$B$8,2,0)</f>
        <v>Mountain Bikes</v>
      </c>
    </row>
    <row r="812" spans="1:10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 s="1">
        <f t="shared" si="12"/>
        <v>1471.55</v>
      </c>
      <c r="H812" t="str">
        <f>VLOOKUP(C812,[1]products!$A:$B,2,0)</f>
        <v>Surly Straggler - 2016</v>
      </c>
      <c r="I812">
        <f>VLOOKUP(H812,[1]products!$B:$D,3,0)</f>
        <v>4</v>
      </c>
      <c r="J812" t="str">
        <f>VLOOKUP(I812,[2]categories!$A$2:$B$8,2,0)</f>
        <v>Cyclocross Bicycles</v>
      </c>
    </row>
    <row r="813" spans="1:10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 s="1">
        <f t="shared" si="12"/>
        <v>712.4905</v>
      </c>
      <c r="H813" t="str">
        <f>VLOOKUP(C813,[1]products!$A:$B,2,0)</f>
        <v>Ritchey Timberwolf Frameset - 2016</v>
      </c>
      <c r="I813">
        <f>VLOOKUP(H813,[1]products!$B:$D,3,0)</f>
        <v>6</v>
      </c>
      <c r="J813" t="str">
        <f>VLOOKUP(I813,[2]categories!$A$2:$B$8,2,0)</f>
        <v>Mountain Bikes</v>
      </c>
    </row>
    <row r="814" spans="1:10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 s="1">
        <f t="shared" si="12"/>
        <v>569.9905</v>
      </c>
      <c r="H814" t="str">
        <f>VLOOKUP(C814,[1]products!$A:$B,2,0)</f>
        <v>Electra Townie Original 7D EQ - Women's - 2016</v>
      </c>
      <c r="I814">
        <f>VLOOKUP(H814,[1]products!$B:$D,3,0)</f>
        <v>3</v>
      </c>
      <c r="J814" t="str">
        <f>VLOOKUP(I814,[2]categories!$A$2:$B$8,2,0)</f>
        <v>Cruisers Bicycles</v>
      </c>
    </row>
    <row r="815" spans="1:10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 s="1">
        <f t="shared" si="12"/>
        <v>2319.992</v>
      </c>
      <c r="H815" t="str">
        <f>VLOOKUP(C815,[1]products!$A:$B,2,0)</f>
        <v>Trek Fuel EX 8 29 - 2016</v>
      </c>
      <c r="I815">
        <f>VLOOKUP(H815,[1]products!$B:$D,3,0)</f>
        <v>6</v>
      </c>
      <c r="J815" t="str">
        <f>VLOOKUP(I815,[2]categories!$A$2:$B$8,2,0)</f>
        <v>Mountain Bikes</v>
      </c>
    </row>
    <row r="816" spans="1:10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 s="1">
        <f t="shared" si="12"/>
        <v>1394.1</v>
      </c>
      <c r="H816" t="str">
        <f>VLOOKUP(C816,[1]products!$A:$B,2,0)</f>
        <v>Surly Straggler - 2016</v>
      </c>
      <c r="I816">
        <f>VLOOKUP(H816,[1]products!$B:$D,3,0)</f>
        <v>4</v>
      </c>
      <c r="J816" t="str">
        <f>VLOOKUP(I816,[2]categories!$A$2:$B$8,2,0)</f>
        <v>Cyclocross Bicycles</v>
      </c>
    </row>
    <row r="817" spans="1:10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 s="1">
        <f t="shared" si="12"/>
        <v>7599.981</v>
      </c>
      <c r="H817" t="str">
        <f>VLOOKUP(C817,[1]products!$A:$B,2,0)</f>
        <v>Trek Slash 8 27.5 - 2016</v>
      </c>
      <c r="I817">
        <f>VLOOKUP(H817,[1]products!$B:$D,3,0)</f>
        <v>6</v>
      </c>
      <c r="J817" t="str">
        <f>VLOOKUP(I817,[2]categories!$A$2:$B$8,2,0)</f>
        <v>Mountain Bikes</v>
      </c>
    </row>
    <row r="818" spans="1:10">
      <c r="A818">
        <v>289</v>
      </c>
      <c r="B818">
        <v>1</v>
      </c>
      <c r="C818">
        <v>13</v>
      </c>
      <c r="D818">
        <v>1</v>
      </c>
      <c r="E818">
        <v>269.99</v>
      </c>
      <c r="F818">
        <v>0.07</v>
      </c>
      <c r="G818" s="1">
        <f t="shared" si="12"/>
        <v>251.0907</v>
      </c>
      <c r="H818" t="str">
        <f>VLOOKUP(C818,[1]products!$A:$B,2,0)</f>
        <v>Electra Cruiser 1 (24-Inch) - 2016</v>
      </c>
      <c r="I818">
        <f>VLOOKUP(H818,[1]products!$B:$D,3,0)</f>
        <v>3</v>
      </c>
      <c r="J818" t="str">
        <f>VLOOKUP(I818,[2]categories!$A$2:$B$8,2,0)</f>
        <v>Cruisers Bicycles</v>
      </c>
    </row>
    <row r="819" spans="1:10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 s="1">
        <f t="shared" si="12"/>
        <v>439.992</v>
      </c>
      <c r="H819" t="str">
        <f>VLOOKUP(C819,[1]products!$A:$B,2,0)</f>
        <v>Electra Townie Original 21D - 2016</v>
      </c>
      <c r="I819">
        <f>VLOOKUP(H819,[1]products!$B:$D,3,0)</f>
        <v>3</v>
      </c>
      <c r="J819" t="str">
        <f>VLOOKUP(I819,[2]categories!$A$2:$B$8,2,0)</f>
        <v>Cruisers Bicycles</v>
      </c>
    </row>
    <row r="820" spans="1:10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 s="1">
        <f t="shared" si="12"/>
        <v>343.2</v>
      </c>
      <c r="H820" t="str">
        <f>VLOOKUP(C820,[1]products!$A:$B,2,0)</f>
        <v>Pure Cycles Vine 8-Speed - 2016</v>
      </c>
      <c r="I820">
        <f>VLOOKUP(H820,[1]products!$B:$D,3,0)</f>
        <v>3</v>
      </c>
      <c r="J820" t="str">
        <f>VLOOKUP(I820,[2]categories!$A$2:$B$8,2,0)</f>
        <v>Cruisers Bicycles</v>
      </c>
    </row>
    <row r="821" spans="1:10">
      <c r="A821">
        <v>290</v>
      </c>
      <c r="B821">
        <v>1</v>
      </c>
      <c r="C821">
        <v>2</v>
      </c>
      <c r="D821">
        <v>2</v>
      </c>
      <c r="E821">
        <v>749.99</v>
      </c>
      <c r="F821">
        <v>0.07</v>
      </c>
      <c r="G821" s="1">
        <f t="shared" si="12"/>
        <v>1394.9814</v>
      </c>
      <c r="H821" t="str">
        <f>VLOOKUP(C821,[1]products!$A:$B,2,0)</f>
        <v>Ritchey Timberwolf Frameset - 2016</v>
      </c>
      <c r="I821">
        <f>VLOOKUP(H821,[1]products!$B:$D,3,0)</f>
        <v>6</v>
      </c>
      <c r="J821" t="str">
        <f>VLOOKUP(I821,[2]categories!$A$2:$B$8,2,0)</f>
        <v>Mountain Bikes</v>
      </c>
    </row>
    <row r="822" spans="1:10">
      <c r="A822">
        <v>290</v>
      </c>
      <c r="B822">
        <v>2</v>
      </c>
      <c r="C822">
        <v>5</v>
      </c>
      <c r="D822">
        <v>2</v>
      </c>
      <c r="E822">
        <v>1320.99</v>
      </c>
      <c r="F822">
        <v>0.07</v>
      </c>
      <c r="G822" s="1">
        <f t="shared" si="12"/>
        <v>2457.0414</v>
      </c>
      <c r="H822" t="str">
        <f>VLOOKUP(C822,[1]products!$A:$B,2,0)</f>
        <v>Heller Shagamaw Frame - 2016</v>
      </c>
      <c r="I822">
        <f>VLOOKUP(H822,[1]products!$B:$D,3,0)</f>
        <v>6</v>
      </c>
      <c r="J822" t="str">
        <f>VLOOKUP(I822,[2]categories!$A$2:$B$8,2,0)</f>
        <v>Mountain Bikes</v>
      </c>
    </row>
    <row r="823" spans="1:10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 s="1">
        <f t="shared" si="12"/>
        <v>242.991</v>
      </c>
      <c r="H823" t="str">
        <f>VLOOKUP(C823,[1]products!$A:$B,2,0)</f>
        <v>Electra Cruiser 1 (24-Inch) - 2016</v>
      </c>
      <c r="I823">
        <f>VLOOKUP(H823,[1]products!$B:$D,3,0)</f>
        <v>3</v>
      </c>
      <c r="J823" t="str">
        <f>VLOOKUP(I823,[2]categories!$A$2:$B$8,2,0)</f>
        <v>Cruisers Bicycles</v>
      </c>
    </row>
    <row r="824" spans="1:10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 s="1">
        <f t="shared" si="12"/>
        <v>892.981</v>
      </c>
      <c r="H824" t="str">
        <f>VLOOKUP(C824,[1]products!$A:$B,2,0)</f>
        <v>Surly Ice Cream Truck Frameset - 2016</v>
      </c>
      <c r="I824">
        <f>VLOOKUP(H824,[1]products!$B:$D,3,0)</f>
        <v>6</v>
      </c>
      <c r="J824" t="str">
        <f>VLOOKUP(I824,[2]categories!$A$2:$B$8,2,0)</f>
        <v>Mountain Bikes</v>
      </c>
    </row>
    <row r="825" spans="1:10">
      <c r="A825">
        <v>291</v>
      </c>
      <c r="B825">
        <v>2</v>
      </c>
      <c r="C825">
        <v>21</v>
      </c>
      <c r="D825">
        <v>2</v>
      </c>
      <c r="E825">
        <v>269.99</v>
      </c>
      <c r="F825">
        <v>0.07</v>
      </c>
      <c r="G825" s="1">
        <f t="shared" si="12"/>
        <v>502.1814</v>
      </c>
      <c r="H825" t="str">
        <f>VLOOKUP(C825,[1]products!$A:$B,2,0)</f>
        <v>Electra Cruiser 1 (24-Inch) - 2016</v>
      </c>
      <c r="I825">
        <f>VLOOKUP(H825,[1]products!$B:$D,3,0)</f>
        <v>3</v>
      </c>
      <c r="J825" t="str">
        <f>VLOOKUP(I825,[2]categories!$A$2:$B$8,2,0)</f>
        <v>Cruisers Bicycles</v>
      </c>
    </row>
    <row r="826" spans="1:10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 s="1">
        <f t="shared" si="12"/>
        <v>808.2</v>
      </c>
      <c r="H826" t="str">
        <f>VLOOKUP(C826,[1]products!$A:$B,2,0)</f>
        <v>Pure Cycles Western 3-Speed - Women's - 2015/2016</v>
      </c>
      <c r="I826">
        <f>VLOOKUP(H826,[1]products!$B:$D,3,0)</f>
        <v>3</v>
      </c>
      <c r="J826" t="str">
        <f>VLOOKUP(I826,[2]categories!$A$2:$B$8,2,0)</f>
        <v>Cruisers Bicycles</v>
      </c>
    </row>
    <row r="827" spans="1:10">
      <c r="A827">
        <v>292</v>
      </c>
      <c r="B827">
        <v>2</v>
      </c>
      <c r="C827">
        <v>4</v>
      </c>
      <c r="D827">
        <v>1</v>
      </c>
      <c r="E827">
        <v>2899.99</v>
      </c>
      <c r="F827">
        <v>0.07</v>
      </c>
      <c r="G827" s="1">
        <f t="shared" si="12"/>
        <v>2696.9907</v>
      </c>
      <c r="H827" t="str">
        <f>VLOOKUP(C827,[1]products!$A:$B,2,0)</f>
        <v>Trek Fuel EX 8 29 - 2016</v>
      </c>
      <c r="I827">
        <f>VLOOKUP(H827,[1]products!$B:$D,3,0)</f>
        <v>6</v>
      </c>
      <c r="J827" t="str">
        <f>VLOOKUP(I827,[2]categories!$A$2:$B$8,2,0)</f>
        <v>Mountain Bikes</v>
      </c>
    </row>
    <row r="828" spans="1:10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 s="1">
        <f t="shared" si="12"/>
        <v>2943.1</v>
      </c>
      <c r="H828" t="str">
        <f>VLOOKUP(C828,[1]products!$A:$B,2,0)</f>
        <v>Surly Straggler - 2016</v>
      </c>
      <c r="I828">
        <f>VLOOKUP(H828,[1]products!$B:$D,3,0)</f>
        <v>4</v>
      </c>
      <c r="J828" t="str">
        <f>VLOOKUP(I828,[2]categories!$A$2:$B$8,2,0)</f>
        <v>Cyclocross Bicycles</v>
      </c>
    </row>
    <row r="829" spans="1:10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 s="1">
        <f t="shared" si="12"/>
        <v>853.1</v>
      </c>
      <c r="H829" t="str">
        <f>VLOOKUP(C829,[1]products!$A:$B,2,0)</f>
        <v>Pure Cycles William 3-Speed - 2016</v>
      </c>
      <c r="I829">
        <f>VLOOKUP(H829,[1]products!$B:$D,3,0)</f>
        <v>3</v>
      </c>
      <c r="J829" t="str">
        <f>VLOOKUP(I829,[2]categories!$A$2:$B$8,2,0)</f>
        <v>Cruisers Bicycles</v>
      </c>
    </row>
    <row r="830" spans="1:10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 s="1">
        <f t="shared" si="12"/>
        <v>375.992</v>
      </c>
      <c r="H830" t="str">
        <f>VLOOKUP(C830,[1]products!$A:$B,2,0)</f>
        <v>Surly Ice Cream Truck Frameset - 2016</v>
      </c>
      <c r="I830">
        <f>VLOOKUP(H830,[1]products!$B:$D,3,0)</f>
        <v>6</v>
      </c>
      <c r="J830" t="str">
        <f>VLOOKUP(I830,[2]categories!$A$2:$B$8,2,0)</f>
        <v>Mountain Bikes</v>
      </c>
    </row>
    <row r="831" spans="1:10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 s="1">
        <f t="shared" si="12"/>
        <v>359.2</v>
      </c>
      <c r="H831" t="str">
        <f>VLOOKUP(C831,[1]products!$A:$B,2,0)</f>
        <v>Pure Cycles Western 3-Speed - Women's - 2015/2016</v>
      </c>
      <c r="I831">
        <f>VLOOKUP(H831,[1]products!$B:$D,3,0)</f>
        <v>3</v>
      </c>
      <c r="J831" t="str">
        <f>VLOOKUP(I831,[2]categories!$A$2:$B$8,2,0)</f>
        <v>Cruisers Bicycles</v>
      </c>
    </row>
    <row r="832" spans="1:10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 s="1">
        <f t="shared" si="12"/>
        <v>215.992</v>
      </c>
      <c r="H832" t="str">
        <f>VLOOKUP(C832,[1]products!$A:$B,2,0)</f>
        <v>Electra Girl's Hawaii 1 (16-inch) - 2015/2016</v>
      </c>
      <c r="I832">
        <f>VLOOKUP(H832,[1]products!$B:$D,3,0)</f>
        <v>3</v>
      </c>
      <c r="J832" t="str">
        <f>VLOOKUP(I832,[2]categories!$A$2:$B$8,2,0)</f>
        <v>Cruisers Bicycles</v>
      </c>
    </row>
    <row r="833" spans="1:10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 s="1">
        <f t="shared" si="12"/>
        <v>7599.981</v>
      </c>
      <c r="H833" t="str">
        <f>VLOOKUP(C833,[1]products!$A:$B,2,0)</f>
        <v>Trek Slash 8 27.5 - 2016</v>
      </c>
      <c r="I833">
        <f>VLOOKUP(H833,[1]products!$B:$D,3,0)</f>
        <v>6</v>
      </c>
      <c r="J833" t="str">
        <f>VLOOKUP(I833,[2]categories!$A$2:$B$8,2,0)</f>
        <v>Mountain Bikes</v>
      </c>
    </row>
    <row r="834" spans="1:10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 s="1">
        <f t="shared" ref="G834:G897" si="13">D834*E834*(1-F834)</f>
        <v>799.984</v>
      </c>
      <c r="H834" t="str">
        <f>VLOOKUP(C834,[1]products!$A:$B,2,0)</f>
        <v>Electra Townie Original 7D - 2015/2016</v>
      </c>
      <c r="I834">
        <f>VLOOKUP(H834,[1]products!$B:$D,3,0)</f>
        <v>2</v>
      </c>
      <c r="J834" t="str">
        <f>VLOOKUP(I834,[2]categories!$A$2:$B$8,2,0)</f>
        <v>Comfort Bicycles</v>
      </c>
    </row>
    <row r="835" spans="1:10">
      <c r="A835">
        <v>295</v>
      </c>
      <c r="B835">
        <v>1</v>
      </c>
      <c r="C835">
        <v>22</v>
      </c>
      <c r="D835">
        <v>2</v>
      </c>
      <c r="E835">
        <v>269.99</v>
      </c>
      <c r="F835">
        <v>0.07</v>
      </c>
      <c r="G835" s="1">
        <f t="shared" si="13"/>
        <v>502.1814</v>
      </c>
      <c r="H835" t="str">
        <f>VLOOKUP(C835,[1]products!$A:$B,2,0)</f>
        <v>Electra Girl's Hawaii 1 (16-inch) - 2015/2016</v>
      </c>
      <c r="I835">
        <f>VLOOKUP(H835,[1]products!$B:$D,3,0)</f>
        <v>3</v>
      </c>
      <c r="J835" t="str">
        <f>VLOOKUP(I835,[2]categories!$A$2:$B$8,2,0)</f>
        <v>Cruisers Bicycles</v>
      </c>
    </row>
    <row r="836" spans="1:10">
      <c r="A836">
        <v>296</v>
      </c>
      <c r="B836">
        <v>1</v>
      </c>
      <c r="C836">
        <v>25</v>
      </c>
      <c r="D836">
        <v>2</v>
      </c>
      <c r="E836">
        <v>499.99</v>
      </c>
      <c r="F836">
        <v>0.07</v>
      </c>
      <c r="G836" s="1">
        <f t="shared" si="13"/>
        <v>929.9814</v>
      </c>
      <c r="H836" t="str">
        <f>VLOOKUP(C836,[1]products!$A:$B,2,0)</f>
        <v>Electra Townie Original 7D - 2015/2016</v>
      </c>
      <c r="I836">
        <f>VLOOKUP(H836,[1]products!$B:$D,3,0)</f>
        <v>2</v>
      </c>
      <c r="J836" t="str">
        <f>VLOOKUP(I836,[2]categories!$A$2:$B$8,2,0)</f>
        <v>Comfort Bicycles</v>
      </c>
    </row>
    <row r="837" spans="1:10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 s="1">
        <f t="shared" si="13"/>
        <v>989.982</v>
      </c>
      <c r="H837" t="str">
        <f>VLOOKUP(C837,[1]products!$A:$B,2,0)</f>
        <v>Electra Townie Original 21D - 2016</v>
      </c>
      <c r="I837">
        <f>VLOOKUP(H837,[1]products!$B:$D,3,0)</f>
        <v>3</v>
      </c>
      <c r="J837" t="str">
        <f>VLOOKUP(I837,[2]categories!$A$2:$B$8,2,0)</f>
        <v>Cruisers Bicycles</v>
      </c>
    </row>
    <row r="838" spans="1:10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 s="1">
        <f t="shared" si="13"/>
        <v>3025.782</v>
      </c>
      <c r="H838" t="str">
        <f>VLOOKUP(C838,[1]products!$A:$B,2,0)</f>
        <v>Surly Straggler 650b - 2016</v>
      </c>
      <c r="I838">
        <f>VLOOKUP(H838,[1]products!$B:$D,3,0)</f>
        <v>4</v>
      </c>
      <c r="J838" t="str">
        <f>VLOOKUP(I838,[2]categories!$A$2:$B$8,2,0)</f>
        <v>Cyclocross Bicycles</v>
      </c>
    </row>
    <row r="839" spans="1:10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 s="1">
        <f t="shared" si="13"/>
        <v>2399.992</v>
      </c>
      <c r="H839" t="str">
        <f>VLOOKUP(C839,[1]products!$A:$B,2,0)</f>
        <v>Trek Conduit+ - 2016</v>
      </c>
      <c r="I839">
        <f>VLOOKUP(H839,[1]products!$B:$D,3,0)</f>
        <v>5</v>
      </c>
      <c r="J839" t="str">
        <f>VLOOKUP(I839,[2]categories!$A$2:$B$8,2,0)</f>
        <v>Electric Bikes</v>
      </c>
    </row>
    <row r="840" spans="1:10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 s="1">
        <f t="shared" si="13"/>
        <v>4639.984</v>
      </c>
      <c r="H840" t="str">
        <f>VLOOKUP(C840,[1]products!$A:$B,2,0)</f>
        <v>Trek Fuel EX 8 29 - 2016</v>
      </c>
      <c r="I840">
        <f>VLOOKUP(H840,[1]products!$B:$D,3,0)</f>
        <v>6</v>
      </c>
      <c r="J840" t="str">
        <f>VLOOKUP(I840,[2]categories!$A$2:$B$8,2,0)</f>
        <v>Mountain Bikes</v>
      </c>
    </row>
    <row r="841" spans="1:10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 s="1">
        <f t="shared" si="13"/>
        <v>239.992</v>
      </c>
      <c r="H841" t="str">
        <f>VLOOKUP(C841,[1]products!$A:$B,2,0)</f>
        <v>Electra Girl's Hawaii 1 (20-inch) - 2015/2016</v>
      </c>
      <c r="I841">
        <f>VLOOKUP(H841,[1]products!$B:$D,3,0)</f>
        <v>1</v>
      </c>
      <c r="J841" t="str">
        <f>VLOOKUP(I841,[2]categories!$A$2:$B$8,2,0)</f>
        <v>Children Bicycles</v>
      </c>
    </row>
    <row r="842" spans="1:10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 s="1">
        <f t="shared" si="13"/>
        <v>892.981</v>
      </c>
      <c r="H842" t="str">
        <f>VLOOKUP(C842,[1]products!$A:$B,2,0)</f>
        <v>Surly Ice Cream Truck Frameset - 2016</v>
      </c>
      <c r="I842">
        <f>VLOOKUP(H842,[1]products!$B:$D,3,0)</f>
        <v>6</v>
      </c>
      <c r="J842" t="str">
        <f>VLOOKUP(I842,[2]categories!$A$2:$B$8,2,0)</f>
        <v>Mountain Bikes</v>
      </c>
    </row>
    <row r="843" spans="1:10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 s="1">
        <f t="shared" si="13"/>
        <v>215.992</v>
      </c>
      <c r="H843" t="str">
        <f>VLOOKUP(C843,[1]products!$A:$B,2,0)</f>
        <v>Electra Girl's Hawaii 1 (16-inch) - 2015/2016</v>
      </c>
      <c r="I843">
        <f>VLOOKUP(H843,[1]products!$B:$D,3,0)</f>
        <v>3</v>
      </c>
      <c r="J843" t="str">
        <f>VLOOKUP(I843,[2]categories!$A$2:$B$8,2,0)</f>
        <v>Cruisers Bicycles</v>
      </c>
    </row>
    <row r="844" spans="1:10">
      <c r="A844">
        <v>298</v>
      </c>
      <c r="B844">
        <v>4</v>
      </c>
      <c r="C844">
        <v>9</v>
      </c>
      <c r="D844">
        <v>1</v>
      </c>
      <c r="E844">
        <v>2999.99</v>
      </c>
      <c r="F844">
        <v>0.07</v>
      </c>
      <c r="G844" s="1">
        <f t="shared" si="13"/>
        <v>2789.9907</v>
      </c>
      <c r="H844" t="str">
        <f>VLOOKUP(C844,[1]products!$A:$B,2,0)</f>
        <v>Trek Conduit+ - 2016</v>
      </c>
      <c r="I844">
        <f>VLOOKUP(H844,[1]products!$B:$D,3,0)</f>
        <v>5</v>
      </c>
      <c r="J844" t="str">
        <f>VLOOKUP(I844,[2]categories!$A$2:$B$8,2,0)</f>
        <v>Electric Bikes</v>
      </c>
    </row>
    <row r="845" spans="1:10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 s="1">
        <f t="shared" si="13"/>
        <v>485.982</v>
      </c>
      <c r="H845" t="str">
        <f>VLOOKUP(C845,[1]products!$A:$B,2,0)</f>
        <v>Electra Girl's Hawaii 1 (16-inch) - 2015/2016</v>
      </c>
      <c r="I845">
        <f>VLOOKUP(H845,[1]products!$B:$D,3,0)</f>
        <v>3</v>
      </c>
      <c r="J845" t="str">
        <f>VLOOKUP(I845,[2]categories!$A$2:$B$8,2,0)</f>
        <v>Cruisers Bicycles</v>
      </c>
    </row>
    <row r="846" spans="1:10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 s="1">
        <f t="shared" si="13"/>
        <v>3193.881</v>
      </c>
      <c r="H846" t="str">
        <f>VLOOKUP(C846,[1]products!$A:$B,2,0)</f>
        <v>Surly Straggler 650b - 2016</v>
      </c>
      <c r="I846">
        <f>VLOOKUP(H846,[1]products!$B:$D,3,0)</f>
        <v>4</v>
      </c>
      <c r="J846" t="str">
        <f>VLOOKUP(I846,[2]categories!$A$2:$B$8,2,0)</f>
        <v>Cyclocross Bicycles</v>
      </c>
    </row>
    <row r="847" spans="1:10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 s="1">
        <f t="shared" si="13"/>
        <v>2478.4</v>
      </c>
      <c r="H847" t="str">
        <f>VLOOKUP(C847,[1]products!$A:$B,2,0)</f>
        <v>Surly Straggler - 2016</v>
      </c>
      <c r="I847">
        <f>VLOOKUP(H847,[1]products!$B:$D,3,0)</f>
        <v>4</v>
      </c>
      <c r="J847" t="str">
        <f>VLOOKUP(I847,[2]categories!$A$2:$B$8,2,0)</f>
        <v>Cyclocross Bicycles</v>
      </c>
    </row>
    <row r="848" spans="1:10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 s="1">
        <f t="shared" si="13"/>
        <v>1079.982</v>
      </c>
      <c r="H848" t="str">
        <f>VLOOKUP(C848,[1]products!$A:$B,2,0)</f>
        <v>Electra Townie Original 7D EQ - 2016</v>
      </c>
      <c r="I848">
        <f>VLOOKUP(H848,[1]products!$B:$D,3,0)</f>
        <v>3</v>
      </c>
      <c r="J848" t="str">
        <f>VLOOKUP(I848,[2]categories!$A$2:$B$8,2,0)</f>
        <v>Cruisers Bicycles</v>
      </c>
    </row>
    <row r="849" spans="1:10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 s="1">
        <f t="shared" si="13"/>
        <v>5399.982</v>
      </c>
      <c r="H849" t="str">
        <f>VLOOKUP(C849,[1]products!$A:$B,2,0)</f>
        <v>Trek Conduit+ - 2016</v>
      </c>
      <c r="I849">
        <f>VLOOKUP(H849,[1]products!$B:$D,3,0)</f>
        <v>5</v>
      </c>
      <c r="J849" t="str">
        <f>VLOOKUP(I849,[2]categories!$A$2:$B$8,2,0)</f>
        <v>Electric Bikes</v>
      </c>
    </row>
    <row r="850" spans="1:10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 s="1">
        <f t="shared" si="13"/>
        <v>1394.1</v>
      </c>
      <c r="H850" t="str">
        <f>VLOOKUP(C850,[1]products!$A:$B,2,0)</f>
        <v>Surly Straggler - 2016</v>
      </c>
      <c r="I850">
        <f>VLOOKUP(H850,[1]products!$B:$D,3,0)</f>
        <v>4</v>
      </c>
      <c r="J850" t="str">
        <f>VLOOKUP(I850,[2]categories!$A$2:$B$8,2,0)</f>
        <v>Cyclocross Bicycles</v>
      </c>
    </row>
    <row r="851" spans="1:10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 s="1">
        <f t="shared" si="13"/>
        <v>2689.584</v>
      </c>
      <c r="H851" t="str">
        <f>VLOOKUP(C851,[1]products!$A:$B,2,0)</f>
        <v>Surly Straggler 650b - 2016</v>
      </c>
      <c r="I851">
        <f>VLOOKUP(H851,[1]products!$B:$D,3,0)</f>
        <v>4</v>
      </c>
      <c r="J851" t="str">
        <f>VLOOKUP(I851,[2]categories!$A$2:$B$8,2,0)</f>
        <v>Cyclocross Bicycles</v>
      </c>
    </row>
    <row r="852" spans="1:10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 s="1">
        <f t="shared" si="13"/>
        <v>446.4905</v>
      </c>
      <c r="H852" t="str">
        <f>VLOOKUP(C852,[1]products!$A:$B,2,0)</f>
        <v>Surly Ice Cream Truck Frameset - 2016</v>
      </c>
      <c r="I852">
        <f>VLOOKUP(H852,[1]products!$B:$D,3,0)</f>
        <v>6</v>
      </c>
      <c r="J852" t="str">
        <f>VLOOKUP(I852,[2]categories!$A$2:$B$8,2,0)</f>
        <v>Mountain Bikes</v>
      </c>
    </row>
    <row r="853" spans="1:10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 s="1">
        <f t="shared" si="13"/>
        <v>242.991</v>
      </c>
      <c r="H853" t="str">
        <f>VLOOKUP(C853,[1]products!$A:$B,2,0)</f>
        <v>Electra Girl's Hawaii 1 (16-inch) - 2015/2016</v>
      </c>
      <c r="I853">
        <f>VLOOKUP(H853,[1]products!$B:$D,3,0)</f>
        <v>3</v>
      </c>
      <c r="J853" t="str">
        <f>VLOOKUP(I853,[2]categories!$A$2:$B$8,2,0)</f>
        <v>Cruisers Bicycles</v>
      </c>
    </row>
    <row r="854" spans="1:10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 s="1">
        <f t="shared" si="13"/>
        <v>879.984</v>
      </c>
      <c r="H854" t="str">
        <f>VLOOKUP(C854,[1]products!$A:$B,2,0)</f>
        <v>Electra Townie Original 21D - 2016</v>
      </c>
      <c r="I854">
        <f>VLOOKUP(H854,[1]products!$B:$D,3,0)</f>
        <v>3</v>
      </c>
      <c r="J854" t="str">
        <f>VLOOKUP(I854,[2]categories!$A$2:$B$8,2,0)</f>
        <v>Cruisers Bicycles</v>
      </c>
    </row>
    <row r="855" spans="1:10">
      <c r="A855">
        <v>302</v>
      </c>
      <c r="B855">
        <v>2</v>
      </c>
      <c r="C855">
        <v>18</v>
      </c>
      <c r="D855">
        <v>2</v>
      </c>
      <c r="E855">
        <v>449</v>
      </c>
      <c r="F855">
        <v>0.07</v>
      </c>
      <c r="G855" s="1">
        <f t="shared" si="13"/>
        <v>835.14</v>
      </c>
      <c r="H855" t="str">
        <f>VLOOKUP(C855,[1]products!$A:$B,2,0)</f>
        <v>Pure Cycles Western 3-Speed - Women's - 2015/2016</v>
      </c>
      <c r="I855">
        <f>VLOOKUP(H855,[1]products!$B:$D,3,0)</f>
        <v>3</v>
      </c>
      <c r="J855" t="str">
        <f>VLOOKUP(I855,[2]categories!$A$2:$B$8,2,0)</f>
        <v>Cruisers Bicycles</v>
      </c>
    </row>
    <row r="856" spans="1:10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 s="1">
        <f t="shared" si="13"/>
        <v>1199.984</v>
      </c>
      <c r="H856" t="str">
        <f>VLOOKUP(C856,[1]products!$A:$B,2,0)</f>
        <v>Ritchey Timberwolf Frameset - 2016</v>
      </c>
      <c r="I856">
        <f>VLOOKUP(H856,[1]products!$B:$D,3,0)</f>
        <v>6</v>
      </c>
      <c r="J856" t="str">
        <f>VLOOKUP(I856,[2]categories!$A$2:$B$8,2,0)</f>
        <v>Mountain Bikes</v>
      </c>
    </row>
    <row r="857" spans="1:10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 s="1">
        <f t="shared" si="13"/>
        <v>3419.981</v>
      </c>
      <c r="H857" t="str">
        <f>VLOOKUP(C857,[1]products!$A:$B,2,0)</f>
        <v>Trek Remedy 29 Carbon Frameset - 2016</v>
      </c>
      <c r="I857">
        <f>VLOOKUP(H857,[1]products!$B:$D,3,0)</f>
        <v>6</v>
      </c>
      <c r="J857" t="str">
        <f>VLOOKUP(I857,[2]categories!$A$2:$B$8,2,0)</f>
        <v>Mountain Bikes</v>
      </c>
    </row>
    <row r="858" spans="1:10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 s="1">
        <f t="shared" si="13"/>
        <v>1044.981</v>
      </c>
      <c r="H858" t="str">
        <f>VLOOKUP(C858,[1]products!$A:$B,2,0)</f>
        <v>Electra Townie Original 21D - 2016</v>
      </c>
      <c r="I858">
        <f>VLOOKUP(H858,[1]products!$B:$D,3,0)</f>
        <v>3</v>
      </c>
      <c r="J858" t="str">
        <f>VLOOKUP(I858,[2]categories!$A$2:$B$8,2,0)</f>
        <v>Cruisers Bicycles</v>
      </c>
    </row>
    <row r="859" spans="1:10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 s="1">
        <f t="shared" si="13"/>
        <v>1471.55</v>
      </c>
      <c r="H859" t="str">
        <f>VLOOKUP(C859,[1]products!$A:$B,2,0)</f>
        <v>Surly Straggler - 2016</v>
      </c>
      <c r="I859">
        <f>VLOOKUP(H859,[1]products!$B:$D,3,0)</f>
        <v>4</v>
      </c>
      <c r="J859" t="str">
        <f>VLOOKUP(I859,[2]categories!$A$2:$B$8,2,0)</f>
        <v>Cyclocross Bicycles</v>
      </c>
    </row>
    <row r="860" spans="1:10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 s="1">
        <f t="shared" si="13"/>
        <v>7199.982</v>
      </c>
      <c r="H860" t="str">
        <f>VLOOKUP(C860,[1]products!$A:$B,2,0)</f>
        <v>Trek Slash 8 27.5 - 2016</v>
      </c>
      <c r="I860">
        <f>VLOOKUP(H860,[1]products!$B:$D,3,0)</f>
        <v>6</v>
      </c>
      <c r="J860" t="str">
        <f>VLOOKUP(I860,[2]categories!$A$2:$B$8,2,0)</f>
        <v>Mountain Bikes</v>
      </c>
    </row>
    <row r="861" spans="1:10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 s="1">
        <f t="shared" si="13"/>
        <v>539.991</v>
      </c>
      <c r="H861" t="str">
        <f>VLOOKUP(C861,[1]products!$A:$B,2,0)</f>
        <v>Electra Townie Original 7D EQ - Women's - 2016</v>
      </c>
      <c r="I861">
        <f>VLOOKUP(H861,[1]products!$B:$D,3,0)</f>
        <v>3</v>
      </c>
      <c r="J861" t="str">
        <f>VLOOKUP(I861,[2]categories!$A$2:$B$8,2,0)</f>
        <v>Cruisers Bicycles</v>
      </c>
    </row>
    <row r="862" spans="1:10">
      <c r="A862">
        <v>305</v>
      </c>
      <c r="B862">
        <v>1</v>
      </c>
      <c r="C862">
        <v>10</v>
      </c>
      <c r="D862">
        <v>1</v>
      </c>
      <c r="E862">
        <v>1549</v>
      </c>
      <c r="F862">
        <v>0.07</v>
      </c>
      <c r="G862" s="1">
        <f t="shared" si="13"/>
        <v>1440.57</v>
      </c>
      <c r="H862" t="str">
        <f>VLOOKUP(C862,[1]products!$A:$B,2,0)</f>
        <v>Surly Straggler - 2016</v>
      </c>
      <c r="I862">
        <f>VLOOKUP(H862,[1]products!$B:$D,3,0)</f>
        <v>4</v>
      </c>
      <c r="J862" t="str">
        <f>VLOOKUP(I862,[2]categories!$A$2:$B$8,2,0)</f>
        <v>Cyclocross Bicycles</v>
      </c>
    </row>
    <row r="863" spans="1:10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 s="1">
        <f t="shared" si="13"/>
        <v>422.991</v>
      </c>
      <c r="H863" t="str">
        <f>VLOOKUP(C863,[1]products!$A:$B,2,0)</f>
        <v>Surly Ice Cream Truck Frameset - 2016</v>
      </c>
      <c r="I863">
        <f>VLOOKUP(H863,[1]products!$B:$D,3,0)</f>
        <v>6</v>
      </c>
      <c r="J863" t="str">
        <f>VLOOKUP(I863,[2]categories!$A$2:$B$8,2,0)</f>
        <v>Mountain Bikes</v>
      </c>
    </row>
    <row r="864" spans="1:10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 s="1">
        <f t="shared" si="13"/>
        <v>1599.984</v>
      </c>
      <c r="H864" t="str">
        <f>VLOOKUP(C864,[1]products!$A:$B,2,0)</f>
        <v>Surly Wednesday Frameset - 2016</v>
      </c>
      <c r="I864">
        <f>VLOOKUP(H864,[1]products!$B:$D,3,0)</f>
        <v>6</v>
      </c>
      <c r="J864" t="str">
        <f>VLOOKUP(I864,[2]categories!$A$2:$B$8,2,0)</f>
        <v>Mountain Bikes</v>
      </c>
    </row>
    <row r="865" spans="1:10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 s="1">
        <f t="shared" si="13"/>
        <v>1239.2</v>
      </c>
      <c r="H865" t="str">
        <f>VLOOKUP(C865,[1]products!$A:$B,2,0)</f>
        <v>Surly Straggler - 2016</v>
      </c>
      <c r="I865">
        <f>VLOOKUP(H865,[1]products!$B:$D,3,0)</f>
        <v>4</v>
      </c>
      <c r="J865" t="str">
        <f>VLOOKUP(I865,[2]categories!$A$2:$B$8,2,0)</f>
        <v>Cyclocross Bicycles</v>
      </c>
    </row>
    <row r="866" spans="1:10">
      <c r="A866">
        <v>306</v>
      </c>
      <c r="B866">
        <v>2</v>
      </c>
      <c r="C866">
        <v>22</v>
      </c>
      <c r="D866">
        <v>1</v>
      </c>
      <c r="E866">
        <v>269.99</v>
      </c>
      <c r="F866">
        <v>0.07</v>
      </c>
      <c r="G866" s="1">
        <f t="shared" si="13"/>
        <v>251.0907</v>
      </c>
      <c r="H866" t="str">
        <f>VLOOKUP(C866,[1]products!$A:$B,2,0)</f>
        <v>Electra Girl's Hawaii 1 (16-inch) - 2015/2016</v>
      </c>
      <c r="I866">
        <f>VLOOKUP(H866,[1]products!$B:$D,3,0)</f>
        <v>3</v>
      </c>
      <c r="J866" t="str">
        <f>VLOOKUP(I866,[2]categories!$A$2:$B$8,2,0)</f>
        <v>Cruisers Bicycles</v>
      </c>
    </row>
    <row r="867" spans="1:10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 s="1">
        <f t="shared" si="13"/>
        <v>1006.981</v>
      </c>
      <c r="H867" t="str">
        <f>VLOOKUP(C867,[1]products!$A:$B,2,0)</f>
        <v>Electra Moto 1 - 2016</v>
      </c>
      <c r="I867">
        <f>VLOOKUP(H867,[1]products!$B:$D,3,0)</f>
        <v>3</v>
      </c>
      <c r="J867" t="str">
        <f>VLOOKUP(I867,[2]categories!$A$2:$B$8,2,0)</f>
        <v>Cruisers Bicycles</v>
      </c>
    </row>
    <row r="868" spans="1:10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 s="1">
        <f t="shared" si="13"/>
        <v>3599.991</v>
      </c>
      <c r="H868" t="str">
        <f>VLOOKUP(C868,[1]products!$A:$B,2,0)</f>
        <v>Trek Slash 8 27.5 - 2016</v>
      </c>
      <c r="I868">
        <f>VLOOKUP(H868,[1]products!$B:$D,3,0)</f>
        <v>6</v>
      </c>
      <c r="J868" t="str">
        <f>VLOOKUP(I868,[2]categories!$A$2:$B$8,2,0)</f>
        <v>Mountain Bikes</v>
      </c>
    </row>
    <row r="869" spans="1:10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 s="1">
        <f t="shared" si="13"/>
        <v>718.4</v>
      </c>
      <c r="H869" t="str">
        <f>VLOOKUP(C869,[1]products!$A:$B,2,0)</f>
        <v>Pure Cycles Western 3-Speed - Women's - 2015/2016</v>
      </c>
      <c r="I869">
        <f>VLOOKUP(H869,[1]products!$B:$D,3,0)</f>
        <v>3</v>
      </c>
      <c r="J869" t="str">
        <f>VLOOKUP(I869,[2]categories!$A$2:$B$8,2,0)</f>
        <v>Cruisers Bicycles</v>
      </c>
    </row>
    <row r="870" spans="1:10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 s="1">
        <f t="shared" si="13"/>
        <v>215.992</v>
      </c>
      <c r="H870" t="str">
        <f>VLOOKUP(C870,[1]products!$A:$B,2,0)</f>
        <v>Electra Girl's Hawaii 1 (16-inch) - 2015/2016</v>
      </c>
      <c r="I870">
        <f>VLOOKUP(H870,[1]products!$B:$D,3,0)</f>
        <v>3</v>
      </c>
      <c r="J870" t="str">
        <f>VLOOKUP(I870,[2]categories!$A$2:$B$8,2,0)</f>
        <v>Cruisers Bicycles</v>
      </c>
    </row>
    <row r="871" spans="1:10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 s="1">
        <f t="shared" si="13"/>
        <v>949.9905</v>
      </c>
      <c r="H871" t="str">
        <f>VLOOKUP(C871,[1]products!$A:$B,2,0)</f>
        <v>Surly Wednesday Frameset - 2016</v>
      </c>
      <c r="I871">
        <f>VLOOKUP(H871,[1]products!$B:$D,3,0)</f>
        <v>6</v>
      </c>
      <c r="J871" t="str">
        <f>VLOOKUP(I871,[2]categories!$A$2:$B$8,2,0)</f>
        <v>Mountain Bikes</v>
      </c>
    </row>
    <row r="872" spans="1:10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 s="1">
        <f t="shared" si="13"/>
        <v>522.4905</v>
      </c>
      <c r="H872" t="str">
        <f>VLOOKUP(C872,[1]products!$A:$B,2,0)</f>
        <v>Electra Townie Original 21D - 2016</v>
      </c>
      <c r="I872">
        <f>VLOOKUP(H872,[1]products!$B:$D,3,0)</f>
        <v>3</v>
      </c>
      <c r="J872" t="str">
        <f>VLOOKUP(I872,[2]categories!$A$2:$B$8,2,0)</f>
        <v>Cruisers Bicycles</v>
      </c>
    </row>
    <row r="873" spans="1:10">
      <c r="A873">
        <v>310</v>
      </c>
      <c r="B873">
        <v>1</v>
      </c>
      <c r="C873">
        <v>7</v>
      </c>
      <c r="D873">
        <v>2</v>
      </c>
      <c r="E873">
        <v>3999.99</v>
      </c>
      <c r="F873">
        <v>0.07</v>
      </c>
      <c r="G873" s="1">
        <f t="shared" si="13"/>
        <v>7439.9814</v>
      </c>
      <c r="H873" t="str">
        <f>VLOOKUP(C873,[1]products!$A:$B,2,0)</f>
        <v>Trek Slash 8 27.5 - 2016</v>
      </c>
      <c r="I873">
        <f>VLOOKUP(H873,[1]products!$B:$D,3,0)</f>
        <v>6</v>
      </c>
      <c r="J873" t="str">
        <f>VLOOKUP(I873,[2]categories!$A$2:$B$8,2,0)</f>
        <v>Mountain Bikes</v>
      </c>
    </row>
    <row r="874" spans="1:10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 s="1">
        <f t="shared" si="13"/>
        <v>485.982</v>
      </c>
      <c r="H874" t="str">
        <f>VLOOKUP(C874,[1]products!$A:$B,2,0)</f>
        <v>Electra Girl's Hawaii 1 (16-inch) - 2015/2016</v>
      </c>
      <c r="I874">
        <f>VLOOKUP(H874,[1]products!$B:$D,3,0)</f>
        <v>3</v>
      </c>
      <c r="J874" t="str">
        <f>VLOOKUP(I874,[2]categories!$A$2:$B$8,2,0)</f>
        <v>Cruisers Bicycles</v>
      </c>
    </row>
    <row r="875" spans="1:10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 s="1">
        <f t="shared" si="13"/>
        <v>2113.584</v>
      </c>
      <c r="H875" t="str">
        <f>VLOOKUP(C875,[1]products!$A:$B,2,0)</f>
        <v>Heller Shagamaw Frame - 2016</v>
      </c>
      <c r="I875">
        <f>VLOOKUP(H875,[1]products!$B:$D,3,0)</f>
        <v>6</v>
      </c>
      <c r="J875" t="str">
        <f>VLOOKUP(I875,[2]categories!$A$2:$B$8,2,0)</f>
        <v>Mountain Bikes</v>
      </c>
    </row>
    <row r="876" spans="1:10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 s="1">
        <f t="shared" si="13"/>
        <v>1439.992</v>
      </c>
      <c r="H876" t="str">
        <f>VLOOKUP(C876,[1]products!$A:$B,2,0)</f>
        <v>Trek Remedy 29 Carbon Frameset - 2016</v>
      </c>
      <c r="I876">
        <f>VLOOKUP(H876,[1]products!$B:$D,3,0)</f>
        <v>6</v>
      </c>
      <c r="J876" t="str">
        <f>VLOOKUP(I876,[2]categories!$A$2:$B$8,2,0)</f>
        <v>Mountain Bikes</v>
      </c>
    </row>
    <row r="877" spans="1:10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 s="1">
        <f t="shared" si="13"/>
        <v>815.1</v>
      </c>
      <c r="H877" t="str">
        <f>VLOOKUP(C877,[1]products!$A:$B,2,0)</f>
        <v>Pure Cycles Vine 8-Speed - 2016</v>
      </c>
      <c r="I877">
        <f>VLOOKUP(H877,[1]products!$B:$D,3,0)</f>
        <v>3</v>
      </c>
      <c r="J877" t="str">
        <f>VLOOKUP(I877,[2]categories!$A$2:$B$8,2,0)</f>
        <v>Cruisers Bicycles</v>
      </c>
    </row>
    <row r="878" spans="1:10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 s="1">
        <f t="shared" si="13"/>
        <v>2113.584</v>
      </c>
      <c r="H878" t="str">
        <f>VLOOKUP(C878,[1]products!$A:$B,2,0)</f>
        <v>Heller Shagamaw Frame - 2016</v>
      </c>
      <c r="I878">
        <f>VLOOKUP(H878,[1]products!$B:$D,3,0)</f>
        <v>6</v>
      </c>
      <c r="J878" t="str">
        <f>VLOOKUP(I878,[2]categories!$A$2:$B$8,2,0)</f>
        <v>Mountain Bikes</v>
      </c>
    </row>
    <row r="879" spans="1:10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 s="1">
        <f t="shared" si="13"/>
        <v>1044.981</v>
      </c>
      <c r="H879" t="str">
        <f>VLOOKUP(C879,[1]products!$A:$B,2,0)</f>
        <v>Electra Townie Original 21D - 2016</v>
      </c>
      <c r="I879">
        <f>VLOOKUP(H879,[1]products!$B:$D,3,0)</f>
        <v>3</v>
      </c>
      <c r="J879" t="str">
        <f>VLOOKUP(I879,[2]categories!$A$2:$B$8,2,0)</f>
        <v>Cruisers Bicycles</v>
      </c>
    </row>
    <row r="880" spans="1:10">
      <c r="A880">
        <v>312</v>
      </c>
      <c r="B880">
        <v>2</v>
      </c>
      <c r="C880">
        <v>14</v>
      </c>
      <c r="D880">
        <v>2</v>
      </c>
      <c r="E880">
        <v>269.99</v>
      </c>
      <c r="F880">
        <v>0.07</v>
      </c>
      <c r="G880" s="1">
        <f t="shared" si="13"/>
        <v>502.1814</v>
      </c>
      <c r="H880" t="str">
        <f>VLOOKUP(C880,[1]products!$A:$B,2,0)</f>
        <v>Electra Girl's Hawaii 1 (16-inch) - 2015/2016</v>
      </c>
      <c r="I880">
        <f>VLOOKUP(H880,[1]products!$B:$D,3,0)</f>
        <v>3</v>
      </c>
      <c r="J880" t="str">
        <f>VLOOKUP(I880,[2]categories!$A$2:$B$8,2,0)</f>
        <v>Cruisers Bicycles</v>
      </c>
    </row>
    <row r="881" spans="1:10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 s="1">
        <f t="shared" si="13"/>
        <v>1139.981</v>
      </c>
      <c r="H881" t="str">
        <f>VLOOKUP(C881,[1]products!$A:$B,2,0)</f>
        <v>Electra Townie Original 7D EQ - 2016</v>
      </c>
      <c r="I881">
        <f>VLOOKUP(H881,[1]products!$B:$D,3,0)</f>
        <v>3</v>
      </c>
      <c r="J881" t="str">
        <f>VLOOKUP(I881,[2]categories!$A$2:$B$8,2,0)</f>
        <v>Cruisers Bicycles</v>
      </c>
    </row>
    <row r="882" spans="1:10">
      <c r="A882">
        <v>313</v>
      </c>
      <c r="B882">
        <v>1</v>
      </c>
      <c r="C882">
        <v>4</v>
      </c>
      <c r="D882">
        <v>1</v>
      </c>
      <c r="E882">
        <v>2899.99</v>
      </c>
      <c r="F882">
        <v>0.07</v>
      </c>
      <c r="G882" s="1">
        <f t="shared" si="13"/>
        <v>2696.9907</v>
      </c>
      <c r="H882" t="str">
        <f>VLOOKUP(C882,[1]products!$A:$B,2,0)</f>
        <v>Trek Fuel EX 8 29 - 2016</v>
      </c>
      <c r="I882">
        <f>VLOOKUP(H882,[1]products!$B:$D,3,0)</f>
        <v>6</v>
      </c>
      <c r="J882" t="str">
        <f>VLOOKUP(I882,[2]categories!$A$2:$B$8,2,0)</f>
        <v>Mountain Bikes</v>
      </c>
    </row>
    <row r="883" spans="1:10">
      <c r="A883">
        <v>313</v>
      </c>
      <c r="B883">
        <v>2</v>
      </c>
      <c r="C883">
        <v>10</v>
      </c>
      <c r="D883">
        <v>2</v>
      </c>
      <c r="E883">
        <v>1549</v>
      </c>
      <c r="F883">
        <v>0.07</v>
      </c>
      <c r="G883" s="1">
        <f t="shared" si="13"/>
        <v>2881.14</v>
      </c>
      <c r="H883" t="str">
        <f>VLOOKUP(C883,[1]products!$A:$B,2,0)</f>
        <v>Surly Straggler - 2016</v>
      </c>
      <c r="I883">
        <f>VLOOKUP(H883,[1]products!$B:$D,3,0)</f>
        <v>4</v>
      </c>
      <c r="J883" t="str">
        <f>VLOOKUP(I883,[2]categories!$A$2:$B$8,2,0)</f>
        <v>Cyclocross Bicycles</v>
      </c>
    </row>
    <row r="884" spans="1:10">
      <c r="A884">
        <v>314</v>
      </c>
      <c r="B884">
        <v>1</v>
      </c>
      <c r="C884">
        <v>5</v>
      </c>
      <c r="D884">
        <v>1</v>
      </c>
      <c r="E884">
        <v>1320.99</v>
      </c>
      <c r="F884">
        <v>0.07</v>
      </c>
      <c r="G884" s="1">
        <f t="shared" si="13"/>
        <v>1228.5207</v>
      </c>
      <c r="H884" t="str">
        <f>VLOOKUP(C884,[1]products!$A:$B,2,0)</f>
        <v>Heller Shagamaw Frame - 2016</v>
      </c>
      <c r="I884">
        <f>VLOOKUP(H884,[1]products!$B:$D,3,0)</f>
        <v>6</v>
      </c>
      <c r="J884" t="str">
        <f>VLOOKUP(I884,[2]categories!$A$2:$B$8,2,0)</f>
        <v>Mountain Bikes</v>
      </c>
    </row>
    <row r="885" spans="1:10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 s="1">
        <f t="shared" si="13"/>
        <v>2849.9905</v>
      </c>
      <c r="H885" t="str">
        <f>VLOOKUP(C885,[1]products!$A:$B,2,0)</f>
        <v>Trek Conduit+ - 2016</v>
      </c>
      <c r="I885">
        <f>VLOOKUP(H885,[1]products!$B:$D,3,0)</f>
        <v>5</v>
      </c>
      <c r="J885" t="str">
        <f>VLOOKUP(I885,[2]categories!$A$2:$B$8,2,0)</f>
        <v>Electric Bikes</v>
      </c>
    </row>
    <row r="886" spans="1:10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 s="1">
        <f t="shared" si="13"/>
        <v>431.984</v>
      </c>
      <c r="H886" t="str">
        <f>VLOOKUP(C886,[1]products!$A:$B,2,0)</f>
        <v>Electra Girl's Hawaii 1 (16-inch) - 2015/2016</v>
      </c>
      <c r="I886">
        <f>VLOOKUP(H886,[1]products!$B:$D,3,0)</f>
        <v>3</v>
      </c>
      <c r="J886" t="str">
        <f>VLOOKUP(I886,[2]categories!$A$2:$B$8,2,0)</f>
        <v>Cruisers Bicycles</v>
      </c>
    </row>
    <row r="887" spans="1:10">
      <c r="A887">
        <v>314</v>
      </c>
      <c r="B887">
        <v>4</v>
      </c>
      <c r="C887">
        <v>7</v>
      </c>
      <c r="D887">
        <v>2</v>
      </c>
      <c r="E887">
        <v>3999.99</v>
      </c>
      <c r="F887">
        <v>0.07</v>
      </c>
      <c r="G887" s="1">
        <f t="shared" si="13"/>
        <v>7439.9814</v>
      </c>
      <c r="H887" t="str">
        <f>VLOOKUP(C887,[1]products!$A:$B,2,0)</f>
        <v>Trek Slash 8 27.5 - 2016</v>
      </c>
      <c r="I887">
        <f>VLOOKUP(H887,[1]products!$B:$D,3,0)</f>
        <v>6</v>
      </c>
      <c r="J887" t="str">
        <f>VLOOKUP(I887,[2]categories!$A$2:$B$8,2,0)</f>
        <v>Mountain Bikes</v>
      </c>
    </row>
    <row r="888" spans="1:10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 s="1">
        <f t="shared" si="13"/>
        <v>1344.792</v>
      </c>
      <c r="H888" t="str">
        <f>VLOOKUP(C888,[1]products!$A:$B,2,0)</f>
        <v>Surly Straggler 650b - 2016</v>
      </c>
      <c r="I888">
        <f>VLOOKUP(H888,[1]products!$B:$D,3,0)</f>
        <v>4</v>
      </c>
      <c r="J888" t="str">
        <f>VLOOKUP(I888,[2]categories!$A$2:$B$8,2,0)</f>
        <v>Cyclocross Bicycles</v>
      </c>
    </row>
    <row r="889" spans="1:10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 s="1">
        <f t="shared" si="13"/>
        <v>2699.991</v>
      </c>
      <c r="H889" t="str">
        <f>VLOOKUP(C889,[1]products!$A:$B,2,0)</f>
        <v>Trek Conduit+ - 2016</v>
      </c>
      <c r="I889">
        <f>VLOOKUP(H889,[1]products!$B:$D,3,0)</f>
        <v>5</v>
      </c>
      <c r="J889" t="str">
        <f>VLOOKUP(I889,[2]categories!$A$2:$B$8,2,0)</f>
        <v>Electric Bikes</v>
      </c>
    </row>
    <row r="890" spans="1:10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 s="1">
        <f t="shared" si="13"/>
        <v>1199.984</v>
      </c>
      <c r="H890" t="str">
        <f>VLOOKUP(C890,[1]products!$A:$B,2,0)</f>
        <v>Ritchey Timberwolf Frameset - 2016</v>
      </c>
      <c r="I890">
        <f>VLOOKUP(H890,[1]products!$B:$D,3,0)</f>
        <v>6</v>
      </c>
      <c r="J890" t="str">
        <f>VLOOKUP(I890,[2]categories!$A$2:$B$8,2,0)</f>
        <v>Mountain Bikes</v>
      </c>
    </row>
    <row r="891" spans="1:10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 s="1">
        <f t="shared" si="13"/>
        <v>1079.982</v>
      </c>
      <c r="H891" t="str">
        <f>VLOOKUP(C891,[1]products!$A:$B,2,0)</f>
        <v>Electra Townie Original 7D EQ - 2016</v>
      </c>
      <c r="I891">
        <f>VLOOKUP(H891,[1]products!$B:$D,3,0)</f>
        <v>3</v>
      </c>
      <c r="J891" t="str">
        <f>VLOOKUP(I891,[2]categories!$A$2:$B$8,2,0)</f>
        <v>Cruisers Bicycles</v>
      </c>
    </row>
    <row r="892" spans="1:10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 s="1">
        <f t="shared" si="13"/>
        <v>539.991</v>
      </c>
      <c r="H892" t="str">
        <f>VLOOKUP(C892,[1]products!$A:$B,2,0)</f>
        <v>Electra Townie Original 7D EQ - Women's - 2016</v>
      </c>
      <c r="I892">
        <f>VLOOKUP(H892,[1]products!$B:$D,3,0)</f>
        <v>3</v>
      </c>
      <c r="J892" t="str">
        <f>VLOOKUP(I892,[2]categories!$A$2:$B$8,2,0)</f>
        <v>Cruisers Bicycles</v>
      </c>
    </row>
    <row r="893" spans="1:10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 s="1">
        <f t="shared" si="13"/>
        <v>359.2</v>
      </c>
      <c r="H893" t="str">
        <f>VLOOKUP(C893,[1]products!$A:$B,2,0)</f>
        <v>Pure Cycles William 3-Speed - 2016</v>
      </c>
      <c r="I893">
        <f>VLOOKUP(H893,[1]products!$B:$D,3,0)</f>
        <v>3</v>
      </c>
      <c r="J893" t="str">
        <f>VLOOKUP(I893,[2]categories!$A$2:$B$8,2,0)</f>
        <v>Cruisers Bicycles</v>
      </c>
    </row>
    <row r="894" spans="1:10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 s="1">
        <f t="shared" si="13"/>
        <v>407.55</v>
      </c>
      <c r="H894" t="str">
        <f>VLOOKUP(C894,[1]products!$A:$B,2,0)</f>
        <v>Pure Cycles Vine 8-Speed - 2016</v>
      </c>
      <c r="I894">
        <f>VLOOKUP(H894,[1]products!$B:$D,3,0)</f>
        <v>3</v>
      </c>
      <c r="J894" t="str">
        <f>VLOOKUP(I894,[2]categories!$A$2:$B$8,2,0)</f>
        <v>Cruisers Bicycles</v>
      </c>
    </row>
    <row r="895" spans="1:10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 s="1">
        <f t="shared" si="13"/>
        <v>1239.2</v>
      </c>
      <c r="H895" t="str">
        <f>VLOOKUP(C895,[1]products!$A:$B,2,0)</f>
        <v>Surly Straggler - 2016</v>
      </c>
      <c r="I895">
        <f>VLOOKUP(H895,[1]products!$B:$D,3,0)</f>
        <v>4</v>
      </c>
      <c r="J895" t="str">
        <f>VLOOKUP(I895,[2]categories!$A$2:$B$8,2,0)</f>
        <v>Cyclocross Bicycles</v>
      </c>
    </row>
    <row r="896" spans="1:10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 s="1">
        <f t="shared" si="13"/>
        <v>256.4905</v>
      </c>
      <c r="H896" t="str">
        <f>VLOOKUP(C896,[1]products!$A:$B,2,0)</f>
        <v>Electra Girl's Hawaii 1 (16-inch) - 2015/2016</v>
      </c>
      <c r="I896">
        <f>VLOOKUP(H896,[1]products!$B:$D,3,0)</f>
        <v>3</v>
      </c>
      <c r="J896" t="str">
        <f>VLOOKUP(I896,[2]categories!$A$2:$B$8,2,0)</f>
        <v>Cruisers Bicycles</v>
      </c>
    </row>
    <row r="897" spans="1:10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 s="1">
        <f t="shared" si="13"/>
        <v>503.4905</v>
      </c>
      <c r="H897" t="str">
        <f>VLOOKUP(C897,[1]products!$A:$B,2,0)</f>
        <v>Electra Moto 1 - 2016</v>
      </c>
      <c r="I897">
        <f>VLOOKUP(H897,[1]products!$B:$D,3,0)</f>
        <v>3</v>
      </c>
      <c r="J897" t="str">
        <f>VLOOKUP(I897,[2]categories!$A$2:$B$8,2,0)</f>
        <v>Cruisers Bicycles</v>
      </c>
    </row>
    <row r="898" spans="1:10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 s="1">
        <f t="shared" ref="G898:G961" si="14">D898*E898*(1-F898)</f>
        <v>431.984</v>
      </c>
      <c r="H898" t="str">
        <f>VLOOKUP(C898,[1]products!$A:$B,2,0)</f>
        <v>Electra Cruiser 1 (24-Inch) - 2016</v>
      </c>
      <c r="I898">
        <f>VLOOKUP(H898,[1]products!$B:$D,3,0)</f>
        <v>3</v>
      </c>
      <c r="J898" t="str">
        <f>VLOOKUP(I898,[2]categories!$A$2:$B$8,2,0)</f>
        <v>Cruisers Bicycles</v>
      </c>
    </row>
    <row r="899" spans="1:10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 s="1">
        <f t="shared" si="14"/>
        <v>485.982</v>
      </c>
      <c r="H899" t="str">
        <f>VLOOKUP(C899,[1]products!$A:$B,2,0)</f>
        <v>Electra Cruiser 1 (24-Inch) - 2016</v>
      </c>
      <c r="I899">
        <f>VLOOKUP(H899,[1]products!$B:$D,3,0)</f>
        <v>3</v>
      </c>
      <c r="J899" t="str">
        <f>VLOOKUP(I899,[2]categories!$A$2:$B$8,2,0)</f>
        <v>Cruisers Bicycles</v>
      </c>
    </row>
    <row r="900" spans="1:10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 s="1">
        <f t="shared" si="14"/>
        <v>799.984</v>
      </c>
      <c r="H900" t="str">
        <f>VLOOKUP(C900,[1]products!$A:$B,2,0)</f>
        <v>Electra Townie Original 7D - 2015/2016</v>
      </c>
      <c r="I900">
        <f>VLOOKUP(H900,[1]products!$B:$D,3,0)</f>
        <v>2</v>
      </c>
      <c r="J900" t="str">
        <f>VLOOKUP(I900,[2]categories!$A$2:$B$8,2,0)</f>
        <v>Comfort Bicycles</v>
      </c>
    </row>
    <row r="901" spans="1:10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 s="1">
        <f t="shared" si="14"/>
        <v>2849.9905</v>
      </c>
      <c r="H901" t="str">
        <f>VLOOKUP(C901,[1]products!$A:$B,2,0)</f>
        <v>Trek Conduit+ - 2016</v>
      </c>
      <c r="I901">
        <f>VLOOKUP(H901,[1]products!$B:$D,3,0)</f>
        <v>5</v>
      </c>
      <c r="J901" t="str">
        <f>VLOOKUP(I901,[2]categories!$A$2:$B$8,2,0)</f>
        <v>Electric Bikes</v>
      </c>
    </row>
    <row r="902" spans="1:10">
      <c r="A902">
        <v>319</v>
      </c>
      <c r="B902">
        <v>1</v>
      </c>
      <c r="C902">
        <v>11</v>
      </c>
      <c r="D902">
        <v>1</v>
      </c>
      <c r="E902">
        <v>1680.99</v>
      </c>
      <c r="F902">
        <v>0.07</v>
      </c>
      <c r="G902" s="1">
        <f t="shared" si="14"/>
        <v>1563.3207</v>
      </c>
      <c r="H902" t="str">
        <f>VLOOKUP(C902,[1]products!$A:$B,2,0)</f>
        <v>Surly Straggler 650b - 2016</v>
      </c>
      <c r="I902">
        <f>VLOOKUP(H902,[1]products!$B:$D,3,0)</f>
        <v>4</v>
      </c>
      <c r="J902" t="str">
        <f>VLOOKUP(I902,[2]categories!$A$2:$B$8,2,0)</f>
        <v>Cyclocross Bicycles</v>
      </c>
    </row>
    <row r="903" spans="1:10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 s="1">
        <f t="shared" si="14"/>
        <v>215.992</v>
      </c>
      <c r="H903" t="str">
        <f>VLOOKUP(C903,[1]products!$A:$B,2,0)</f>
        <v>Electra Cruiser 1 (24-Inch) - 2016</v>
      </c>
      <c r="I903">
        <f>VLOOKUP(H903,[1]products!$B:$D,3,0)</f>
        <v>3</v>
      </c>
      <c r="J903" t="str">
        <f>VLOOKUP(I903,[2]categories!$A$2:$B$8,2,0)</f>
        <v>Cruisers Bicycles</v>
      </c>
    </row>
    <row r="904" spans="1:10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 s="1">
        <f t="shared" si="14"/>
        <v>953.982</v>
      </c>
      <c r="H904" t="str">
        <f>VLOOKUP(C904,[1]products!$A:$B,2,0)</f>
        <v>Electra Moto 1 - 2016</v>
      </c>
      <c r="I904">
        <f>VLOOKUP(H904,[1]products!$B:$D,3,0)</f>
        <v>3</v>
      </c>
      <c r="J904" t="str">
        <f>VLOOKUP(I904,[2]categories!$A$2:$B$8,2,0)</f>
        <v>Cruisers Bicycles</v>
      </c>
    </row>
    <row r="905" spans="1:10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 s="1">
        <f t="shared" si="14"/>
        <v>284.9905</v>
      </c>
      <c r="H905" t="str">
        <f>VLOOKUP(C905,[1]products!$A:$B,2,0)</f>
        <v>Electra Girl's Hawaii 1 (20-inch) - 2015/2016</v>
      </c>
      <c r="I905">
        <f>VLOOKUP(H905,[1]products!$B:$D,3,0)</f>
        <v>1</v>
      </c>
      <c r="J905" t="str">
        <f>VLOOKUP(I905,[2]categories!$A$2:$B$8,2,0)</f>
        <v>Children Bicycles</v>
      </c>
    </row>
    <row r="906" spans="1:10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 s="1">
        <f t="shared" si="14"/>
        <v>674.991</v>
      </c>
      <c r="H906" t="str">
        <f>VLOOKUP(C906,[1]products!$A:$B,2,0)</f>
        <v>Ritchey Timberwolf Frameset - 2016</v>
      </c>
      <c r="I906">
        <f>VLOOKUP(H906,[1]products!$B:$D,3,0)</f>
        <v>6</v>
      </c>
      <c r="J906" t="str">
        <f>VLOOKUP(I906,[2]categories!$A$2:$B$8,2,0)</f>
        <v>Mountain Bikes</v>
      </c>
    </row>
    <row r="907" spans="1:10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 s="1">
        <f t="shared" si="14"/>
        <v>4639.984</v>
      </c>
      <c r="H907" t="str">
        <f>VLOOKUP(C907,[1]products!$A:$B,2,0)</f>
        <v>Trek Fuel EX 8 29 - 2016</v>
      </c>
      <c r="I907">
        <f>VLOOKUP(H907,[1]products!$B:$D,3,0)</f>
        <v>6</v>
      </c>
      <c r="J907" t="str">
        <f>VLOOKUP(I907,[2]categories!$A$2:$B$8,2,0)</f>
        <v>Mountain Bikes</v>
      </c>
    </row>
    <row r="908" spans="1:10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 s="1">
        <f t="shared" si="14"/>
        <v>879.984</v>
      </c>
      <c r="H908" t="str">
        <f>VLOOKUP(C908,[1]products!$A:$B,2,0)</f>
        <v>Electra Townie Original 21D - 2016</v>
      </c>
      <c r="I908">
        <f>VLOOKUP(H908,[1]products!$B:$D,3,0)</f>
        <v>3</v>
      </c>
      <c r="J908" t="str">
        <f>VLOOKUP(I908,[2]categories!$A$2:$B$8,2,0)</f>
        <v>Cruisers Bicycles</v>
      </c>
    </row>
    <row r="909" spans="1:10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 s="1">
        <f t="shared" si="14"/>
        <v>479.992</v>
      </c>
      <c r="H909" t="str">
        <f>VLOOKUP(C909,[1]products!$A:$B,2,0)</f>
        <v>Electra Townie Original 7D EQ - 2016</v>
      </c>
      <c r="I909">
        <f>VLOOKUP(H909,[1]products!$B:$D,3,0)</f>
        <v>3</v>
      </c>
      <c r="J909" t="str">
        <f>VLOOKUP(I909,[2]categories!$A$2:$B$8,2,0)</f>
        <v>Cruisers Bicycles</v>
      </c>
    </row>
    <row r="910" spans="1:10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 s="1">
        <f t="shared" si="14"/>
        <v>479.984</v>
      </c>
      <c r="H910" t="str">
        <f>VLOOKUP(C910,[1]products!$A:$B,2,0)</f>
        <v>Electra Girl's Hawaii 1 (20-inch) - 2015/2016</v>
      </c>
      <c r="I910">
        <f>VLOOKUP(H910,[1]products!$B:$D,3,0)</f>
        <v>1</v>
      </c>
      <c r="J910" t="str">
        <f>VLOOKUP(I910,[2]categories!$A$2:$B$8,2,0)</f>
        <v>Children Bicycles</v>
      </c>
    </row>
    <row r="911" spans="1:10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 s="1">
        <f t="shared" si="14"/>
        <v>431.984</v>
      </c>
      <c r="H911" t="str">
        <f>VLOOKUP(C911,[1]products!$A:$B,2,0)</f>
        <v>Electra Cruiser 1 (24-Inch) - 2016</v>
      </c>
      <c r="I911">
        <f>VLOOKUP(H911,[1]products!$B:$D,3,0)</f>
        <v>3</v>
      </c>
      <c r="J911" t="str">
        <f>VLOOKUP(I911,[2]categories!$A$2:$B$8,2,0)</f>
        <v>Cruisers Bicycles</v>
      </c>
    </row>
    <row r="912" spans="1:10">
      <c r="A912">
        <v>322</v>
      </c>
      <c r="B912">
        <v>2</v>
      </c>
      <c r="C912">
        <v>21</v>
      </c>
      <c r="D912">
        <v>1</v>
      </c>
      <c r="E912">
        <v>269.99</v>
      </c>
      <c r="F912">
        <v>0.07</v>
      </c>
      <c r="G912" s="1">
        <f t="shared" si="14"/>
        <v>251.0907</v>
      </c>
      <c r="H912" t="str">
        <f>VLOOKUP(C912,[1]products!$A:$B,2,0)</f>
        <v>Electra Cruiser 1 (24-Inch) - 2016</v>
      </c>
      <c r="I912">
        <f>VLOOKUP(H912,[1]products!$B:$D,3,0)</f>
        <v>3</v>
      </c>
      <c r="J912" t="str">
        <f>VLOOKUP(I912,[2]categories!$A$2:$B$8,2,0)</f>
        <v>Cruisers Bicycles</v>
      </c>
    </row>
    <row r="913" spans="1:10">
      <c r="A913">
        <v>323</v>
      </c>
      <c r="B913">
        <v>1</v>
      </c>
      <c r="C913">
        <v>13</v>
      </c>
      <c r="D913">
        <v>2</v>
      </c>
      <c r="E913">
        <v>269.99</v>
      </c>
      <c r="F913">
        <v>0.07</v>
      </c>
      <c r="G913" s="1">
        <f t="shared" si="14"/>
        <v>502.1814</v>
      </c>
      <c r="H913" t="str">
        <f>VLOOKUP(C913,[1]products!$A:$B,2,0)</f>
        <v>Electra Cruiser 1 (24-Inch) - 2016</v>
      </c>
      <c r="I913">
        <f>VLOOKUP(H913,[1]products!$B:$D,3,0)</f>
        <v>3</v>
      </c>
      <c r="J913" t="str">
        <f>VLOOKUP(I913,[2]categories!$A$2:$B$8,2,0)</f>
        <v>Cruisers Bicycles</v>
      </c>
    </row>
    <row r="914" spans="1:10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 s="1">
        <f t="shared" si="14"/>
        <v>1079.982</v>
      </c>
      <c r="H914" t="str">
        <f>VLOOKUP(C914,[1]products!$A:$B,2,0)</f>
        <v>Electra Townie Original 7D EQ - 2016</v>
      </c>
      <c r="I914">
        <f>VLOOKUP(H914,[1]products!$B:$D,3,0)</f>
        <v>3</v>
      </c>
      <c r="J914" t="str">
        <f>VLOOKUP(I914,[2]categories!$A$2:$B$8,2,0)</f>
        <v>Cruisers Bicycles</v>
      </c>
    </row>
    <row r="915" spans="1:10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 s="1">
        <f t="shared" si="14"/>
        <v>1349.982</v>
      </c>
      <c r="H915" t="str">
        <f>VLOOKUP(C915,[1]products!$A:$B,2,0)</f>
        <v>Ritchey Timberwolf Frameset - 2016</v>
      </c>
      <c r="I915">
        <f>VLOOKUP(H915,[1]products!$B:$D,3,0)</f>
        <v>6</v>
      </c>
      <c r="J915" t="str">
        <f>VLOOKUP(I915,[2]categories!$A$2:$B$8,2,0)</f>
        <v>Mountain Bikes</v>
      </c>
    </row>
    <row r="916" spans="1:10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 s="1">
        <f t="shared" si="14"/>
        <v>343.2</v>
      </c>
      <c r="H916" t="str">
        <f>VLOOKUP(C916,[1]products!$A:$B,2,0)</f>
        <v>Pure Cycles Vine 8-Speed - 2016</v>
      </c>
      <c r="I916">
        <f>VLOOKUP(H916,[1]products!$B:$D,3,0)</f>
        <v>3</v>
      </c>
      <c r="J916" t="str">
        <f>VLOOKUP(I916,[2]categories!$A$2:$B$8,2,0)</f>
        <v>Cruisers Bicycles</v>
      </c>
    </row>
    <row r="917" spans="1:10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 s="1">
        <f t="shared" si="14"/>
        <v>431.984</v>
      </c>
      <c r="H917" t="str">
        <f>VLOOKUP(C917,[1]products!$A:$B,2,0)</f>
        <v>Electra Girl's Hawaii 1 (16-inch) - 2015/2016</v>
      </c>
      <c r="I917">
        <f>VLOOKUP(H917,[1]products!$B:$D,3,0)</f>
        <v>3</v>
      </c>
      <c r="J917" t="str">
        <f>VLOOKUP(I917,[2]categories!$A$2:$B$8,2,0)</f>
        <v>Cruisers Bicycles</v>
      </c>
    </row>
    <row r="918" spans="1:10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 s="1">
        <f t="shared" si="14"/>
        <v>426.55</v>
      </c>
      <c r="H918" t="str">
        <f>VLOOKUP(C918,[1]products!$A:$B,2,0)</f>
        <v>Pure Cycles William 3-Speed - 2016</v>
      </c>
      <c r="I918">
        <f>VLOOKUP(H918,[1]products!$B:$D,3,0)</f>
        <v>3</v>
      </c>
      <c r="J918" t="str">
        <f>VLOOKUP(I918,[2]categories!$A$2:$B$8,2,0)</f>
        <v>Cruisers Bicycles</v>
      </c>
    </row>
    <row r="919" spans="1:10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 s="1">
        <f t="shared" si="14"/>
        <v>522.4905</v>
      </c>
      <c r="H919" t="str">
        <f>VLOOKUP(C919,[1]products!$A:$B,2,0)</f>
        <v>Electra Townie Original 21D - 2016</v>
      </c>
      <c r="I919">
        <f>VLOOKUP(H919,[1]products!$B:$D,3,0)</f>
        <v>3</v>
      </c>
      <c r="J919" t="str">
        <f>VLOOKUP(I919,[2]categories!$A$2:$B$8,2,0)</f>
        <v>Cruisers Bicycles</v>
      </c>
    </row>
    <row r="920" spans="1:10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 s="1">
        <f t="shared" si="14"/>
        <v>3799.9905</v>
      </c>
      <c r="H920" t="str">
        <f>VLOOKUP(C920,[1]products!$A:$B,2,0)</f>
        <v>Trek Slash 8 27.5 - 2016</v>
      </c>
      <c r="I920">
        <f>VLOOKUP(H920,[1]products!$B:$D,3,0)</f>
        <v>6</v>
      </c>
      <c r="J920" t="str">
        <f>VLOOKUP(I920,[2]categories!$A$2:$B$8,2,0)</f>
        <v>Mountain Bikes</v>
      </c>
    </row>
    <row r="921" spans="1:10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 s="1">
        <f t="shared" si="14"/>
        <v>439.992</v>
      </c>
      <c r="H921" t="str">
        <f>VLOOKUP(C921,[1]products!$A:$B,2,0)</f>
        <v>Electra Townie Original 21D - 2016</v>
      </c>
      <c r="I921">
        <f>VLOOKUP(H921,[1]products!$B:$D,3,0)</f>
        <v>3</v>
      </c>
      <c r="J921" t="str">
        <f>VLOOKUP(I921,[2]categories!$A$2:$B$8,2,0)</f>
        <v>Cruisers Bicycles</v>
      </c>
    </row>
    <row r="922" spans="1:10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 s="1">
        <f t="shared" si="14"/>
        <v>751.984</v>
      </c>
      <c r="H922" t="str">
        <f>VLOOKUP(C922,[1]products!$A:$B,2,0)</f>
        <v>Surly Ice Cream Truck Frameset - 2016</v>
      </c>
      <c r="I922">
        <f>VLOOKUP(H922,[1]products!$B:$D,3,0)</f>
        <v>6</v>
      </c>
      <c r="J922" t="str">
        <f>VLOOKUP(I922,[2]categories!$A$2:$B$8,2,0)</f>
        <v>Mountain Bikes</v>
      </c>
    </row>
    <row r="923" spans="1:10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 s="1">
        <f t="shared" si="14"/>
        <v>494.991</v>
      </c>
      <c r="H923" t="str">
        <f>VLOOKUP(C923,[1]products!$A:$B,2,0)</f>
        <v>Electra Townie Original 21D - 2016</v>
      </c>
      <c r="I923">
        <f>VLOOKUP(H923,[1]products!$B:$D,3,0)</f>
        <v>3</v>
      </c>
      <c r="J923" t="str">
        <f>VLOOKUP(I923,[2]categories!$A$2:$B$8,2,0)</f>
        <v>Cruisers Bicycles</v>
      </c>
    </row>
    <row r="924" spans="1:10">
      <c r="A924">
        <v>326</v>
      </c>
      <c r="B924">
        <v>2</v>
      </c>
      <c r="C924">
        <v>23</v>
      </c>
      <c r="D924">
        <v>1</v>
      </c>
      <c r="E924">
        <v>299.99</v>
      </c>
      <c r="F924">
        <v>0.07</v>
      </c>
      <c r="G924" s="1">
        <f t="shared" si="14"/>
        <v>278.9907</v>
      </c>
      <c r="H924" t="str">
        <f>VLOOKUP(C924,[1]products!$A:$B,2,0)</f>
        <v>Electra Girl's Hawaii 1 (20-inch) - 2015/2016</v>
      </c>
      <c r="I924">
        <f>VLOOKUP(H924,[1]products!$B:$D,3,0)</f>
        <v>1</v>
      </c>
      <c r="J924" t="str">
        <f>VLOOKUP(I924,[2]categories!$A$2:$B$8,2,0)</f>
        <v>Children Bicycles</v>
      </c>
    </row>
    <row r="925" spans="1:10">
      <c r="A925">
        <v>327</v>
      </c>
      <c r="B925">
        <v>1</v>
      </c>
      <c r="C925">
        <v>12</v>
      </c>
      <c r="D925">
        <v>2</v>
      </c>
      <c r="E925">
        <v>549.99</v>
      </c>
      <c r="F925">
        <v>0.07</v>
      </c>
      <c r="G925" s="1">
        <f t="shared" si="14"/>
        <v>1022.9814</v>
      </c>
      <c r="H925" t="str">
        <f>VLOOKUP(C925,[1]products!$A:$B,2,0)</f>
        <v>Electra Townie Original 21D - 2016</v>
      </c>
      <c r="I925">
        <f>VLOOKUP(H925,[1]products!$B:$D,3,0)</f>
        <v>3</v>
      </c>
      <c r="J925" t="str">
        <f>VLOOKUP(I925,[2]categories!$A$2:$B$8,2,0)</f>
        <v>Cruisers Bicycles</v>
      </c>
    </row>
    <row r="926" spans="1:10">
      <c r="A926">
        <v>327</v>
      </c>
      <c r="B926">
        <v>2</v>
      </c>
      <c r="C926">
        <v>13</v>
      </c>
      <c r="D926">
        <v>1</v>
      </c>
      <c r="E926">
        <v>269.99</v>
      </c>
      <c r="F926">
        <v>0.07</v>
      </c>
      <c r="G926" s="1">
        <f t="shared" si="14"/>
        <v>251.0907</v>
      </c>
      <c r="H926" t="str">
        <f>VLOOKUP(C926,[1]products!$A:$B,2,0)</f>
        <v>Electra Cruiser 1 (24-Inch) - 2016</v>
      </c>
      <c r="I926">
        <f>VLOOKUP(H926,[1]products!$B:$D,3,0)</f>
        <v>3</v>
      </c>
      <c r="J926" t="str">
        <f>VLOOKUP(I926,[2]categories!$A$2:$B$8,2,0)</f>
        <v>Cruisers Bicycles</v>
      </c>
    </row>
    <row r="927" spans="1:10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 s="1">
        <f t="shared" si="14"/>
        <v>2754.9905</v>
      </c>
      <c r="H927" t="str">
        <f>VLOOKUP(C927,[1]products!$A:$B,2,0)</f>
        <v>Trek Fuel EX 8 29 - 2016</v>
      </c>
      <c r="I927">
        <f>VLOOKUP(H927,[1]products!$B:$D,3,0)</f>
        <v>6</v>
      </c>
      <c r="J927" t="str">
        <f>VLOOKUP(I927,[2]categories!$A$2:$B$8,2,0)</f>
        <v>Mountain Bikes</v>
      </c>
    </row>
    <row r="928" spans="1:10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 s="1">
        <f t="shared" si="14"/>
        <v>845.982</v>
      </c>
      <c r="H928" t="str">
        <f>VLOOKUP(C928,[1]products!$A:$B,2,0)</f>
        <v>Surly Ice Cream Truck Frameset - 2016</v>
      </c>
      <c r="I928">
        <f>VLOOKUP(H928,[1]products!$B:$D,3,0)</f>
        <v>6</v>
      </c>
      <c r="J928" t="str">
        <f>VLOOKUP(I928,[2]categories!$A$2:$B$8,2,0)</f>
        <v>Mountain Bikes</v>
      </c>
    </row>
    <row r="929" spans="1:10">
      <c r="A929">
        <v>329</v>
      </c>
      <c r="B929">
        <v>1</v>
      </c>
      <c r="C929">
        <v>14</v>
      </c>
      <c r="D929">
        <v>2</v>
      </c>
      <c r="E929">
        <v>269.99</v>
      </c>
      <c r="F929">
        <v>0.07</v>
      </c>
      <c r="G929" s="1">
        <f t="shared" si="14"/>
        <v>502.1814</v>
      </c>
      <c r="H929" t="str">
        <f>VLOOKUP(C929,[1]products!$A:$B,2,0)</f>
        <v>Electra Girl's Hawaii 1 (16-inch) - 2015/2016</v>
      </c>
      <c r="I929">
        <f>VLOOKUP(H929,[1]products!$B:$D,3,0)</f>
        <v>3</v>
      </c>
      <c r="J929" t="str">
        <f>VLOOKUP(I929,[2]categories!$A$2:$B$8,2,0)</f>
        <v>Cruisers Bicycles</v>
      </c>
    </row>
    <row r="930" spans="1:10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 s="1">
        <f t="shared" si="14"/>
        <v>3419.981</v>
      </c>
      <c r="H930" t="str">
        <f>VLOOKUP(C930,[1]products!$A:$B,2,0)</f>
        <v>Trek Remedy 29 Carbon Frameset - 2016</v>
      </c>
      <c r="I930">
        <f>VLOOKUP(H930,[1]products!$B:$D,3,0)</f>
        <v>6</v>
      </c>
      <c r="J930" t="str">
        <f>VLOOKUP(I930,[2]categories!$A$2:$B$8,2,0)</f>
        <v>Mountain Bikes</v>
      </c>
    </row>
    <row r="931" spans="1:10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 s="1">
        <f t="shared" si="14"/>
        <v>239.992</v>
      </c>
      <c r="H931" t="str">
        <f>VLOOKUP(C931,[1]products!$A:$B,2,0)</f>
        <v>Electra Girl's Hawaii 1 (20-inch) - 2015/2016</v>
      </c>
      <c r="I931">
        <f>VLOOKUP(H931,[1]products!$B:$D,3,0)</f>
        <v>1</v>
      </c>
      <c r="J931" t="str">
        <f>VLOOKUP(I931,[2]categories!$A$2:$B$8,2,0)</f>
        <v>Children Bicycles</v>
      </c>
    </row>
    <row r="932" spans="1:10">
      <c r="A932">
        <v>329</v>
      </c>
      <c r="B932">
        <v>4</v>
      </c>
      <c r="C932">
        <v>17</v>
      </c>
      <c r="D932">
        <v>1</v>
      </c>
      <c r="E932">
        <v>429</v>
      </c>
      <c r="F932">
        <v>0.07</v>
      </c>
      <c r="G932" s="1">
        <f t="shared" si="14"/>
        <v>398.97</v>
      </c>
      <c r="H932" t="str">
        <f>VLOOKUP(C932,[1]products!$A:$B,2,0)</f>
        <v>Pure Cycles Vine 8-Speed - 2016</v>
      </c>
      <c r="I932">
        <f>VLOOKUP(H932,[1]products!$B:$D,3,0)</f>
        <v>3</v>
      </c>
      <c r="J932" t="str">
        <f>VLOOKUP(I932,[2]categories!$A$2:$B$8,2,0)</f>
        <v>Cruisers Bicycles</v>
      </c>
    </row>
    <row r="933" spans="1:10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 s="1">
        <f t="shared" si="14"/>
        <v>1139.981</v>
      </c>
      <c r="H933" t="str">
        <f>VLOOKUP(C933,[1]products!$A:$B,2,0)</f>
        <v>Electra Townie Original 7D EQ - 2016</v>
      </c>
      <c r="I933">
        <f>VLOOKUP(H933,[1]products!$B:$D,3,0)</f>
        <v>3</v>
      </c>
      <c r="J933" t="str">
        <f>VLOOKUP(I933,[2]categories!$A$2:$B$8,2,0)</f>
        <v>Cruisers Bicycles</v>
      </c>
    </row>
    <row r="934" spans="1:10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 s="1">
        <f t="shared" si="14"/>
        <v>512.981</v>
      </c>
      <c r="H934" t="str">
        <f>VLOOKUP(C934,[1]products!$A:$B,2,0)</f>
        <v>Electra Cruiser 1 (24-Inch) - 2016</v>
      </c>
      <c r="I934">
        <f>VLOOKUP(H934,[1]products!$B:$D,3,0)</f>
        <v>3</v>
      </c>
      <c r="J934" t="str">
        <f>VLOOKUP(I934,[2]categories!$A$2:$B$8,2,0)</f>
        <v>Cruisers Bicycles</v>
      </c>
    </row>
    <row r="935" spans="1:10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 s="1">
        <f t="shared" si="14"/>
        <v>772.2</v>
      </c>
      <c r="H935" t="str">
        <f>VLOOKUP(C935,[1]products!$A:$B,2,0)</f>
        <v>Pure Cycles Vine 8-Speed - 2016</v>
      </c>
      <c r="I935">
        <f>VLOOKUP(H935,[1]products!$B:$D,3,0)</f>
        <v>3</v>
      </c>
      <c r="J935" t="str">
        <f>VLOOKUP(I935,[2]categories!$A$2:$B$8,2,0)</f>
        <v>Cruisers Bicycles</v>
      </c>
    </row>
    <row r="936" spans="1:10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 s="1">
        <f t="shared" si="14"/>
        <v>853.1</v>
      </c>
      <c r="H936" t="str">
        <f>VLOOKUP(C936,[1]products!$A:$B,2,0)</f>
        <v>Pure Cycles Western 3-Speed - Women's - 2015/2016</v>
      </c>
      <c r="I936">
        <f>VLOOKUP(H936,[1]products!$B:$D,3,0)</f>
        <v>3</v>
      </c>
      <c r="J936" t="str">
        <f>VLOOKUP(I936,[2]categories!$A$2:$B$8,2,0)</f>
        <v>Cruisers Bicycles</v>
      </c>
    </row>
    <row r="937" spans="1:10">
      <c r="A937">
        <v>333</v>
      </c>
      <c r="B937">
        <v>1</v>
      </c>
      <c r="C937">
        <v>18</v>
      </c>
      <c r="D937">
        <v>2</v>
      </c>
      <c r="E937">
        <v>449</v>
      </c>
      <c r="F937">
        <v>0.07</v>
      </c>
      <c r="G937" s="1">
        <f t="shared" si="14"/>
        <v>835.14</v>
      </c>
      <c r="H937" t="str">
        <f>VLOOKUP(C937,[1]products!$A:$B,2,0)</f>
        <v>Pure Cycles Western 3-Speed - Women's - 2015/2016</v>
      </c>
      <c r="I937">
        <f>VLOOKUP(H937,[1]products!$B:$D,3,0)</f>
        <v>3</v>
      </c>
      <c r="J937" t="str">
        <f>VLOOKUP(I937,[2]categories!$A$2:$B$8,2,0)</f>
        <v>Cruisers Bicycles</v>
      </c>
    </row>
    <row r="938" spans="1:10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 s="1">
        <f t="shared" si="14"/>
        <v>3419.981</v>
      </c>
      <c r="H938" t="str">
        <f>VLOOKUP(C938,[1]products!$A:$B,2,0)</f>
        <v>Trek Remedy 29 Carbon Frameset - 2016</v>
      </c>
      <c r="I938">
        <f>VLOOKUP(H938,[1]products!$B:$D,3,0)</f>
        <v>6</v>
      </c>
      <c r="J938" t="str">
        <f>VLOOKUP(I938,[2]categories!$A$2:$B$8,2,0)</f>
        <v>Mountain Bikes</v>
      </c>
    </row>
    <row r="939" spans="1:10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 s="1">
        <f t="shared" si="14"/>
        <v>799.992</v>
      </c>
      <c r="H939" t="str">
        <f>VLOOKUP(C939,[1]products!$A:$B,2,0)</f>
        <v>Surly Wednesday Frameset - 2016</v>
      </c>
      <c r="I939">
        <f>VLOOKUP(H939,[1]products!$B:$D,3,0)</f>
        <v>6</v>
      </c>
      <c r="J939" t="str">
        <f>VLOOKUP(I939,[2]categories!$A$2:$B$8,2,0)</f>
        <v>Mountain Bikes</v>
      </c>
    </row>
    <row r="940" spans="1:10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 s="1">
        <f t="shared" si="14"/>
        <v>959.984</v>
      </c>
      <c r="H940" t="str">
        <f>VLOOKUP(C940,[1]products!$A:$B,2,0)</f>
        <v>Electra Townie Original 7D EQ - 2016</v>
      </c>
      <c r="I940">
        <f>VLOOKUP(H940,[1]products!$B:$D,3,0)</f>
        <v>3</v>
      </c>
      <c r="J940" t="str">
        <f>VLOOKUP(I940,[2]categories!$A$2:$B$8,2,0)</f>
        <v>Cruisers Bicycles</v>
      </c>
    </row>
    <row r="941" spans="1:10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 s="1">
        <f t="shared" si="14"/>
        <v>2849.9905</v>
      </c>
      <c r="H941" t="str">
        <f>VLOOKUP(C941,[1]products!$A:$B,2,0)</f>
        <v>Trek Conduit+ - 2016</v>
      </c>
      <c r="I941">
        <f>VLOOKUP(H941,[1]products!$B:$D,3,0)</f>
        <v>5</v>
      </c>
      <c r="J941" t="str">
        <f>VLOOKUP(I941,[2]categories!$A$2:$B$8,2,0)</f>
        <v>Electric Bikes</v>
      </c>
    </row>
    <row r="942" spans="1:10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 s="1">
        <f t="shared" si="14"/>
        <v>1899.981</v>
      </c>
      <c r="H942" t="str">
        <f>VLOOKUP(C942,[1]products!$A:$B,2,0)</f>
        <v>Surly Wednesday Frameset - 2016</v>
      </c>
      <c r="I942">
        <f>VLOOKUP(H942,[1]products!$B:$D,3,0)</f>
        <v>6</v>
      </c>
      <c r="J942" t="str">
        <f>VLOOKUP(I942,[2]categories!$A$2:$B$8,2,0)</f>
        <v>Mountain Bikes</v>
      </c>
    </row>
    <row r="943" spans="1:10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 s="1">
        <f t="shared" si="14"/>
        <v>422.991</v>
      </c>
      <c r="H943" t="str">
        <f>VLOOKUP(C943,[1]products!$A:$B,2,0)</f>
        <v>Surly Ice Cream Truck Frameset - 2016</v>
      </c>
      <c r="I943">
        <f>VLOOKUP(H943,[1]products!$B:$D,3,0)</f>
        <v>6</v>
      </c>
      <c r="J943" t="str">
        <f>VLOOKUP(I943,[2]categories!$A$2:$B$8,2,0)</f>
        <v>Mountain Bikes</v>
      </c>
    </row>
    <row r="944" spans="1:10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 s="1">
        <f t="shared" si="14"/>
        <v>1349.982</v>
      </c>
      <c r="H944" t="str">
        <f>VLOOKUP(C944,[1]products!$A:$B,2,0)</f>
        <v>Ritchey Timberwolf Frameset - 2016</v>
      </c>
      <c r="I944">
        <f>VLOOKUP(H944,[1]products!$B:$D,3,0)</f>
        <v>6</v>
      </c>
      <c r="J944" t="str">
        <f>VLOOKUP(I944,[2]categories!$A$2:$B$8,2,0)</f>
        <v>Mountain Bikes</v>
      </c>
    </row>
    <row r="945" spans="1:10">
      <c r="A945">
        <v>335</v>
      </c>
      <c r="B945">
        <v>3</v>
      </c>
      <c r="C945">
        <v>21</v>
      </c>
      <c r="D945">
        <v>1</v>
      </c>
      <c r="E945">
        <v>269.99</v>
      </c>
      <c r="F945">
        <v>0.07</v>
      </c>
      <c r="G945" s="1">
        <f t="shared" si="14"/>
        <v>251.0907</v>
      </c>
      <c r="H945" t="str">
        <f>VLOOKUP(C945,[1]products!$A:$B,2,0)</f>
        <v>Electra Cruiser 1 (24-Inch) - 2016</v>
      </c>
      <c r="I945">
        <f>VLOOKUP(H945,[1]products!$B:$D,3,0)</f>
        <v>3</v>
      </c>
      <c r="J945" t="str">
        <f>VLOOKUP(I945,[2]categories!$A$2:$B$8,2,0)</f>
        <v>Cruisers Bicycles</v>
      </c>
    </row>
    <row r="946" spans="1:10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 s="1">
        <f t="shared" si="14"/>
        <v>2609.991</v>
      </c>
      <c r="H946" t="str">
        <f>VLOOKUP(C946,[1]products!$A:$B,2,0)</f>
        <v>Trek Fuel EX 8 29 - 2016</v>
      </c>
      <c r="I946">
        <f>VLOOKUP(H946,[1]products!$B:$D,3,0)</f>
        <v>6</v>
      </c>
      <c r="J946" t="str">
        <f>VLOOKUP(I946,[2]categories!$A$2:$B$8,2,0)</f>
        <v>Mountain Bikes</v>
      </c>
    </row>
    <row r="947" spans="1:10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 s="1">
        <f t="shared" si="14"/>
        <v>439.992</v>
      </c>
      <c r="H947" t="str">
        <f>VLOOKUP(C947,[1]products!$A:$B,2,0)</f>
        <v>Electra Townie Original 21D - 2016</v>
      </c>
      <c r="I947">
        <f>VLOOKUP(H947,[1]products!$B:$D,3,0)</f>
        <v>3</v>
      </c>
      <c r="J947" t="str">
        <f>VLOOKUP(I947,[2]categories!$A$2:$B$8,2,0)</f>
        <v>Cruisers Bicycles</v>
      </c>
    </row>
    <row r="948" spans="1:10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 s="1">
        <f t="shared" si="14"/>
        <v>426.55</v>
      </c>
      <c r="H948" t="str">
        <f>VLOOKUP(C948,[1]products!$A:$B,2,0)</f>
        <v>Pure Cycles Western 3-Speed - Women's - 2015/2016</v>
      </c>
      <c r="I948">
        <f>VLOOKUP(H948,[1]products!$B:$D,3,0)</f>
        <v>3</v>
      </c>
      <c r="J948" t="str">
        <f>VLOOKUP(I948,[2]categories!$A$2:$B$8,2,0)</f>
        <v>Cruisers Bicycles</v>
      </c>
    </row>
    <row r="949" spans="1:10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 s="1">
        <f t="shared" si="14"/>
        <v>2754.9905</v>
      </c>
      <c r="H949" t="str">
        <f>VLOOKUP(C949,[1]products!$A:$B,2,0)</f>
        <v>Trek Fuel EX 8 29 - 2016</v>
      </c>
      <c r="I949">
        <f>VLOOKUP(H949,[1]products!$B:$D,3,0)</f>
        <v>6</v>
      </c>
      <c r="J949" t="str">
        <f>VLOOKUP(I949,[2]categories!$A$2:$B$8,2,0)</f>
        <v>Mountain Bikes</v>
      </c>
    </row>
    <row r="950" spans="1:10">
      <c r="A950">
        <v>338</v>
      </c>
      <c r="B950">
        <v>1</v>
      </c>
      <c r="C950">
        <v>6</v>
      </c>
      <c r="D950">
        <v>2</v>
      </c>
      <c r="E950">
        <v>469.99</v>
      </c>
      <c r="F950">
        <v>0.07</v>
      </c>
      <c r="G950" s="1">
        <f t="shared" si="14"/>
        <v>874.1814</v>
      </c>
      <c r="H950" t="str">
        <f>VLOOKUP(C950,[1]products!$A:$B,2,0)</f>
        <v>Surly Ice Cream Truck Frameset - 2016</v>
      </c>
      <c r="I950">
        <f>VLOOKUP(H950,[1]products!$B:$D,3,0)</f>
        <v>6</v>
      </c>
      <c r="J950" t="str">
        <f>VLOOKUP(I950,[2]categories!$A$2:$B$8,2,0)</f>
        <v>Mountain Bikes</v>
      </c>
    </row>
    <row r="951" spans="1:10">
      <c r="A951">
        <v>338</v>
      </c>
      <c r="B951">
        <v>2</v>
      </c>
      <c r="C951">
        <v>10</v>
      </c>
      <c r="D951">
        <v>1</v>
      </c>
      <c r="E951">
        <v>1549</v>
      </c>
      <c r="F951">
        <v>0.07</v>
      </c>
      <c r="G951" s="1">
        <f t="shared" si="14"/>
        <v>1440.57</v>
      </c>
      <c r="H951" t="str">
        <f>VLOOKUP(C951,[1]products!$A:$B,2,0)</f>
        <v>Surly Straggler - 2016</v>
      </c>
      <c r="I951">
        <f>VLOOKUP(H951,[1]products!$B:$D,3,0)</f>
        <v>4</v>
      </c>
      <c r="J951" t="str">
        <f>VLOOKUP(I951,[2]categories!$A$2:$B$8,2,0)</f>
        <v>Cyclocross Bicycles</v>
      </c>
    </row>
    <row r="952" spans="1:10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 s="1">
        <f t="shared" si="14"/>
        <v>242.991</v>
      </c>
      <c r="H952" t="str">
        <f>VLOOKUP(C952,[1]products!$A:$B,2,0)</f>
        <v>Electra Girl's Hawaii 1 (16-inch) - 2015/2016</v>
      </c>
      <c r="I952">
        <f>VLOOKUP(H952,[1]products!$B:$D,3,0)</f>
        <v>3</v>
      </c>
      <c r="J952" t="str">
        <f>VLOOKUP(I952,[2]categories!$A$2:$B$8,2,0)</f>
        <v>Cruisers Bicycles</v>
      </c>
    </row>
    <row r="953" spans="1:10">
      <c r="A953">
        <v>338</v>
      </c>
      <c r="B953">
        <v>4</v>
      </c>
      <c r="C953">
        <v>11</v>
      </c>
      <c r="D953">
        <v>2</v>
      </c>
      <c r="E953">
        <v>1680.99</v>
      </c>
      <c r="F953">
        <v>0.07</v>
      </c>
      <c r="G953" s="1">
        <f t="shared" si="14"/>
        <v>3126.6414</v>
      </c>
      <c r="H953" t="str">
        <f>VLOOKUP(C953,[1]products!$A:$B,2,0)</f>
        <v>Surly Straggler 650b - 2016</v>
      </c>
      <c r="I953">
        <f>VLOOKUP(H953,[1]products!$B:$D,3,0)</f>
        <v>4</v>
      </c>
      <c r="J953" t="str">
        <f>VLOOKUP(I953,[2]categories!$A$2:$B$8,2,0)</f>
        <v>Cyclocross Bicycles</v>
      </c>
    </row>
    <row r="954" spans="1:10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 s="1">
        <f t="shared" si="14"/>
        <v>2849.9905</v>
      </c>
      <c r="H954" t="str">
        <f>VLOOKUP(C954,[1]products!$A:$B,2,0)</f>
        <v>Trek Conduit+ - 2016</v>
      </c>
      <c r="I954">
        <f>VLOOKUP(H954,[1]products!$B:$D,3,0)</f>
        <v>5</v>
      </c>
      <c r="J954" t="str">
        <f>VLOOKUP(I954,[2]categories!$A$2:$B$8,2,0)</f>
        <v>Electric Bikes</v>
      </c>
    </row>
    <row r="955" spans="1:10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 s="1">
        <f t="shared" si="14"/>
        <v>242.991</v>
      </c>
      <c r="H955" t="str">
        <f>VLOOKUP(C955,[1]products!$A:$B,2,0)</f>
        <v>Electra Cruiser 1 (24-Inch) - 2016</v>
      </c>
      <c r="I955">
        <f>VLOOKUP(H955,[1]products!$B:$D,3,0)</f>
        <v>3</v>
      </c>
      <c r="J955" t="str">
        <f>VLOOKUP(I955,[2]categories!$A$2:$B$8,2,0)</f>
        <v>Cruisers Bicycles</v>
      </c>
    </row>
    <row r="956" spans="1:10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 s="1">
        <f t="shared" si="14"/>
        <v>1006.981</v>
      </c>
      <c r="H956" t="str">
        <f>VLOOKUP(C956,[1]products!$A:$B,2,0)</f>
        <v>Electra Moto 1 - 2016</v>
      </c>
      <c r="I956">
        <f>VLOOKUP(H956,[1]products!$B:$D,3,0)</f>
        <v>3</v>
      </c>
      <c r="J956" t="str">
        <f>VLOOKUP(I956,[2]categories!$A$2:$B$8,2,0)</f>
        <v>Cruisers Bicycles</v>
      </c>
    </row>
    <row r="957" spans="1:10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 s="1">
        <f t="shared" si="14"/>
        <v>1596.9405</v>
      </c>
      <c r="H957" t="str">
        <f>VLOOKUP(C957,[1]products!$A:$B,2,0)</f>
        <v>Surly Straggler 650b - 2016</v>
      </c>
      <c r="I957">
        <f>VLOOKUP(H957,[1]products!$B:$D,3,0)</f>
        <v>4</v>
      </c>
      <c r="J957" t="str">
        <f>VLOOKUP(I957,[2]categories!$A$2:$B$8,2,0)</f>
        <v>Cyclocross Bicycles</v>
      </c>
    </row>
    <row r="958" spans="1:10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 s="1">
        <f t="shared" si="14"/>
        <v>522.4905</v>
      </c>
      <c r="H958" t="str">
        <f>VLOOKUP(C958,[1]products!$A:$B,2,0)</f>
        <v>Electra Townie Original 21D - 2016</v>
      </c>
      <c r="I958">
        <f>VLOOKUP(H958,[1]products!$B:$D,3,0)</f>
        <v>3</v>
      </c>
      <c r="J958" t="str">
        <f>VLOOKUP(I958,[2]categories!$A$2:$B$8,2,0)</f>
        <v>Cruisers Bicycles</v>
      </c>
    </row>
    <row r="959" spans="1:10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 s="1">
        <f t="shared" si="14"/>
        <v>485.982</v>
      </c>
      <c r="H959" t="str">
        <f>VLOOKUP(C959,[1]products!$A:$B,2,0)</f>
        <v>Electra Cruiser 1 (24-Inch) - 2016</v>
      </c>
      <c r="I959">
        <f>VLOOKUP(H959,[1]products!$B:$D,3,0)</f>
        <v>3</v>
      </c>
      <c r="J959" t="str">
        <f>VLOOKUP(I959,[2]categories!$A$2:$B$8,2,0)</f>
        <v>Cruisers Bicycles</v>
      </c>
    </row>
    <row r="960" spans="1:10">
      <c r="A960">
        <v>340</v>
      </c>
      <c r="B960">
        <v>4</v>
      </c>
      <c r="C960">
        <v>12</v>
      </c>
      <c r="D960">
        <v>2</v>
      </c>
      <c r="E960">
        <v>549.99</v>
      </c>
      <c r="F960">
        <v>0.07</v>
      </c>
      <c r="G960" s="1">
        <f t="shared" si="14"/>
        <v>1022.9814</v>
      </c>
      <c r="H960" t="str">
        <f>VLOOKUP(C960,[1]products!$A:$B,2,0)</f>
        <v>Electra Townie Original 21D - 2016</v>
      </c>
      <c r="I960">
        <f>VLOOKUP(H960,[1]products!$B:$D,3,0)</f>
        <v>3</v>
      </c>
      <c r="J960" t="str">
        <f>VLOOKUP(I960,[2]categories!$A$2:$B$8,2,0)</f>
        <v>Cruisers Bicycles</v>
      </c>
    </row>
    <row r="961" spans="1:10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 s="1">
        <f t="shared" si="14"/>
        <v>2788.2</v>
      </c>
      <c r="H961" t="str">
        <f>VLOOKUP(C961,[1]products!$A:$B,2,0)</f>
        <v>Surly Straggler - 2016</v>
      </c>
      <c r="I961">
        <f>VLOOKUP(H961,[1]products!$B:$D,3,0)</f>
        <v>4</v>
      </c>
      <c r="J961" t="str">
        <f>VLOOKUP(I961,[2]categories!$A$2:$B$8,2,0)</f>
        <v>Cyclocross Bicycles</v>
      </c>
    </row>
    <row r="962" spans="1:10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 s="1">
        <f t="shared" ref="G962:G1025" si="15">D962*E962*(1-F962)</f>
        <v>569.981</v>
      </c>
      <c r="H962" t="str">
        <f>VLOOKUP(C962,[1]products!$A:$B,2,0)</f>
        <v>Electra Girl's Hawaii 1 (20-inch) - 2015/2016</v>
      </c>
      <c r="I962">
        <f>VLOOKUP(H962,[1]products!$B:$D,3,0)</f>
        <v>1</v>
      </c>
      <c r="J962" t="str">
        <f>VLOOKUP(I962,[2]categories!$A$2:$B$8,2,0)</f>
        <v>Children Bicycles</v>
      </c>
    </row>
    <row r="963" spans="1:10">
      <c r="A963">
        <v>342</v>
      </c>
      <c r="B963">
        <v>1</v>
      </c>
      <c r="C963">
        <v>26</v>
      </c>
      <c r="D963">
        <v>1</v>
      </c>
      <c r="E963">
        <v>599.99</v>
      </c>
      <c r="F963">
        <v>0.07</v>
      </c>
      <c r="G963" s="1">
        <f t="shared" si="15"/>
        <v>557.9907</v>
      </c>
      <c r="H963" t="str">
        <f>VLOOKUP(C963,[1]products!$A:$B,2,0)</f>
        <v>Electra Townie Original 7D EQ - 2016</v>
      </c>
      <c r="I963">
        <f>VLOOKUP(H963,[1]products!$B:$D,3,0)</f>
        <v>3</v>
      </c>
      <c r="J963" t="str">
        <f>VLOOKUP(I963,[2]categories!$A$2:$B$8,2,0)</f>
        <v>Cruisers Bicycles</v>
      </c>
    </row>
    <row r="964" spans="1:10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 s="1">
        <f t="shared" si="15"/>
        <v>2399.992</v>
      </c>
      <c r="H964" t="str">
        <f>VLOOKUP(C964,[1]products!$A:$B,2,0)</f>
        <v>Trek Conduit+ - 2016</v>
      </c>
      <c r="I964">
        <f>VLOOKUP(H964,[1]products!$B:$D,3,0)</f>
        <v>5</v>
      </c>
      <c r="J964" t="str">
        <f>VLOOKUP(I964,[2]categories!$A$2:$B$8,2,0)</f>
        <v>Electric Bikes</v>
      </c>
    </row>
    <row r="965" spans="1:10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 s="1">
        <f t="shared" si="15"/>
        <v>1079.982</v>
      </c>
      <c r="H965" t="str">
        <f>VLOOKUP(C965,[1]products!$A:$B,2,0)</f>
        <v>Electra Townie Original 7D EQ - 2016</v>
      </c>
      <c r="I965">
        <f>VLOOKUP(H965,[1]products!$B:$D,3,0)</f>
        <v>3</v>
      </c>
      <c r="J965" t="str">
        <f>VLOOKUP(I965,[2]categories!$A$2:$B$8,2,0)</f>
        <v>Cruisers Bicycles</v>
      </c>
    </row>
    <row r="966" spans="1:10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 s="1">
        <f t="shared" si="15"/>
        <v>959.984</v>
      </c>
      <c r="H966" t="str">
        <f>VLOOKUP(C966,[1]products!$A:$B,2,0)</f>
        <v>Electra Townie Original 7D EQ - Women's - 2016</v>
      </c>
      <c r="I966">
        <f>VLOOKUP(H966,[1]products!$B:$D,3,0)</f>
        <v>3</v>
      </c>
      <c r="J966" t="str">
        <f>VLOOKUP(I966,[2]categories!$A$2:$B$8,2,0)</f>
        <v>Cruisers Bicycles</v>
      </c>
    </row>
    <row r="967" spans="1:10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 s="1">
        <f t="shared" si="15"/>
        <v>474.9905</v>
      </c>
      <c r="H967" t="str">
        <f>VLOOKUP(C967,[1]products!$A:$B,2,0)</f>
        <v>Electra Townie Original 7D - 2015/2016</v>
      </c>
      <c r="I967">
        <f>VLOOKUP(H967,[1]products!$B:$D,3,0)</f>
        <v>2</v>
      </c>
      <c r="J967" t="str">
        <f>VLOOKUP(I967,[2]categories!$A$2:$B$8,2,0)</f>
        <v>Comfort Bicycles</v>
      </c>
    </row>
    <row r="968" spans="1:10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 s="1">
        <f t="shared" si="15"/>
        <v>2509.881</v>
      </c>
      <c r="H968" t="str">
        <f>VLOOKUP(C968,[1]products!$A:$B,2,0)</f>
        <v>Heller Shagamaw Frame - 2016</v>
      </c>
      <c r="I968">
        <f>VLOOKUP(H968,[1]products!$B:$D,3,0)</f>
        <v>6</v>
      </c>
      <c r="J968" t="str">
        <f>VLOOKUP(I968,[2]categories!$A$2:$B$8,2,0)</f>
        <v>Mountain Bikes</v>
      </c>
    </row>
    <row r="969" spans="1:10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 s="1">
        <f t="shared" si="15"/>
        <v>1394.1</v>
      </c>
      <c r="H969" t="str">
        <f>VLOOKUP(C969,[1]products!$A:$B,2,0)</f>
        <v>Surly Straggler - 2016</v>
      </c>
      <c r="I969">
        <f>VLOOKUP(H969,[1]products!$B:$D,3,0)</f>
        <v>4</v>
      </c>
      <c r="J969" t="str">
        <f>VLOOKUP(I969,[2]categories!$A$2:$B$8,2,0)</f>
        <v>Cyclocross Bicycles</v>
      </c>
    </row>
    <row r="970" spans="1:10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 s="1">
        <f t="shared" si="15"/>
        <v>256.4905</v>
      </c>
      <c r="H970" t="str">
        <f>VLOOKUP(C970,[1]products!$A:$B,2,0)</f>
        <v>Electra Girl's Hawaii 1 (16-inch) - 2015/2016</v>
      </c>
      <c r="I970">
        <f>VLOOKUP(H970,[1]products!$B:$D,3,0)</f>
        <v>3</v>
      </c>
      <c r="J970" t="str">
        <f>VLOOKUP(I970,[2]categories!$A$2:$B$8,2,0)</f>
        <v>Cruisers Bicycles</v>
      </c>
    </row>
    <row r="971" spans="1:10">
      <c r="A971">
        <v>344</v>
      </c>
      <c r="B971">
        <v>2</v>
      </c>
      <c r="C971">
        <v>18</v>
      </c>
      <c r="D971">
        <v>2</v>
      </c>
      <c r="E971">
        <v>449</v>
      </c>
      <c r="F971">
        <v>0.07</v>
      </c>
      <c r="G971" s="1">
        <f t="shared" si="15"/>
        <v>835.14</v>
      </c>
      <c r="H971" t="str">
        <f>VLOOKUP(C971,[1]products!$A:$B,2,0)</f>
        <v>Pure Cycles Western 3-Speed - Women's - 2015/2016</v>
      </c>
      <c r="I971">
        <f>VLOOKUP(H971,[1]products!$B:$D,3,0)</f>
        <v>3</v>
      </c>
      <c r="J971" t="str">
        <f>VLOOKUP(I971,[2]categories!$A$2:$B$8,2,0)</f>
        <v>Cruisers Bicycles</v>
      </c>
    </row>
    <row r="972" spans="1:10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 s="1">
        <f t="shared" si="15"/>
        <v>215.992</v>
      </c>
      <c r="H972" t="str">
        <f>VLOOKUP(C972,[1]products!$A:$B,2,0)</f>
        <v>Electra Girl's Hawaii 1 (16-inch) - 2015/2016</v>
      </c>
      <c r="I972">
        <f>VLOOKUP(H972,[1]products!$B:$D,3,0)</f>
        <v>3</v>
      </c>
      <c r="J972" t="str">
        <f>VLOOKUP(I972,[2]categories!$A$2:$B$8,2,0)</f>
        <v>Cruisers Bicycles</v>
      </c>
    </row>
    <row r="973" spans="1:10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 s="1">
        <f t="shared" si="15"/>
        <v>808.2</v>
      </c>
      <c r="H973" t="str">
        <f>VLOOKUP(C973,[1]products!$A:$B,2,0)</f>
        <v>Pure Cycles Western 3-Speed - Women's - 2015/2016</v>
      </c>
      <c r="I973">
        <f>VLOOKUP(H973,[1]products!$B:$D,3,0)</f>
        <v>3</v>
      </c>
      <c r="J973" t="str">
        <f>VLOOKUP(I973,[2]categories!$A$2:$B$8,2,0)</f>
        <v>Cruisers Bicycles</v>
      </c>
    </row>
    <row r="974" spans="1:10">
      <c r="A974">
        <v>345</v>
      </c>
      <c r="B974">
        <v>2</v>
      </c>
      <c r="C974">
        <v>24</v>
      </c>
      <c r="D974">
        <v>2</v>
      </c>
      <c r="E974">
        <v>549.99</v>
      </c>
      <c r="F974">
        <v>0.07</v>
      </c>
      <c r="G974" s="1">
        <f t="shared" si="15"/>
        <v>1022.9814</v>
      </c>
      <c r="H974" t="str">
        <f>VLOOKUP(C974,[1]products!$A:$B,2,0)</f>
        <v>Electra Townie Original 21D - 2016</v>
      </c>
      <c r="I974">
        <f>VLOOKUP(H974,[1]products!$B:$D,3,0)</f>
        <v>3</v>
      </c>
      <c r="J974" t="str">
        <f>VLOOKUP(I974,[2]categories!$A$2:$B$8,2,0)</f>
        <v>Cruisers Bicycles</v>
      </c>
    </row>
    <row r="975" spans="1:10">
      <c r="A975">
        <v>346</v>
      </c>
      <c r="B975">
        <v>1</v>
      </c>
      <c r="C975">
        <v>13</v>
      </c>
      <c r="D975">
        <v>1</v>
      </c>
      <c r="E975">
        <v>269.99</v>
      </c>
      <c r="F975">
        <v>0.07</v>
      </c>
      <c r="G975" s="1">
        <f t="shared" si="15"/>
        <v>251.0907</v>
      </c>
      <c r="H975" t="str">
        <f>VLOOKUP(C975,[1]products!$A:$B,2,0)</f>
        <v>Electra Cruiser 1 (24-Inch) - 2016</v>
      </c>
      <c r="I975">
        <f>VLOOKUP(H975,[1]products!$B:$D,3,0)</f>
        <v>3</v>
      </c>
      <c r="J975" t="str">
        <f>VLOOKUP(I975,[2]categories!$A$2:$B$8,2,0)</f>
        <v>Cruisers Bicycles</v>
      </c>
    </row>
    <row r="976" spans="1:10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 s="1">
        <f t="shared" si="15"/>
        <v>239.992</v>
      </c>
      <c r="H976" t="str">
        <f>VLOOKUP(C976,[1]products!$A:$B,2,0)</f>
        <v>Electra Girl's Hawaii 1 (20-inch) - 2015/2016</v>
      </c>
      <c r="I976">
        <f>VLOOKUP(H976,[1]products!$B:$D,3,0)</f>
        <v>1</v>
      </c>
      <c r="J976" t="str">
        <f>VLOOKUP(I976,[2]categories!$A$2:$B$8,2,0)</f>
        <v>Children Bicycles</v>
      </c>
    </row>
    <row r="977" spans="1:10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 s="1">
        <f t="shared" si="15"/>
        <v>242.991</v>
      </c>
      <c r="H977" t="str">
        <f>VLOOKUP(C977,[1]products!$A:$B,2,0)</f>
        <v>Electra Cruiser 1 (24-Inch) - 2016</v>
      </c>
      <c r="I977">
        <f>VLOOKUP(H977,[1]products!$B:$D,3,0)</f>
        <v>3</v>
      </c>
      <c r="J977" t="str">
        <f>VLOOKUP(I977,[2]categories!$A$2:$B$8,2,0)</f>
        <v>Cruisers Bicycles</v>
      </c>
    </row>
    <row r="978" spans="1:10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 s="1">
        <f t="shared" si="15"/>
        <v>503.4905</v>
      </c>
      <c r="H978" t="str">
        <f>VLOOKUP(C978,[1]products!$A:$B,2,0)</f>
        <v>Electra Moto 1 - 2016</v>
      </c>
      <c r="I978">
        <f>VLOOKUP(H978,[1]products!$B:$D,3,0)</f>
        <v>3</v>
      </c>
      <c r="J978" t="str">
        <f>VLOOKUP(I978,[2]categories!$A$2:$B$8,2,0)</f>
        <v>Cruisers Bicycles</v>
      </c>
    </row>
    <row r="979" spans="1:10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 s="1">
        <f t="shared" si="15"/>
        <v>853.1</v>
      </c>
      <c r="H979" t="str">
        <f>VLOOKUP(C979,[1]products!$A:$B,2,0)</f>
        <v>Pure Cycles Western 3-Speed - Women's - 2015/2016</v>
      </c>
      <c r="I979">
        <f>VLOOKUP(H979,[1]products!$B:$D,3,0)</f>
        <v>3</v>
      </c>
      <c r="J979" t="str">
        <f>VLOOKUP(I979,[2]categories!$A$2:$B$8,2,0)</f>
        <v>Cruisers Bicycles</v>
      </c>
    </row>
    <row r="980" spans="1:10">
      <c r="A980">
        <v>347</v>
      </c>
      <c r="B980">
        <v>1</v>
      </c>
      <c r="C980">
        <v>23</v>
      </c>
      <c r="D980">
        <v>1</v>
      </c>
      <c r="E980">
        <v>299.99</v>
      </c>
      <c r="F980">
        <v>0.07</v>
      </c>
      <c r="G980" s="1">
        <f t="shared" si="15"/>
        <v>278.9907</v>
      </c>
      <c r="H980" t="str">
        <f>VLOOKUP(C980,[1]products!$A:$B,2,0)</f>
        <v>Electra Girl's Hawaii 1 (20-inch) - 2015/2016</v>
      </c>
      <c r="I980">
        <f>VLOOKUP(H980,[1]products!$B:$D,3,0)</f>
        <v>1</v>
      </c>
      <c r="J980" t="str">
        <f>VLOOKUP(I980,[2]categories!$A$2:$B$8,2,0)</f>
        <v>Children Bicycles</v>
      </c>
    </row>
    <row r="981" spans="1:10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 s="1">
        <f t="shared" si="15"/>
        <v>2509.881</v>
      </c>
      <c r="H981" t="str">
        <f>VLOOKUP(C981,[1]products!$A:$B,2,0)</f>
        <v>Heller Shagamaw Frame - 2016</v>
      </c>
      <c r="I981">
        <f>VLOOKUP(H981,[1]products!$B:$D,3,0)</f>
        <v>6</v>
      </c>
      <c r="J981" t="str">
        <f>VLOOKUP(I981,[2]categories!$A$2:$B$8,2,0)</f>
        <v>Mountain Bikes</v>
      </c>
    </row>
    <row r="982" spans="1:10">
      <c r="A982">
        <v>348</v>
      </c>
      <c r="B982">
        <v>2</v>
      </c>
      <c r="C982">
        <v>15</v>
      </c>
      <c r="D982">
        <v>2</v>
      </c>
      <c r="E982">
        <v>529.99</v>
      </c>
      <c r="F982">
        <v>0.07</v>
      </c>
      <c r="G982" s="1">
        <f t="shared" si="15"/>
        <v>985.7814</v>
      </c>
      <c r="H982" t="str">
        <f>VLOOKUP(C982,[1]products!$A:$B,2,0)</f>
        <v>Electra Moto 1 - 2016</v>
      </c>
      <c r="I982">
        <f>VLOOKUP(H982,[1]products!$B:$D,3,0)</f>
        <v>3</v>
      </c>
      <c r="J982" t="str">
        <f>VLOOKUP(I982,[2]categories!$A$2:$B$8,2,0)</f>
        <v>Cruisers Bicycles</v>
      </c>
    </row>
    <row r="983" spans="1:10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 s="1">
        <f t="shared" si="15"/>
        <v>959.984</v>
      </c>
      <c r="H983" t="str">
        <f>VLOOKUP(C983,[1]products!$A:$B,2,0)</f>
        <v>Electra Townie Original 7D EQ - Women's - 2016</v>
      </c>
      <c r="I983">
        <f>VLOOKUP(H983,[1]products!$B:$D,3,0)</f>
        <v>3</v>
      </c>
      <c r="J983" t="str">
        <f>VLOOKUP(I983,[2]categories!$A$2:$B$8,2,0)</f>
        <v>Cruisers Bicycles</v>
      </c>
    </row>
    <row r="984" spans="1:10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 s="1">
        <f t="shared" si="15"/>
        <v>892.981</v>
      </c>
      <c r="H984" t="str">
        <f>VLOOKUP(C984,[1]products!$A:$B,2,0)</f>
        <v>Surly Ice Cream Truck Frameset - 2016</v>
      </c>
      <c r="I984">
        <f>VLOOKUP(H984,[1]products!$B:$D,3,0)</f>
        <v>6</v>
      </c>
      <c r="J984" t="str">
        <f>VLOOKUP(I984,[2]categories!$A$2:$B$8,2,0)</f>
        <v>Mountain Bikes</v>
      </c>
    </row>
    <row r="985" spans="1:10">
      <c r="A985">
        <v>350</v>
      </c>
      <c r="B985">
        <v>2</v>
      </c>
      <c r="C985">
        <v>20</v>
      </c>
      <c r="D985">
        <v>1</v>
      </c>
      <c r="E985">
        <v>599.99</v>
      </c>
      <c r="F985">
        <v>0.07</v>
      </c>
      <c r="G985" s="1">
        <f t="shared" si="15"/>
        <v>557.9907</v>
      </c>
      <c r="H985" t="str">
        <f>VLOOKUP(C985,[1]products!$A:$B,2,0)</f>
        <v>Electra Townie Original 7D EQ - Women's - 2016</v>
      </c>
      <c r="I985">
        <f>VLOOKUP(H985,[1]products!$B:$D,3,0)</f>
        <v>3</v>
      </c>
      <c r="J985" t="str">
        <f>VLOOKUP(I985,[2]categories!$A$2:$B$8,2,0)</f>
        <v>Cruisers Bicycles</v>
      </c>
    </row>
    <row r="986" spans="1:10">
      <c r="A986">
        <v>350</v>
      </c>
      <c r="B986">
        <v>3</v>
      </c>
      <c r="C986">
        <v>3</v>
      </c>
      <c r="D986">
        <v>1</v>
      </c>
      <c r="E986">
        <v>999.99</v>
      </c>
      <c r="F986">
        <v>0.07</v>
      </c>
      <c r="G986" s="1">
        <f t="shared" si="15"/>
        <v>929.9907</v>
      </c>
      <c r="H986" t="str">
        <f>VLOOKUP(C986,[1]products!$A:$B,2,0)</f>
        <v>Surly Wednesday Frameset - 2016</v>
      </c>
      <c r="I986">
        <f>VLOOKUP(H986,[1]products!$B:$D,3,0)</f>
        <v>6</v>
      </c>
      <c r="J986" t="str">
        <f>VLOOKUP(I986,[2]categories!$A$2:$B$8,2,0)</f>
        <v>Mountain Bikes</v>
      </c>
    </row>
    <row r="987" spans="1:10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 s="1">
        <f t="shared" si="15"/>
        <v>5509.981</v>
      </c>
      <c r="H987" t="str">
        <f>VLOOKUP(C987,[1]products!$A:$B,2,0)</f>
        <v>Trek Fuel EX 8 29 - 2016</v>
      </c>
      <c r="I987">
        <f>VLOOKUP(H987,[1]products!$B:$D,3,0)</f>
        <v>6</v>
      </c>
      <c r="J987" t="str">
        <f>VLOOKUP(I987,[2]categories!$A$2:$B$8,2,0)</f>
        <v>Mountain Bikes</v>
      </c>
    </row>
    <row r="988" spans="1:10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 s="1">
        <f t="shared" si="15"/>
        <v>989.982</v>
      </c>
      <c r="H988" t="str">
        <f>VLOOKUP(C988,[1]products!$A:$B,2,0)</f>
        <v>Electra Townie Original 21D - 2016</v>
      </c>
      <c r="I988">
        <f>VLOOKUP(H988,[1]products!$B:$D,3,0)</f>
        <v>3</v>
      </c>
      <c r="J988" t="str">
        <f>VLOOKUP(I988,[2]categories!$A$2:$B$8,2,0)</f>
        <v>Cruisers Bicycles</v>
      </c>
    </row>
    <row r="989" spans="1:10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 s="1">
        <f t="shared" si="15"/>
        <v>479.992</v>
      </c>
      <c r="H989" t="str">
        <f>VLOOKUP(C989,[1]products!$A:$B,2,0)</f>
        <v>Electra Townie Original 7D EQ - Women's - 2016</v>
      </c>
      <c r="I989">
        <f>VLOOKUP(H989,[1]products!$B:$D,3,0)</f>
        <v>3</v>
      </c>
      <c r="J989" t="str">
        <f>VLOOKUP(I989,[2]categories!$A$2:$B$8,2,0)</f>
        <v>Cruisers Bicycles</v>
      </c>
    </row>
    <row r="990" spans="1:10">
      <c r="A990">
        <v>351</v>
      </c>
      <c r="B990">
        <v>4</v>
      </c>
      <c r="C990">
        <v>22</v>
      </c>
      <c r="D990">
        <v>2</v>
      </c>
      <c r="E990">
        <v>269.99</v>
      </c>
      <c r="F990">
        <v>0.07</v>
      </c>
      <c r="G990" s="1">
        <f t="shared" si="15"/>
        <v>502.1814</v>
      </c>
      <c r="H990" t="str">
        <f>VLOOKUP(C990,[1]products!$A:$B,2,0)</f>
        <v>Electra Girl's Hawaii 1 (16-inch) - 2015/2016</v>
      </c>
      <c r="I990">
        <f>VLOOKUP(H990,[1]products!$B:$D,3,0)</f>
        <v>3</v>
      </c>
      <c r="J990" t="str">
        <f>VLOOKUP(I990,[2]categories!$A$2:$B$8,2,0)</f>
        <v>Cruisers Bicycles</v>
      </c>
    </row>
    <row r="991" spans="1:10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 s="1">
        <f t="shared" si="15"/>
        <v>1344.792</v>
      </c>
      <c r="H991" t="str">
        <f>VLOOKUP(C991,[1]products!$A:$B,2,0)</f>
        <v>Surly Straggler 650b - 2016</v>
      </c>
      <c r="I991">
        <f>VLOOKUP(H991,[1]products!$B:$D,3,0)</f>
        <v>4</v>
      </c>
      <c r="J991" t="str">
        <f>VLOOKUP(I991,[2]categories!$A$2:$B$8,2,0)</f>
        <v>Cyclocross Bicycles</v>
      </c>
    </row>
    <row r="992" spans="1:10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 s="1">
        <f t="shared" si="15"/>
        <v>215.992</v>
      </c>
      <c r="H992" t="str">
        <f>VLOOKUP(C992,[1]products!$A:$B,2,0)</f>
        <v>Electra Girl's Hawaii 1 (16-inch) - 2015/2016</v>
      </c>
      <c r="I992">
        <f>VLOOKUP(H992,[1]products!$B:$D,3,0)</f>
        <v>3</v>
      </c>
      <c r="J992" t="str">
        <f>VLOOKUP(I992,[2]categories!$A$2:$B$8,2,0)</f>
        <v>Cruisers Bicycles</v>
      </c>
    </row>
    <row r="993" spans="1:10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 s="1">
        <f t="shared" si="15"/>
        <v>1199.984</v>
      </c>
      <c r="H993" t="str">
        <f>VLOOKUP(C993,[1]products!$A:$B,2,0)</f>
        <v>Ritchey Timberwolf Frameset - 2016</v>
      </c>
      <c r="I993">
        <f>VLOOKUP(H993,[1]products!$B:$D,3,0)</f>
        <v>6</v>
      </c>
      <c r="J993" t="str">
        <f>VLOOKUP(I993,[2]categories!$A$2:$B$8,2,0)</f>
        <v>Mountain Bikes</v>
      </c>
    </row>
    <row r="994" spans="1:10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 s="1">
        <f t="shared" si="15"/>
        <v>215.992</v>
      </c>
      <c r="H994" t="str">
        <f>VLOOKUP(C994,[1]products!$A:$B,2,0)</f>
        <v>Electra Cruiser 1 (24-Inch) - 2016</v>
      </c>
      <c r="I994">
        <f>VLOOKUP(H994,[1]products!$B:$D,3,0)</f>
        <v>3</v>
      </c>
      <c r="J994" t="str">
        <f>VLOOKUP(I994,[2]categories!$A$2:$B$8,2,0)</f>
        <v>Cruisers Bicycles</v>
      </c>
    </row>
    <row r="995" spans="1:10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 s="1">
        <f t="shared" si="15"/>
        <v>426.55</v>
      </c>
      <c r="H995" t="str">
        <f>VLOOKUP(C995,[1]products!$A:$B,2,0)</f>
        <v>Pure Cycles William 3-Speed - 2016</v>
      </c>
      <c r="I995">
        <f>VLOOKUP(H995,[1]products!$B:$D,3,0)</f>
        <v>3</v>
      </c>
      <c r="J995" t="str">
        <f>VLOOKUP(I995,[2]categories!$A$2:$B$8,2,0)</f>
        <v>Cruisers Bicycles</v>
      </c>
    </row>
    <row r="996" spans="1:10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 s="1">
        <f t="shared" si="15"/>
        <v>539.991</v>
      </c>
      <c r="H996" t="str">
        <f>VLOOKUP(C996,[1]products!$A:$B,2,0)</f>
        <v>Electra Townie Original 7D EQ - 2016</v>
      </c>
      <c r="I996">
        <f>VLOOKUP(H996,[1]products!$B:$D,3,0)</f>
        <v>3</v>
      </c>
      <c r="J996" t="str">
        <f>VLOOKUP(I996,[2]categories!$A$2:$B$8,2,0)</f>
        <v>Cruisers Bicycles</v>
      </c>
    </row>
    <row r="997" spans="1:10">
      <c r="A997">
        <v>355</v>
      </c>
      <c r="B997">
        <v>2</v>
      </c>
      <c r="C997">
        <v>14</v>
      </c>
      <c r="D997">
        <v>2</v>
      </c>
      <c r="E997">
        <v>269.99</v>
      </c>
      <c r="F997">
        <v>0.07</v>
      </c>
      <c r="G997" s="1">
        <f t="shared" si="15"/>
        <v>502.1814</v>
      </c>
      <c r="H997" t="str">
        <f>VLOOKUP(C997,[1]products!$A:$B,2,0)</f>
        <v>Electra Girl's Hawaii 1 (16-inch) - 2015/2016</v>
      </c>
      <c r="I997">
        <f>VLOOKUP(H997,[1]products!$B:$D,3,0)</f>
        <v>3</v>
      </c>
      <c r="J997" t="str">
        <f>VLOOKUP(I997,[2]categories!$A$2:$B$8,2,0)</f>
        <v>Cruisers Bicycles</v>
      </c>
    </row>
    <row r="998" spans="1:10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 s="1">
        <f t="shared" si="15"/>
        <v>569.981</v>
      </c>
      <c r="H998" t="str">
        <f>VLOOKUP(C998,[1]products!$A:$B,2,0)</f>
        <v>Electra Girl's Hawaii 1 (20-inch) - 2015/2016</v>
      </c>
      <c r="I998">
        <f>VLOOKUP(H998,[1]products!$B:$D,3,0)</f>
        <v>1</v>
      </c>
      <c r="J998" t="str">
        <f>VLOOKUP(I998,[2]categories!$A$2:$B$8,2,0)</f>
        <v>Children Bicycles</v>
      </c>
    </row>
    <row r="999" spans="1:10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 s="1">
        <f t="shared" si="15"/>
        <v>2754.9905</v>
      </c>
      <c r="H999" t="str">
        <f>VLOOKUP(C999,[1]products!$A:$B,2,0)</f>
        <v>Trek Fuel EX 8 29 - 2016</v>
      </c>
      <c r="I999">
        <f>VLOOKUP(H999,[1]products!$B:$D,3,0)</f>
        <v>6</v>
      </c>
      <c r="J999" t="str">
        <f>VLOOKUP(I999,[2]categories!$A$2:$B$8,2,0)</f>
        <v>Mountain Bikes</v>
      </c>
    </row>
    <row r="1000" spans="1:10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 s="1">
        <f t="shared" si="15"/>
        <v>256.4905</v>
      </c>
      <c r="H1000" t="str">
        <f>VLOOKUP(C1000,[1]products!$A:$B,2,0)</f>
        <v>Electra Cruiser 1 (24-Inch) - 2016</v>
      </c>
      <c r="I1000">
        <f>VLOOKUP(H1000,[1]products!$B:$D,3,0)</f>
        <v>3</v>
      </c>
      <c r="J1000" t="str">
        <f>VLOOKUP(I1000,[2]categories!$A$2:$B$8,2,0)</f>
        <v>Cruisers Bicycles</v>
      </c>
    </row>
    <row r="1001" spans="1:10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 s="1">
        <f t="shared" si="15"/>
        <v>815.1</v>
      </c>
      <c r="H1001" t="str">
        <f>VLOOKUP(C1001,[1]products!$A:$B,2,0)</f>
        <v>Pure Cycles Vine 8-Speed - 2016</v>
      </c>
      <c r="I1001">
        <f>VLOOKUP(H1001,[1]products!$B:$D,3,0)</f>
        <v>3</v>
      </c>
      <c r="J1001" t="str">
        <f>VLOOKUP(I1001,[2]categories!$A$2:$B$8,2,0)</f>
        <v>Cruisers Bicycles</v>
      </c>
    </row>
    <row r="1002" spans="1:10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0.07</v>
      </c>
      <c r="G1002" s="1">
        <f t="shared" si="15"/>
        <v>502.1814</v>
      </c>
      <c r="H1002" t="str">
        <f>VLOOKUP(C1002,[1]products!$A:$B,2,0)</f>
        <v>Electra Cruiser 1 (24-Inch) - 2016</v>
      </c>
      <c r="I1002">
        <f>VLOOKUP(H1002,[1]products!$B:$D,3,0)</f>
        <v>3</v>
      </c>
      <c r="J1002" t="str">
        <f>VLOOKUP(I1002,[2]categories!$A$2:$B$8,2,0)</f>
        <v>Cruisers Bicycles</v>
      </c>
    </row>
    <row r="1003" spans="1:10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0.07</v>
      </c>
      <c r="G1003" s="1">
        <f t="shared" si="15"/>
        <v>511.4907</v>
      </c>
      <c r="H1003" t="str">
        <f>VLOOKUP(C1003,[1]products!$A:$B,2,0)</f>
        <v>Electra Townie Original 21D - 2016</v>
      </c>
      <c r="I1003">
        <f>VLOOKUP(H1003,[1]products!$B:$D,3,0)</f>
        <v>3</v>
      </c>
      <c r="J1003" t="str">
        <f>VLOOKUP(I1003,[2]categories!$A$2:$B$8,2,0)</f>
        <v>Cruisers Bicycles</v>
      </c>
    </row>
    <row r="1004" spans="1:10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 s="1">
        <f t="shared" si="15"/>
        <v>2849.9905</v>
      </c>
      <c r="H1004" t="str">
        <f>VLOOKUP(C1004,[1]products!$A:$B,2,0)</f>
        <v>Trek Conduit+ - 2016</v>
      </c>
      <c r="I1004">
        <f>VLOOKUP(H1004,[1]products!$B:$D,3,0)</f>
        <v>5</v>
      </c>
      <c r="J1004" t="str">
        <f>VLOOKUP(I1004,[2]categories!$A$2:$B$8,2,0)</f>
        <v>Electric Bikes</v>
      </c>
    </row>
    <row r="1005" spans="1:10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 s="1">
        <f t="shared" si="15"/>
        <v>485.982</v>
      </c>
      <c r="H1005" t="str">
        <f>VLOOKUP(C1005,[1]products!$A:$B,2,0)</f>
        <v>Electra Cruiser 1 (24-Inch) - 2016</v>
      </c>
      <c r="I1005">
        <f>VLOOKUP(H1005,[1]products!$B:$D,3,0)</f>
        <v>3</v>
      </c>
      <c r="J1005" t="str">
        <f>VLOOKUP(I1005,[2]categories!$A$2:$B$8,2,0)</f>
        <v>Cruisers Bicycles</v>
      </c>
    </row>
    <row r="1006" spans="1:10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0.07</v>
      </c>
      <c r="G1006" s="1">
        <f t="shared" si="15"/>
        <v>874.1814</v>
      </c>
      <c r="H1006" t="str">
        <f>VLOOKUP(C1006,[1]products!$A:$B,2,0)</f>
        <v>Surly Ice Cream Truck Frameset - 2016</v>
      </c>
      <c r="I1006">
        <f>VLOOKUP(H1006,[1]products!$B:$D,3,0)</f>
        <v>6</v>
      </c>
      <c r="J1006" t="str">
        <f>VLOOKUP(I1006,[2]categories!$A$2:$B$8,2,0)</f>
        <v>Mountain Bikes</v>
      </c>
    </row>
    <row r="1007" spans="1:10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 s="1">
        <f t="shared" si="15"/>
        <v>3419.981</v>
      </c>
      <c r="H1007" t="str">
        <f>VLOOKUP(C1007,[1]products!$A:$B,2,0)</f>
        <v>Trek Remedy 29 Carbon Frameset - 2016</v>
      </c>
      <c r="I1007">
        <f>VLOOKUP(H1007,[1]products!$B:$D,3,0)</f>
        <v>6</v>
      </c>
      <c r="J1007" t="str">
        <f>VLOOKUP(I1007,[2]categories!$A$2:$B$8,2,0)</f>
        <v>Mountain Bikes</v>
      </c>
    </row>
    <row r="1008" spans="1:10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 s="1">
        <f t="shared" si="15"/>
        <v>808.2</v>
      </c>
      <c r="H1008" t="str">
        <f>VLOOKUP(C1008,[1]products!$A:$B,2,0)</f>
        <v>Pure Cycles Western 3-Speed - Women's - 2015/2016</v>
      </c>
      <c r="I1008">
        <f>VLOOKUP(H1008,[1]products!$B:$D,3,0)</f>
        <v>3</v>
      </c>
      <c r="J1008" t="str">
        <f>VLOOKUP(I1008,[2]categories!$A$2:$B$8,2,0)</f>
        <v>Cruisers Bicycles</v>
      </c>
    </row>
    <row r="1009" spans="1:10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0.07</v>
      </c>
      <c r="G1009" s="1">
        <f t="shared" si="15"/>
        <v>985.7814</v>
      </c>
      <c r="H1009" t="str">
        <f>VLOOKUP(C1009,[1]products!$A:$B,2,0)</f>
        <v>Electra Moto 1 - 2016</v>
      </c>
      <c r="I1009">
        <f>VLOOKUP(H1009,[1]products!$B:$D,3,0)</f>
        <v>3</v>
      </c>
      <c r="J1009" t="str">
        <f>VLOOKUP(I1009,[2]categories!$A$2:$B$8,2,0)</f>
        <v>Cruisers Bicycles</v>
      </c>
    </row>
    <row r="1010" spans="1:10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0.07</v>
      </c>
      <c r="G1010" s="1">
        <f t="shared" si="15"/>
        <v>5579.9814</v>
      </c>
      <c r="H1010" t="str">
        <f>VLOOKUP(C1010,[1]products!$A:$B,2,0)</f>
        <v>Trek Conduit+ - 2016</v>
      </c>
      <c r="I1010">
        <f>VLOOKUP(H1010,[1]products!$B:$D,3,0)</f>
        <v>5</v>
      </c>
      <c r="J1010" t="str">
        <f>VLOOKUP(I1010,[2]categories!$A$2:$B$8,2,0)</f>
        <v>Electric Bikes</v>
      </c>
    </row>
    <row r="1011" spans="1:10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 s="1">
        <f t="shared" si="15"/>
        <v>6399.984</v>
      </c>
      <c r="H1011" t="str">
        <f>VLOOKUP(C1011,[1]products!$A:$B,2,0)</f>
        <v>Trek Slash 8 27.5 - 2016</v>
      </c>
      <c r="I1011">
        <f>VLOOKUP(H1011,[1]products!$B:$D,3,0)</f>
        <v>6</v>
      </c>
      <c r="J1011" t="str">
        <f>VLOOKUP(I1011,[2]categories!$A$2:$B$8,2,0)</f>
        <v>Mountain Bikes</v>
      </c>
    </row>
    <row r="1012" spans="1:10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 s="1">
        <f t="shared" si="15"/>
        <v>569.9905</v>
      </c>
      <c r="H1012" t="str">
        <f>VLOOKUP(C1012,[1]products!$A:$B,2,0)</f>
        <v>Electra Townie Original 7D EQ - 2016</v>
      </c>
      <c r="I1012">
        <f>VLOOKUP(H1012,[1]products!$B:$D,3,0)</f>
        <v>3</v>
      </c>
      <c r="J1012" t="str">
        <f>VLOOKUP(I1012,[2]categories!$A$2:$B$8,2,0)</f>
        <v>Cruisers Bicycles</v>
      </c>
    </row>
    <row r="1013" spans="1:10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 s="1">
        <f t="shared" si="15"/>
        <v>6399.984</v>
      </c>
      <c r="H1013" t="str">
        <f>VLOOKUP(C1013,[1]products!$A:$B,2,0)</f>
        <v>Trek Slash 8 27.5 - 2016</v>
      </c>
      <c r="I1013">
        <f>VLOOKUP(H1013,[1]products!$B:$D,3,0)</f>
        <v>6</v>
      </c>
      <c r="J1013" t="str">
        <f>VLOOKUP(I1013,[2]categories!$A$2:$B$8,2,0)</f>
        <v>Mountain Bikes</v>
      </c>
    </row>
    <row r="1014" spans="1:10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 s="1">
        <f t="shared" si="15"/>
        <v>512.981</v>
      </c>
      <c r="H1014" t="str">
        <f>VLOOKUP(C1014,[1]products!$A:$B,2,0)</f>
        <v>Electra Cruiser 1 (24-Inch) - 2016</v>
      </c>
      <c r="I1014">
        <f>VLOOKUP(H1014,[1]products!$B:$D,3,0)</f>
        <v>3</v>
      </c>
      <c r="J1014" t="str">
        <f>VLOOKUP(I1014,[2]categories!$A$2:$B$8,2,0)</f>
        <v>Cruisers Bicycles</v>
      </c>
    </row>
    <row r="1015" spans="1:10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 s="1">
        <f t="shared" si="15"/>
        <v>449.991</v>
      </c>
      <c r="H1015" t="str">
        <f>VLOOKUP(C1015,[1]products!$A:$B,2,0)</f>
        <v>Electra Townie Original 7D - 2015/2016</v>
      </c>
      <c r="I1015">
        <f>VLOOKUP(H1015,[1]products!$B:$D,3,0)</f>
        <v>2</v>
      </c>
      <c r="J1015" t="str">
        <f>VLOOKUP(I1015,[2]categories!$A$2:$B$8,2,0)</f>
        <v>Comfort Bicycles</v>
      </c>
    </row>
    <row r="1016" spans="1:10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 s="1">
        <f t="shared" si="15"/>
        <v>1044.981</v>
      </c>
      <c r="H1016" t="str">
        <f>VLOOKUP(C1016,[1]products!$A:$B,2,0)</f>
        <v>Electra Townie Original 21D - 2016</v>
      </c>
      <c r="I1016">
        <f>VLOOKUP(H1016,[1]products!$B:$D,3,0)</f>
        <v>3</v>
      </c>
      <c r="J1016" t="str">
        <f>VLOOKUP(I1016,[2]categories!$A$2:$B$8,2,0)</f>
        <v>Cruisers Bicycles</v>
      </c>
    </row>
    <row r="1017" spans="1:10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 s="1">
        <f t="shared" si="15"/>
        <v>845.982</v>
      </c>
      <c r="H1017" t="str">
        <f>VLOOKUP(C1017,[1]products!$A:$B,2,0)</f>
        <v>Surly Ice Cream Truck Frameset - 2016</v>
      </c>
      <c r="I1017">
        <f>VLOOKUP(H1017,[1]products!$B:$D,3,0)</f>
        <v>6</v>
      </c>
      <c r="J1017" t="str">
        <f>VLOOKUP(I1017,[2]categories!$A$2:$B$8,2,0)</f>
        <v>Mountain Bikes</v>
      </c>
    </row>
    <row r="1018" spans="1:10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 s="1">
        <f t="shared" si="15"/>
        <v>1512.891</v>
      </c>
      <c r="H1018" t="str">
        <f>VLOOKUP(C1018,[1]products!$A:$B,2,0)</f>
        <v>Surly Straggler 650b - 2016</v>
      </c>
      <c r="I1018">
        <f>VLOOKUP(H1018,[1]products!$B:$D,3,0)</f>
        <v>4</v>
      </c>
      <c r="J1018" t="str">
        <f>VLOOKUP(I1018,[2]categories!$A$2:$B$8,2,0)</f>
        <v>Cyclocross Bicycles</v>
      </c>
    </row>
    <row r="1019" spans="1:10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0.07</v>
      </c>
      <c r="G1019" s="1">
        <f t="shared" si="15"/>
        <v>697.4907</v>
      </c>
      <c r="H1019" t="str">
        <f>VLOOKUP(C1019,[1]products!$A:$B,2,0)</f>
        <v>Ritchey Timberwolf Frameset - 2016</v>
      </c>
      <c r="I1019">
        <f>VLOOKUP(H1019,[1]products!$B:$D,3,0)</f>
        <v>6</v>
      </c>
      <c r="J1019" t="str">
        <f>VLOOKUP(I1019,[2]categories!$A$2:$B$8,2,0)</f>
        <v>Mountain Bikes</v>
      </c>
    </row>
    <row r="1020" spans="1:10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 s="1">
        <f t="shared" si="15"/>
        <v>485.982</v>
      </c>
      <c r="H1020" t="str">
        <f>VLOOKUP(C1020,[1]products!$A:$B,2,0)</f>
        <v>Electra Cruiser 1 (24-Inch) - 2016</v>
      </c>
      <c r="I1020">
        <f>VLOOKUP(H1020,[1]products!$B:$D,3,0)</f>
        <v>3</v>
      </c>
      <c r="J1020" t="str">
        <f>VLOOKUP(I1020,[2]categories!$A$2:$B$8,2,0)</f>
        <v>Cruisers Bicycles</v>
      </c>
    </row>
    <row r="1021" spans="1:10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0.07</v>
      </c>
      <c r="G1021" s="1">
        <f t="shared" si="15"/>
        <v>251.0907</v>
      </c>
      <c r="H1021" t="str">
        <f>VLOOKUP(C1021,[1]products!$A:$B,2,0)</f>
        <v>Electra Girl's Hawaii 1 (16-inch) - 2015/2016</v>
      </c>
      <c r="I1021">
        <f>VLOOKUP(H1021,[1]products!$B:$D,3,0)</f>
        <v>3</v>
      </c>
      <c r="J1021" t="str">
        <f>VLOOKUP(I1021,[2]categories!$A$2:$B$8,2,0)</f>
        <v>Cruisers Bicycles</v>
      </c>
    </row>
    <row r="1022" spans="1:10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 s="1">
        <f t="shared" si="15"/>
        <v>476.991</v>
      </c>
      <c r="H1022" t="str">
        <f>VLOOKUP(C1022,[1]products!$A:$B,2,0)</f>
        <v>Electra Moto 1 - 2016</v>
      </c>
      <c r="I1022">
        <f>VLOOKUP(H1022,[1]products!$B:$D,3,0)</f>
        <v>3</v>
      </c>
      <c r="J1022" t="str">
        <f>VLOOKUP(I1022,[2]categories!$A$2:$B$8,2,0)</f>
        <v>Cruisers Bicycles</v>
      </c>
    </row>
    <row r="1023" spans="1:10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 s="1">
        <f t="shared" si="15"/>
        <v>479.992</v>
      </c>
      <c r="H1023" t="str">
        <f>VLOOKUP(C1023,[1]products!$A:$B,2,0)</f>
        <v>Electra Townie Original 7D EQ - Women's - 2016</v>
      </c>
      <c r="I1023">
        <f>VLOOKUP(H1023,[1]products!$B:$D,3,0)</f>
        <v>3</v>
      </c>
      <c r="J1023" t="str">
        <f>VLOOKUP(I1023,[2]categories!$A$2:$B$8,2,0)</f>
        <v>Cruisers Bicycles</v>
      </c>
    </row>
    <row r="1024" spans="1:10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 s="1">
        <f t="shared" si="15"/>
        <v>949.981</v>
      </c>
      <c r="H1024" t="str">
        <f>VLOOKUP(C1024,[1]products!$A:$B,2,0)</f>
        <v>Electra Townie Original 7D - 2015/2016</v>
      </c>
      <c r="I1024">
        <f>VLOOKUP(H1024,[1]products!$B:$D,3,0)</f>
        <v>2</v>
      </c>
      <c r="J1024" t="str">
        <f>VLOOKUP(I1024,[2]categories!$A$2:$B$8,2,0)</f>
        <v>Comfort Bicycles</v>
      </c>
    </row>
    <row r="1025" spans="1:10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0.07</v>
      </c>
      <c r="G1025" s="1">
        <f t="shared" si="15"/>
        <v>1022.9814</v>
      </c>
      <c r="H1025" t="str">
        <f>VLOOKUP(C1025,[1]products!$A:$B,2,0)</f>
        <v>Electra Townie Original 21D - 2016</v>
      </c>
      <c r="I1025">
        <f>VLOOKUP(H1025,[1]products!$B:$D,3,0)</f>
        <v>3</v>
      </c>
      <c r="J1025" t="str">
        <f>VLOOKUP(I1025,[2]categories!$A$2:$B$8,2,0)</f>
        <v>Cruisers Bicycles</v>
      </c>
    </row>
    <row r="1026" spans="1:10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 s="1">
        <f t="shared" ref="G1026:G1089" si="16">D1026*E1026*(1-F1026)</f>
        <v>242.991</v>
      </c>
      <c r="H1026" t="str">
        <f>VLOOKUP(C1026,[1]products!$A:$B,2,0)</f>
        <v>Electra Cruiser 1 (24-Inch) - 2016</v>
      </c>
      <c r="I1026">
        <f>VLOOKUP(H1026,[1]products!$B:$D,3,0)</f>
        <v>3</v>
      </c>
      <c r="J1026" t="str">
        <f>VLOOKUP(I1026,[2]categories!$A$2:$B$8,2,0)</f>
        <v>Cruisers Bicycles</v>
      </c>
    </row>
    <row r="1027" spans="1:10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0.07</v>
      </c>
      <c r="G1027" s="1">
        <f t="shared" si="16"/>
        <v>2696.9907</v>
      </c>
      <c r="H1027" t="str">
        <f>VLOOKUP(C1027,[1]products!$A:$B,2,0)</f>
        <v>Trek Fuel EX 8 29 - 2016</v>
      </c>
      <c r="I1027">
        <f>VLOOKUP(H1027,[1]products!$B:$D,3,0)</f>
        <v>6</v>
      </c>
      <c r="J1027" t="str">
        <f>VLOOKUP(I1027,[2]categories!$A$2:$B$8,2,0)</f>
        <v>Mountain Bikes</v>
      </c>
    </row>
    <row r="1028" spans="1:10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 s="1">
        <f t="shared" si="16"/>
        <v>959.984</v>
      </c>
      <c r="H1028" t="str">
        <f>VLOOKUP(C1028,[1]products!$A:$B,2,0)</f>
        <v>Electra Townie Original 7D EQ - 2016</v>
      </c>
      <c r="I1028">
        <f>VLOOKUP(H1028,[1]products!$B:$D,3,0)</f>
        <v>3</v>
      </c>
      <c r="J1028" t="str">
        <f>VLOOKUP(I1028,[2]categories!$A$2:$B$8,2,0)</f>
        <v>Cruisers Bicycles</v>
      </c>
    </row>
    <row r="1029" spans="1:10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 s="1">
        <f t="shared" si="16"/>
        <v>1079.982</v>
      </c>
      <c r="H1029" t="str">
        <f>VLOOKUP(C1029,[1]products!$A:$B,2,0)</f>
        <v>Electra Townie Original 7D EQ - 2016</v>
      </c>
      <c r="I1029">
        <f>VLOOKUP(H1029,[1]products!$B:$D,3,0)</f>
        <v>3</v>
      </c>
      <c r="J1029" t="str">
        <f>VLOOKUP(I1029,[2]categories!$A$2:$B$8,2,0)</f>
        <v>Cruisers Bicycles</v>
      </c>
    </row>
    <row r="1030" spans="1:10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 s="1">
        <f t="shared" si="16"/>
        <v>256.4905</v>
      </c>
      <c r="H1030" t="str">
        <f>VLOOKUP(C1030,[1]products!$A:$B,2,0)</f>
        <v>Electra Girl's Hawaii 1 (16-inch) - 2015/2016</v>
      </c>
      <c r="I1030">
        <f>VLOOKUP(H1030,[1]products!$B:$D,3,0)</f>
        <v>3</v>
      </c>
      <c r="J1030" t="str">
        <f>VLOOKUP(I1030,[2]categories!$A$2:$B$8,2,0)</f>
        <v>Cruisers Bicycles</v>
      </c>
    </row>
    <row r="1031" spans="1:10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 s="1">
        <f t="shared" si="16"/>
        <v>2943.1</v>
      </c>
      <c r="H1031" t="str">
        <f>VLOOKUP(C1031,[1]products!$A:$B,2,0)</f>
        <v>Surly Straggler - 2016</v>
      </c>
      <c r="I1031">
        <f>VLOOKUP(H1031,[1]products!$B:$D,3,0)</f>
        <v>4</v>
      </c>
      <c r="J1031" t="str">
        <f>VLOOKUP(I1031,[2]categories!$A$2:$B$8,2,0)</f>
        <v>Cyclocross Bicycles</v>
      </c>
    </row>
    <row r="1032" spans="1:10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 s="1">
        <f t="shared" si="16"/>
        <v>1056.792</v>
      </c>
      <c r="H1032" t="str">
        <f>VLOOKUP(C1032,[1]products!$A:$B,2,0)</f>
        <v>Heller Shagamaw Frame - 2016</v>
      </c>
      <c r="I1032">
        <f>VLOOKUP(H1032,[1]products!$B:$D,3,0)</f>
        <v>6</v>
      </c>
      <c r="J1032" t="str">
        <f>VLOOKUP(I1032,[2]categories!$A$2:$B$8,2,0)</f>
        <v>Mountain Bikes</v>
      </c>
    </row>
    <row r="1033" spans="1:10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 s="1">
        <f t="shared" si="16"/>
        <v>2478.4</v>
      </c>
      <c r="H1033" t="str">
        <f>VLOOKUP(C1033,[1]products!$A:$B,2,0)</f>
        <v>Surly Straggler - 2016</v>
      </c>
      <c r="I1033">
        <f>VLOOKUP(H1033,[1]products!$B:$D,3,0)</f>
        <v>4</v>
      </c>
      <c r="J1033" t="str">
        <f>VLOOKUP(I1033,[2]categories!$A$2:$B$8,2,0)</f>
        <v>Cyclocross Bicycles</v>
      </c>
    </row>
    <row r="1034" spans="1:10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 s="1">
        <f t="shared" si="16"/>
        <v>485.982</v>
      </c>
      <c r="H1034" t="str">
        <f>VLOOKUP(C1034,[1]products!$A:$B,2,0)</f>
        <v>Electra Cruiser 1 (24-Inch) - 2016</v>
      </c>
      <c r="I1034">
        <f>VLOOKUP(H1034,[1]products!$B:$D,3,0)</f>
        <v>3</v>
      </c>
      <c r="J1034" t="str">
        <f>VLOOKUP(I1034,[2]categories!$A$2:$B$8,2,0)</f>
        <v>Cruisers Bicycles</v>
      </c>
    </row>
    <row r="1035" spans="1:10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 s="1">
        <f t="shared" si="16"/>
        <v>426.55</v>
      </c>
      <c r="H1035" t="str">
        <f>VLOOKUP(C1035,[1]products!$A:$B,2,0)</f>
        <v>Pure Cycles William 3-Speed - 2016</v>
      </c>
      <c r="I1035">
        <f>VLOOKUP(H1035,[1]products!$B:$D,3,0)</f>
        <v>3</v>
      </c>
      <c r="J1035" t="str">
        <f>VLOOKUP(I1035,[2]categories!$A$2:$B$8,2,0)</f>
        <v>Cruisers Bicycles</v>
      </c>
    </row>
    <row r="1036" spans="1:10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0.07</v>
      </c>
      <c r="G1036" s="1">
        <f t="shared" si="16"/>
        <v>2881.14</v>
      </c>
      <c r="H1036" t="str">
        <f>VLOOKUP(C1036,[1]products!$A:$B,2,0)</f>
        <v>Surly Straggler - 2016</v>
      </c>
      <c r="I1036">
        <f>VLOOKUP(H1036,[1]products!$B:$D,3,0)</f>
        <v>4</v>
      </c>
      <c r="J1036" t="str">
        <f>VLOOKUP(I1036,[2]categories!$A$2:$B$8,2,0)</f>
        <v>Cyclocross Bicycles</v>
      </c>
    </row>
    <row r="1037" spans="1:10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 s="1">
        <f t="shared" si="16"/>
        <v>949.981</v>
      </c>
      <c r="H1037" t="str">
        <f>VLOOKUP(C1037,[1]products!$A:$B,2,0)</f>
        <v>Electra Townie Original 7D - 2015/2016</v>
      </c>
      <c r="I1037">
        <f>VLOOKUP(H1037,[1]products!$B:$D,3,0)</f>
        <v>2</v>
      </c>
      <c r="J1037" t="str">
        <f>VLOOKUP(I1037,[2]categories!$A$2:$B$8,2,0)</f>
        <v>Comfort Bicycles</v>
      </c>
    </row>
    <row r="1038" spans="1:10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 s="1">
        <f t="shared" si="16"/>
        <v>5219.982</v>
      </c>
      <c r="H1038" t="str">
        <f>VLOOKUP(C1038,[1]products!$A:$B,2,0)</f>
        <v>Trek Fuel EX 8 29 - 2016</v>
      </c>
      <c r="I1038">
        <f>VLOOKUP(H1038,[1]products!$B:$D,3,0)</f>
        <v>6</v>
      </c>
      <c r="J1038" t="str">
        <f>VLOOKUP(I1038,[2]categories!$A$2:$B$8,2,0)</f>
        <v>Mountain Bikes</v>
      </c>
    </row>
    <row r="1039" spans="1:10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 s="1">
        <f t="shared" si="16"/>
        <v>215.992</v>
      </c>
      <c r="H1039" t="str">
        <f>VLOOKUP(C1039,[1]products!$A:$B,2,0)</f>
        <v>Electra Girl's Hawaii 1 (16-inch) - 2015/2016</v>
      </c>
      <c r="I1039">
        <f>VLOOKUP(H1039,[1]products!$B:$D,3,0)</f>
        <v>3</v>
      </c>
      <c r="J1039" t="str">
        <f>VLOOKUP(I1039,[2]categories!$A$2:$B$8,2,0)</f>
        <v>Cruisers Bicycles</v>
      </c>
    </row>
    <row r="1040" spans="1:10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 s="1">
        <f t="shared" si="16"/>
        <v>439.992</v>
      </c>
      <c r="H1040" t="str">
        <f>VLOOKUP(C1040,[1]products!$A:$B,2,0)</f>
        <v>Electra Townie Original 21D - 2016</v>
      </c>
      <c r="I1040">
        <f>VLOOKUP(H1040,[1]products!$B:$D,3,0)</f>
        <v>3</v>
      </c>
      <c r="J1040" t="str">
        <f>VLOOKUP(I1040,[2]categories!$A$2:$B$8,2,0)</f>
        <v>Cruisers Bicycles</v>
      </c>
    </row>
    <row r="1041" spans="1:10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 s="1">
        <f t="shared" si="16"/>
        <v>1596.9405</v>
      </c>
      <c r="H1041" t="str">
        <f>VLOOKUP(C1041,[1]products!$A:$B,2,0)</f>
        <v>Surly Straggler 650b - 2016</v>
      </c>
      <c r="I1041">
        <f>VLOOKUP(H1041,[1]products!$B:$D,3,0)</f>
        <v>4</v>
      </c>
      <c r="J1041" t="str">
        <f>VLOOKUP(I1041,[2]categories!$A$2:$B$8,2,0)</f>
        <v>Cyclocross Bicycles</v>
      </c>
    </row>
    <row r="1042" spans="1:10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 s="1">
        <f t="shared" si="16"/>
        <v>485.982</v>
      </c>
      <c r="H1042" t="str">
        <f>VLOOKUP(C1042,[1]products!$A:$B,2,0)</f>
        <v>Electra Girl's Hawaii 1 (16-inch) - 2015/2016</v>
      </c>
      <c r="I1042">
        <f>VLOOKUP(H1042,[1]products!$B:$D,3,0)</f>
        <v>3</v>
      </c>
      <c r="J1042" t="str">
        <f>VLOOKUP(I1042,[2]categories!$A$2:$B$8,2,0)</f>
        <v>Cruisers Bicycles</v>
      </c>
    </row>
    <row r="1043" spans="1:10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 s="1">
        <f t="shared" si="16"/>
        <v>1188.891</v>
      </c>
      <c r="H1043" t="str">
        <f>VLOOKUP(C1043,[1]products!$A:$B,2,0)</f>
        <v>Heller Shagamaw Frame - 2016</v>
      </c>
      <c r="I1043">
        <f>VLOOKUP(H1043,[1]products!$B:$D,3,0)</f>
        <v>6</v>
      </c>
      <c r="J1043" t="str">
        <f>VLOOKUP(I1043,[2]categories!$A$2:$B$8,2,0)</f>
        <v>Mountain Bikes</v>
      </c>
    </row>
    <row r="1044" spans="1:10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 s="1">
        <f t="shared" si="16"/>
        <v>3419.981</v>
      </c>
      <c r="H1044" t="str">
        <f>VLOOKUP(C1044,[1]products!$A:$B,2,0)</f>
        <v>Trek Remedy 29 Carbon Frameset - 2016</v>
      </c>
      <c r="I1044">
        <f>VLOOKUP(H1044,[1]products!$B:$D,3,0)</f>
        <v>6</v>
      </c>
      <c r="J1044" t="str">
        <f>VLOOKUP(I1044,[2]categories!$A$2:$B$8,2,0)</f>
        <v>Mountain Bikes</v>
      </c>
    </row>
    <row r="1045" spans="1:10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 s="1">
        <f t="shared" si="16"/>
        <v>242.991</v>
      </c>
      <c r="H1045" t="str">
        <f>VLOOKUP(C1045,[1]products!$A:$B,2,0)</f>
        <v>Electra Girl's Hawaii 1 (16-inch) - 2015/2016</v>
      </c>
      <c r="I1045">
        <f>VLOOKUP(H1045,[1]products!$B:$D,3,0)</f>
        <v>3</v>
      </c>
      <c r="J1045" t="str">
        <f>VLOOKUP(I1045,[2]categories!$A$2:$B$8,2,0)</f>
        <v>Cruisers Bicycles</v>
      </c>
    </row>
    <row r="1046" spans="1:10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 s="1">
        <f t="shared" si="16"/>
        <v>718.4</v>
      </c>
      <c r="H1046" t="str">
        <f>VLOOKUP(C1046,[1]products!$A:$B,2,0)</f>
        <v>Pure Cycles William 3-Speed - 2016</v>
      </c>
      <c r="I1046">
        <f>VLOOKUP(H1046,[1]products!$B:$D,3,0)</f>
        <v>3</v>
      </c>
      <c r="J1046" t="str">
        <f>VLOOKUP(I1046,[2]categories!$A$2:$B$8,2,0)</f>
        <v>Cruisers Bicycles</v>
      </c>
    </row>
    <row r="1047" spans="1:10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 s="1">
        <f t="shared" si="16"/>
        <v>494.991</v>
      </c>
      <c r="H1047" t="str">
        <f>VLOOKUP(C1047,[1]products!$A:$B,2,0)</f>
        <v>Electra Townie Original 21D - 2016</v>
      </c>
      <c r="I1047">
        <f>VLOOKUP(H1047,[1]products!$B:$D,3,0)</f>
        <v>3</v>
      </c>
      <c r="J1047" t="str">
        <f>VLOOKUP(I1047,[2]categories!$A$2:$B$8,2,0)</f>
        <v>Cruisers Bicycles</v>
      </c>
    </row>
    <row r="1048" spans="1:10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 s="1">
        <f t="shared" si="16"/>
        <v>242.991</v>
      </c>
      <c r="H1048" t="str">
        <f>VLOOKUP(C1048,[1]products!$A:$B,2,0)</f>
        <v>Electra Cruiser 1 (24-Inch) - 2016</v>
      </c>
      <c r="I1048">
        <f>VLOOKUP(H1048,[1]products!$B:$D,3,0)</f>
        <v>3</v>
      </c>
      <c r="J1048" t="str">
        <f>VLOOKUP(I1048,[2]categories!$A$2:$B$8,2,0)</f>
        <v>Cruisers Bicycles</v>
      </c>
    </row>
    <row r="1049" spans="1:10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 s="1">
        <f t="shared" si="16"/>
        <v>1394.1</v>
      </c>
      <c r="H1049" t="str">
        <f>VLOOKUP(C1049,[1]products!$A:$B,2,0)</f>
        <v>Surly Straggler - 2016</v>
      </c>
      <c r="I1049">
        <f>VLOOKUP(H1049,[1]products!$B:$D,3,0)</f>
        <v>4</v>
      </c>
      <c r="J1049" t="str">
        <f>VLOOKUP(I1049,[2]categories!$A$2:$B$8,2,0)</f>
        <v>Cyclocross Bicycles</v>
      </c>
    </row>
    <row r="1050" spans="1:10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0.07</v>
      </c>
      <c r="G1050" s="1">
        <f t="shared" si="16"/>
        <v>3719.9907</v>
      </c>
      <c r="H1050" t="str">
        <f>VLOOKUP(C1050,[1]products!$A:$B,2,0)</f>
        <v>Trek Slash 8 27.5 - 2016</v>
      </c>
      <c r="I1050">
        <f>VLOOKUP(H1050,[1]products!$B:$D,3,0)</f>
        <v>6</v>
      </c>
      <c r="J1050" t="str">
        <f>VLOOKUP(I1050,[2]categories!$A$2:$B$8,2,0)</f>
        <v>Mountain Bikes</v>
      </c>
    </row>
    <row r="1051" spans="1:10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 s="1">
        <f t="shared" si="16"/>
        <v>512.981</v>
      </c>
      <c r="H1051" t="str">
        <f>VLOOKUP(C1051,[1]products!$A:$B,2,0)</f>
        <v>Electra Cruiser 1 (24-Inch) - 2016</v>
      </c>
      <c r="I1051">
        <f>VLOOKUP(H1051,[1]products!$B:$D,3,0)</f>
        <v>3</v>
      </c>
      <c r="J1051" t="str">
        <f>VLOOKUP(I1051,[2]categories!$A$2:$B$8,2,0)</f>
        <v>Cruisers Bicycles</v>
      </c>
    </row>
    <row r="1052" spans="1:10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 s="1">
        <f t="shared" si="16"/>
        <v>1424.981</v>
      </c>
      <c r="H1052" t="str">
        <f>VLOOKUP(C1052,[1]products!$A:$B,2,0)</f>
        <v>Ritchey Timberwolf Frameset - 2016</v>
      </c>
      <c r="I1052">
        <f>VLOOKUP(H1052,[1]products!$B:$D,3,0)</f>
        <v>6</v>
      </c>
      <c r="J1052" t="str">
        <f>VLOOKUP(I1052,[2]categories!$A$2:$B$8,2,0)</f>
        <v>Mountain Bikes</v>
      </c>
    </row>
    <row r="1053" spans="1:10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0.07</v>
      </c>
      <c r="G1053" s="1">
        <f t="shared" si="16"/>
        <v>5393.9814</v>
      </c>
      <c r="H1053" t="str">
        <f>VLOOKUP(C1053,[1]products!$A:$B,2,0)</f>
        <v>Trek Fuel EX 8 29 - 2016</v>
      </c>
      <c r="I1053">
        <f>VLOOKUP(H1053,[1]products!$B:$D,3,0)</f>
        <v>6</v>
      </c>
      <c r="J1053" t="str">
        <f>VLOOKUP(I1053,[2]categories!$A$2:$B$8,2,0)</f>
        <v>Mountain Bikes</v>
      </c>
    </row>
    <row r="1054" spans="1:10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 s="1">
        <f t="shared" si="16"/>
        <v>1044.981</v>
      </c>
      <c r="H1054" t="str">
        <f>VLOOKUP(C1054,[1]products!$A:$B,2,0)</f>
        <v>Electra Townie Original 21D - 2016</v>
      </c>
      <c r="I1054">
        <f>VLOOKUP(H1054,[1]products!$B:$D,3,0)</f>
        <v>3</v>
      </c>
      <c r="J1054" t="str">
        <f>VLOOKUP(I1054,[2]categories!$A$2:$B$8,2,0)</f>
        <v>Cruisers Bicycles</v>
      </c>
    </row>
    <row r="1055" spans="1:10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0.07</v>
      </c>
      <c r="G1055" s="1">
        <f t="shared" si="16"/>
        <v>1394.9814</v>
      </c>
      <c r="H1055" t="str">
        <f>VLOOKUP(C1055,[1]products!$A:$B,2,0)</f>
        <v>Ritchey Timberwolf Frameset - 2016</v>
      </c>
      <c r="I1055">
        <f>VLOOKUP(H1055,[1]products!$B:$D,3,0)</f>
        <v>6</v>
      </c>
      <c r="J1055" t="str">
        <f>VLOOKUP(I1055,[2]categories!$A$2:$B$8,2,0)</f>
        <v>Mountain Bikes</v>
      </c>
    </row>
    <row r="1056" spans="1:10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 s="1">
        <f t="shared" si="16"/>
        <v>539.982</v>
      </c>
      <c r="H1056" t="str">
        <f>VLOOKUP(C1056,[1]products!$A:$B,2,0)</f>
        <v>Electra Girl's Hawaii 1 (20-inch) - 2015/2016</v>
      </c>
      <c r="I1056">
        <f>VLOOKUP(H1056,[1]products!$B:$D,3,0)</f>
        <v>1</v>
      </c>
      <c r="J1056" t="str">
        <f>VLOOKUP(I1056,[2]categories!$A$2:$B$8,2,0)</f>
        <v>Children Bicycles</v>
      </c>
    </row>
    <row r="1057" spans="1:10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 s="1">
        <f t="shared" si="16"/>
        <v>1709.9905</v>
      </c>
      <c r="H1057" t="str">
        <f>VLOOKUP(C1057,[1]products!$A:$B,2,0)</f>
        <v>Trek Remedy 29 Carbon Frameset - 2016</v>
      </c>
      <c r="I1057">
        <f>VLOOKUP(H1057,[1]products!$B:$D,3,0)</f>
        <v>6</v>
      </c>
      <c r="J1057" t="str">
        <f>VLOOKUP(I1057,[2]categories!$A$2:$B$8,2,0)</f>
        <v>Mountain Bikes</v>
      </c>
    </row>
    <row r="1058" spans="1:10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0.07</v>
      </c>
      <c r="G1058" s="1">
        <f t="shared" si="16"/>
        <v>251.0907</v>
      </c>
      <c r="H1058" t="str">
        <f>VLOOKUP(C1058,[1]products!$A:$B,2,0)</f>
        <v>Electra Girl's Hawaii 1 (16-inch) - 2015/2016</v>
      </c>
      <c r="I1058">
        <f>VLOOKUP(H1058,[1]products!$B:$D,3,0)</f>
        <v>3</v>
      </c>
      <c r="J1058" t="str">
        <f>VLOOKUP(I1058,[2]categories!$A$2:$B$8,2,0)</f>
        <v>Cruisers Bicycles</v>
      </c>
    </row>
    <row r="1059" spans="1:10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 s="1">
        <f t="shared" si="16"/>
        <v>1139.981</v>
      </c>
      <c r="H1059" t="str">
        <f>VLOOKUP(C1059,[1]products!$A:$B,2,0)</f>
        <v>Electra Townie Original 7D EQ - 2016</v>
      </c>
      <c r="I1059">
        <f>VLOOKUP(H1059,[1]products!$B:$D,3,0)</f>
        <v>3</v>
      </c>
      <c r="J1059" t="str">
        <f>VLOOKUP(I1059,[2]categories!$A$2:$B$8,2,0)</f>
        <v>Cruisers Bicycles</v>
      </c>
    </row>
    <row r="1060" spans="1:10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0.07</v>
      </c>
      <c r="G1060" s="1">
        <f t="shared" si="16"/>
        <v>2789.9907</v>
      </c>
      <c r="H1060" t="str">
        <f>VLOOKUP(C1060,[1]products!$A:$B,2,0)</f>
        <v>Trek Conduit+ - 2016</v>
      </c>
      <c r="I1060">
        <f>VLOOKUP(H1060,[1]products!$B:$D,3,0)</f>
        <v>5</v>
      </c>
      <c r="J1060" t="str">
        <f>VLOOKUP(I1060,[2]categories!$A$2:$B$8,2,0)</f>
        <v>Electric Bikes</v>
      </c>
    </row>
    <row r="1061" spans="1:10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 s="1">
        <f t="shared" si="16"/>
        <v>479.992</v>
      </c>
      <c r="H1061" t="str">
        <f>VLOOKUP(C1061,[1]products!$A:$B,2,0)</f>
        <v>Electra Townie Original 7D EQ - 2016</v>
      </c>
      <c r="I1061">
        <f>VLOOKUP(H1061,[1]products!$B:$D,3,0)</f>
        <v>3</v>
      </c>
      <c r="J1061" t="str">
        <f>VLOOKUP(I1061,[2]categories!$A$2:$B$8,2,0)</f>
        <v>Cruisers Bicycles</v>
      </c>
    </row>
    <row r="1062" spans="1:10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 s="1">
        <f t="shared" si="16"/>
        <v>569.9905</v>
      </c>
      <c r="H1062" t="str">
        <f>VLOOKUP(C1062,[1]products!$A:$B,2,0)</f>
        <v>Electra Townie Original 7D EQ - 2016</v>
      </c>
      <c r="I1062">
        <f>VLOOKUP(H1062,[1]products!$B:$D,3,0)</f>
        <v>3</v>
      </c>
      <c r="J1062" t="str">
        <f>VLOOKUP(I1062,[2]categories!$A$2:$B$8,2,0)</f>
        <v>Cruisers Bicycles</v>
      </c>
    </row>
    <row r="1063" spans="1:10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 s="1">
        <f t="shared" si="16"/>
        <v>3193.881</v>
      </c>
      <c r="H1063" t="str">
        <f>VLOOKUP(C1063,[1]products!$A:$B,2,0)</f>
        <v>Surly Straggler 650b - 2016</v>
      </c>
      <c r="I1063">
        <f>VLOOKUP(H1063,[1]products!$B:$D,3,0)</f>
        <v>4</v>
      </c>
      <c r="J1063" t="str">
        <f>VLOOKUP(I1063,[2]categories!$A$2:$B$8,2,0)</f>
        <v>Cyclocross Bicycles</v>
      </c>
    </row>
    <row r="1064" spans="1:10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0.07</v>
      </c>
      <c r="G1064" s="1">
        <f t="shared" si="16"/>
        <v>502.1814</v>
      </c>
      <c r="H1064" t="str">
        <f>VLOOKUP(C1064,[1]products!$A:$B,2,0)</f>
        <v>Electra Cruiser 1 (24-Inch) - 2016</v>
      </c>
      <c r="I1064">
        <f>VLOOKUP(H1064,[1]products!$B:$D,3,0)</f>
        <v>3</v>
      </c>
      <c r="J1064" t="str">
        <f>VLOOKUP(I1064,[2]categories!$A$2:$B$8,2,0)</f>
        <v>Cruisers Bicycles</v>
      </c>
    </row>
    <row r="1065" spans="1:10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 s="1">
        <f t="shared" si="16"/>
        <v>1619.991</v>
      </c>
      <c r="H1065" t="str">
        <f>VLOOKUP(C1065,[1]products!$A:$B,2,0)</f>
        <v>Trek Remedy 29 Carbon Frameset - 2016</v>
      </c>
      <c r="I1065">
        <f>VLOOKUP(H1065,[1]products!$B:$D,3,0)</f>
        <v>6</v>
      </c>
      <c r="J1065" t="str">
        <f>VLOOKUP(I1065,[2]categories!$A$2:$B$8,2,0)</f>
        <v>Mountain Bikes</v>
      </c>
    </row>
    <row r="1066" spans="1:10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 s="1">
        <f t="shared" si="16"/>
        <v>2699.991</v>
      </c>
      <c r="H1066" t="str">
        <f>VLOOKUP(C1066,[1]products!$A:$B,2,0)</f>
        <v>Trek Conduit+ - 2016</v>
      </c>
      <c r="I1066">
        <f>VLOOKUP(H1066,[1]products!$B:$D,3,0)</f>
        <v>5</v>
      </c>
      <c r="J1066" t="str">
        <f>VLOOKUP(I1066,[2]categories!$A$2:$B$8,2,0)</f>
        <v>Electric Bikes</v>
      </c>
    </row>
    <row r="1067" spans="1:10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0.07</v>
      </c>
      <c r="G1067" s="1">
        <f t="shared" si="16"/>
        <v>251.0907</v>
      </c>
      <c r="H1067" t="str">
        <f>VLOOKUP(C1067,[1]products!$A:$B,2,0)</f>
        <v>Electra Cruiser 1 (24-Inch) - 2016</v>
      </c>
      <c r="I1067">
        <f>VLOOKUP(H1067,[1]products!$B:$D,3,0)</f>
        <v>3</v>
      </c>
      <c r="J1067" t="str">
        <f>VLOOKUP(I1067,[2]categories!$A$2:$B$8,2,0)</f>
        <v>Cruisers Bicycles</v>
      </c>
    </row>
    <row r="1068" spans="1:10">
      <c r="A1068">
        <v>383</v>
      </c>
      <c r="B1068">
        <v>1</v>
      </c>
      <c r="C1068">
        <v>19</v>
      </c>
      <c r="D1068">
        <v>1</v>
      </c>
      <c r="E1068">
        <v>449</v>
      </c>
      <c r="F1068">
        <v>0.07</v>
      </c>
      <c r="G1068" s="1">
        <f t="shared" si="16"/>
        <v>417.57</v>
      </c>
      <c r="H1068" t="str">
        <f>VLOOKUP(C1068,[1]products!$A:$B,2,0)</f>
        <v>Pure Cycles William 3-Speed - 2016</v>
      </c>
      <c r="I1068">
        <f>VLOOKUP(H1068,[1]products!$B:$D,3,0)</f>
        <v>3</v>
      </c>
      <c r="J1068" t="str">
        <f>VLOOKUP(I1068,[2]categories!$A$2:$B$8,2,0)</f>
        <v>Cruisers Bicycles</v>
      </c>
    </row>
    <row r="1069" spans="1:10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 s="1">
        <f t="shared" si="16"/>
        <v>512.981</v>
      </c>
      <c r="H1069" t="str">
        <f>VLOOKUP(C1069,[1]products!$A:$B,2,0)</f>
        <v>Electra Girl's Hawaii 1 (16-inch) - 2015/2016</v>
      </c>
      <c r="I1069">
        <f>VLOOKUP(H1069,[1]products!$B:$D,3,0)</f>
        <v>3</v>
      </c>
      <c r="J1069" t="str">
        <f>VLOOKUP(I1069,[2]categories!$A$2:$B$8,2,0)</f>
        <v>Cruisers Bicycles</v>
      </c>
    </row>
    <row r="1070" spans="1:10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 s="1">
        <f t="shared" si="16"/>
        <v>242.991</v>
      </c>
      <c r="H1070" t="str">
        <f>VLOOKUP(C1070,[1]products!$A:$B,2,0)</f>
        <v>Electra Cruiser 1 (24-Inch) - 2016</v>
      </c>
      <c r="I1070">
        <f>VLOOKUP(H1070,[1]products!$B:$D,3,0)</f>
        <v>3</v>
      </c>
      <c r="J1070" t="str">
        <f>VLOOKUP(I1070,[2]categories!$A$2:$B$8,2,0)</f>
        <v>Cruisers Bicycles</v>
      </c>
    </row>
    <row r="1071" spans="1:10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 s="1">
        <f t="shared" si="16"/>
        <v>512.981</v>
      </c>
      <c r="H1071" t="str">
        <f>VLOOKUP(C1071,[1]products!$A:$B,2,0)</f>
        <v>Electra Cruiser 1 (24-Inch) - 2016</v>
      </c>
      <c r="I1071">
        <f>VLOOKUP(H1071,[1]products!$B:$D,3,0)</f>
        <v>3</v>
      </c>
      <c r="J1071" t="str">
        <f>VLOOKUP(I1071,[2]categories!$A$2:$B$8,2,0)</f>
        <v>Cruisers Bicycles</v>
      </c>
    </row>
    <row r="1072" spans="1:10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 s="1">
        <f t="shared" si="16"/>
        <v>242.991</v>
      </c>
      <c r="H1072" t="str">
        <f>VLOOKUP(C1072,[1]products!$A:$B,2,0)</f>
        <v>Electra Girl's Hawaii 1 (16-inch) - 2015/2016</v>
      </c>
      <c r="I1072">
        <f>VLOOKUP(H1072,[1]products!$B:$D,3,0)</f>
        <v>3</v>
      </c>
      <c r="J1072" t="str">
        <f>VLOOKUP(I1072,[2]categories!$A$2:$B$8,2,0)</f>
        <v>Cruisers Bicycles</v>
      </c>
    </row>
    <row r="1073" spans="1:10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 s="1">
        <f t="shared" si="16"/>
        <v>539.991</v>
      </c>
      <c r="H1073" t="str">
        <f>VLOOKUP(C1073,[1]products!$A:$B,2,0)</f>
        <v>Electra Townie Original 7D EQ - Women's - 2016</v>
      </c>
      <c r="I1073">
        <f>VLOOKUP(H1073,[1]products!$B:$D,3,0)</f>
        <v>3</v>
      </c>
      <c r="J1073" t="str">
        <f>VLOOKUP(I1073,[2]categories!$A$2:$B$8,2,0)</f>
        <v>Cruisers Bicycles</v>
      </c>
    </row>
    <row r="1074" spans="1:10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 s="1">
        <f t="shared" si="16"/>
        <v>431.984</v>
      </c>
      <c r="H1074" t="str">
        <f>VLOOKUP(C1074,[1]products!$A:$B,2,0)</f>
        <v>Electra Cruiser 1 (24-Inch) - 2016</v>
      </c>
      <c r="I1074">
        <f>VLOOKUP(H1074,[1]products!$B:$D,3,0)</f>
        <v>3</v>
      </c>
      <c r="J1074" t="str">
        <f>VLOOKUP(I1074,[2]categories!$A$2:$B$8,2,0)</f>
        <v>Cruisers Bicycles</v>
      </c>
    </row>
    <row r="1075" spans="1:10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 s="1">
        <f t="shared" si="16"/>
        <v>1709.9905</v>
      </c>
      <c r="H1075" t="str">
        <f>VLOOKUP(C1075,[1]products!$A:$B,2,0)</f>
        <v>Trek Remedy 29 Carbon Frameset - 2016</v>
      </c>
      <c r="I1075">
        <f>VLOOKUP(H1075,[1]products!$B:$D,3,0)</f>
        <v>6</v>
      </c>
      <c r="J1075" t="str">
        <f>VLOOKUP(I1075,[2]categories!$A$2:$B$8,2,0)</f>
        <v>Mountain Bikes</v>
      </c>
    </row>
    <row r="1076" spans="1:10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 s="1">
        <f t="shared" si="16"/>
        <v>476.991</v>
      </c>
      <c r="H1076" t="str">
        <f>VLOOKUP(C1076,[1]products!$A:$B,2,0)</f>
        <v>Electra Moto 1 - 2016</v>
      </c>
      <c r="I1076">
        <f>VLOOKUP(H1076,[1]products!$B:$D,3,0)</f>
        <v>3</v>
      </c>
      <c r="J1076" t="str">
        <f>VLOOKUP(I1076,[2]categories!$A$2:$B$8,2,0)</f>
        <v>Cruisers Bicycles</v>
      </c>
    </row>
    <row r="1077" spans="1:10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 s="1">
        <f t="shared" si="16"/>
        <v>2319.992</v>
      </c>
      <c r="H1077" t="str">
        <f>VLOOKUP(C1077,[1]products!$A:$B,2,0)</f>
        <v>Trek Fuel EX 8 29 - 2016</v>
      </c>
      <c r="I1077">
        <f>VLOOKUP(H1077,[1]products!$B:$D,3,0)</f>
        <v>6</v>
      </c>
      <c r="J1077" t="str">
        <f>VLOOKUP(I1077,[2]categories!$A$2:$B$8,2,0)</f>
        <v>Mountain Bikes</v>
      </c>
    </row>
    <row r="1078" spans="1:10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0.07</v>
      </c>
      <c r="G1078" s="1">
        <f t="shared" si="16"/>
        <v>251.0907</v>
      </c>
      <c r="H1078" t="str">
        <f>VLOOKUP(C1078,[1]products!$A:$B,2,0)</f>
        <v>Electra Cruiser 1 (24-Inch) - 2016</v>
      </c>
      <c r="I1078">
        <f>VLOOKUP(H1078,[1]products!$B:$D,3,0)</f>
        <v>3</v>
      </c>
      <c r="J1078" t="str">
        <f>VLOOKUP(I1078,[2]categories!$A$2:$B$8,2,0)</f>
        <v>Cruisers Bicycles</v>
      </c>
    </row>
    <row r="1079" spans="1:10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 s="1">
        <f t="shared" si="16"/>
        <v>6399.984</v>
      </c>
      <c r="H1079" t="str">
        <f>VLOOKUP(C1079,[1]products!$A:$B,2,0)</f>
        <v>Trek Slash 8 27.5 - 2016</v>
      </c>
      <c r="I1079">
        <f>VLOOKUP(H1079,[1]products!$B:$D,3,0)</f>
        <v>6</v>
      </c>
      <c r="J1079" t="str">
        <f>VLOOKUP(I1079,[2]categories!$A$2:$B$8,2,0)</f>
        <v>Mountain Bikes</v>
      </c>
    </row>
    <row r="1080" spans="1:10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 s="1">
        <f t="shared" si="16"/>
        <v>1139.981</v>
      </c>
      <c r="H1080" t="str">
        <f>VLOOKUP(C1080,[1]products!$A:$B,2,0)</f>
        <v>Electra Townie Original 7D EQ - 2016</v>
      </c>
      <c r="I1080">
        <f>VLOOKUP(H1080,[1]products!$B:$D,3,0)</f>
        <v>3</v>
      </c>
      <c r="J1080" t="str">
        <f>VLOOKUP(I1080,[2]categories!$A$2:$B$8,2,0)</f>
        <v>Cruisers Bicycles</v>
      </c>
    </row>
    <row r="1081" spans="1:10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 s="1">
        <f t="shared" si="16"/>
        <v>1439.992</v>
      </c>
      <c r="H1081" t="str">
        <f>VLOOKUP(C1081,[1]products!$A:$B,2,0)</f>
        <v>Trek Remedy 29 Carbon Frameset - 2016</v>
      </c>
      <c r="I1081">
        <f>VLOOKUP(H1081,[1]products!$B:$D,3,0)</f>
        <v>6</v>
      </c>
      <c r="J1081" t="str">
        <f>VLOOKUP(I1081,[2]categories!$A$2:$B$8,2,0)</f>
        <v>Mountain Bikes</v>
      </c>
    </row>
    <row r="1082" spans="1:10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 s="1">
        <f t="shared" si="16"/>
        <v>1899.981</v>
      </c>
      <c r="H1082" t="str">
        <f>VLOOKUP(C1082,[1]products!$A:$B,2,0)</f>
        <v>Surly Wednesday Frameset - 2016</v>
      </c>
      <c r="I1082">
        <f>VLOOKUP(H1082,[1]products!$B:$D,3,0)</f>
        <v>6</v>
      </c>
      <c r="J1082" t="str">
        <f>VLOOKUP(I1082,[2]categories!$A$2:$B$8,2,0)</f>
        <v>Mountain Bikes</v>
      </c>
    </row>
    <row r="1083" spans="1:10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 s="1">
        <f t="shared" si="16"/>
        <v>959.984</v>
      </c>
      <c r="H1083" t="str">
        <f>VLOOKUP(C1083,[1]products!$A:$B,2,0)</f>
        <v>Electra Townie Original 7D EQ - 2016</v>
      </c>
      <c r="I1083">
        <f>VLOOKUP(H1083,[1]products!$B:$D,3,0)</f>
        <v>3</v>
      </c>
      <c r="J1083" t="str">
        <f>VLOOKUP(I1083,[2]categories!$A$2:$B$8,2,0)</f>
        <v>Cruisers Bicycles</v>
      </c>
    </row>
    <row r="1084" spans="1:10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 s="1">
        <f t="shared" si="16"/>
        <v>359.2</v>
      </c>
      <c r="H1084" t="str">
        <f>VLOOKUP(C1084,[1]products!$A:$B,2,0)</f>
        <v>Pure Cycles Western 3-Speed - Women's - 2015/2016</v>
      </c>
      <c r="I1084">
        <f>VLOOKUP(H1084,[1]products!$B:$D,3,0)</f>
        <v>3</v>
      </c>
      <c r="J1084" t="str">
        <f>VLOOKUP(I1084,[2]categories!$A$2:$B$8,2,0)</f>
        <v>Cruisers Bicycles</v>
      </c>
    </row>
    <row r="1085" spans="1:10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 s="1">
        <f t="shared" si="16"/>
        <v>718.4</v>
      </c>
      <c r="H1085" t="str">
        <f>VLOOKUP(C1085,[1]products!$A:$B,2,0)</f>
        <v>Pure Cycles William 3-Speed - 2016</v>
      </c>
      <c r="I1085">
        <f>VLOOKUP(H1085,[1]products!$B:$D,3,0)</f>
        <v>3</v>
      </c>
      <c r="J1085" t="str">
        <f>VLOOKUP(I1085,[2]categories!$A$2:$B$8,2,0)</f>
        <v>Cruisers Bicycles</v>
      </c>
    </row>
    <row r="1086" spans="1:10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0.07</v>
      </c>
      <c r="G1086" s="1">
        <f t="shared" si="16"/>
        <v>502.1814</v>
      </c>
      <c r="H1086" t="str">
        <f>VLOOKUP(C1086,[1]products!$A:$B,2,0)</f>
        <v>Electra Cruiser 1 (24-Inch) - 2016</v>
      </c>
      <c r="I1086">
        <f>VLOOKUP(H1086,[1]products!$B:$D,3,0)</f>
        <v>3</v>
      </c>
      <c r="J1086" t="str">
        <f>VLOOKUP(I1086,[2]categories!$A$2:$B$8,2,0)</f>
        <v>Cruisers Bicycles</v>
      </c>
    </row>
    <row r="1087" spans="1:10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0.07</v>
      </c>
      <c r="G1087" s="1">
        <f t="shared" si="16"/>
        <v>697.4907</v>
      </c>
      <c r="H1087" t="str">
        <f>VLOOKUP(C1087,[1]products!$A:$B,2,0)</f>
        <v>Ritchey Timberwolf Frameset - 2016</v>
      </c>
      <c r="I1087">
        <f>VLOOKUP(H1087,[1]products!$B:$D,3,0)</f>
        <v>6</v>
      </c>
      <c r="J1087" t="str">
        <f>VLOOKUP(I1087,[2]categories!$A$2:$B$8,2,0)</f>
        <v>Mountain Bikes</v>
      </c>
    </row>
    <row r="1088" spans="1:10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 s="1">
        <f t="shared" si="16"/>
        <v>1512.891</v>
      </c>
      <c r="H1088" t="str">
        <f>VLOOKUP(C1088,[1]products!$A:$B,2,0)</f>
        <v>Surly Straggler 650b - 2016</v>
      </c>
      <c r="I1088">
        <f>VLOOKUP(H1088,[1]products!$B:$D,3,0)</f>
        <v>4</v>
      </c>
      <c r="J1088" t="str">
        <f>VLOOKUP(I1088,[2]categories!$A$2:$B$8,2,0)</f>
        <v>Cyclocross Bicycles</v>
      </c>
    </row>
    <row r="1089" spans="1:10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0.07</v>
      </c>
      <c r="G1089" s="1">
        <f t="shared" si="16"/>
        <v>697.4907</v>
      </c>
      <c r="H1089" t="str">
        <f>VLOOKUP(C1089,[1]products!$A:$B,2,0)</f>
        <v>Ritchey Timberwolf Frameset - 2016</v>
      </c>
      <c r="I1089">
        <f>VLOOKUP(H1089,[1]products!$B:$D,3,0)</f>
        <v>6</v>
      </c>
      <c r="J1089" t="str">
        <f>VLOOKUP(I1089,[2]categories!$A$2:$B$8,2,0)</f>
        <v>Mountain Bikes</v>
      </c>
    </row>
    <row r="1090" spans="1:10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0.07</v>
      </c>
      <c r="G1090" s="1">
        <f t="shared" ref="G1090:G1153" si="17">D1090*E1090*(1-F1090)</f>
        <v>985.7814</v>
      </c>
      <c r="H1090" t="str">
        <f>VLOOKUP(C1090,[1]products!$A:$B,2,0)</f>
        <v>Electra Moto 1 - 2016</v>
      </c>
      <c r="I1090">
        <f>VLOOKUP(H1090,[1]products!$B:$D,3,0)</f>
        <v>3</v>
      </c>
      <c r="J1090" t="str">
        <f>VLOOKUP(I1090,[2]categories!$A$2:$B$8,2,0)</f>
        <v>Cruisers Bicycles</v>
      </c>
    </row>
    <row r="1091" spans="1:10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 s="1">
        <f t="shared" si="17"/>
        <v>2943.1</v>
      </c>
      <c r="H1091" t="str">
        <f>VLOOKUP(C1091,[1]products!$A:$B,2,0)</f>
        <v>Surly Straggler - 2016</v>
      </c>
      <c r="I1091">
        <f>VLOOKUP(H1091,[1]products!$B:$D,3,0)</f>
        <v>4</v>
      </c>
      <c r="J1091" t="str">
        <f>VLOOKUP(I1091,[2]categories!$A$2:$B$8,2,0)</f>
        <v>Cyclocross Bicycles</v>
      </c>
    </row>
    <row r="1092" spans="1:10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 s="1">
        <f t="shared" si="17"/>
        <v>1254.9405</v>
      </c>
      <c r="H1092" t="str">
        <f>VLOOKUP(C1092,[1]products!$A:$B,2,0)</f>
        <v>Heller Shagamaw Frame - 2016</v>
      </c>
      <c r="I1092">
        <f>VLOOKUP(H1092,[1]products!$B:$D,3,0)</f>
        <v>6</v>
      </c>
      <c r="J1092" t="str">
        <f>VLOOKUP(I1092,[2]categories!$A$2:$B$8,2,0)</f>
        <v>Mountain Bikes</v>
      </c>
    </row>
    <row r="1093" spans="1:10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 s="1">
        <f t="shared" si="17"/>
        <v>2399.992</v>
      </c>
      <c r="H1093" t="str">
        <f>VLOOKUP(C1093,[1]products!$A:$B,2,0)</f>
        <v>Trek Conduit+ - 2016</v>
      </c>
      <c r="I1093">
        <f>VLOOKUP(H1093,[1]products!$B:$D,3,0)</f>
        <v>5</v>
      </c>
      <c r="J1093" t="str">
        <f>VLOOKUP(I1093,[2]categories!$A$2:$B$8,2,0)</f>
        <v>Electric Bikes</v>
      </c>
    </row>
    <row r="1094" spans="1:10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 s="1">
        <f t="shared" si="17"/>
        <v>284.9905</v>
      </c>
      <c r="H1094" t="str">
        <f>VLOOKUP(C1094,[1]products!$A:$B,2,0)</f>
        <v>Electra Girl's Hawaii 1 (20-inch) - 2015/2016</v>
      </c>
      <c r="I1094">
        <f>VLOOKUP(H1094,[1]products!$B:$D,3,0)</f>
        <v>1</v>
      </c>
      <c r="J1094" t="str">
        <f>VLOOKUP(I1094,[2]categories!$A$2:$B$8,2,0)</f>
        <v>Children Bicycles</v>
      </c>
    </row>
    <row r="1095" spans="1:10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0.07</v>
      </c>
      <c r="G1095" s="1">
        <f t="shared" si="17"/>
        <v>7439.9814</v>
      </c>
      <c r="H1095" t="str">
        <f>VLOOKUP(C1095,[1]products!$A:$B,2,0)</f>
        <v>Trek Slash 8 27.5 - 2016</v>
      </c>
      <c r="I1095">
        <f>VLOOKUP(H1095,[1]products!$B:$D,3,0)</f>
        <v>6</v>
      </c>
      <c r="J1095" t="str">
        <f>VLOOKUP(I1095,[2]categories!$A$2:$B$8,2,0)</f>
        <v>Mountain Bikes</v>
      </c>
    </row>
    <row r="1096" spans="1:10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 s="1">
        <f t="shared" si="17"/>
        <v>2849.9905</v>
      </c>
      <c r="H1096" t="str">
        <f>VLOOKUP(C1096,[1]products!$A:$B,2,0)</f>
        <v>Trek Conduit+ - 2016</v>
      </c>
      <c r="I1096">
        <f>VLOOKUP(H1096,[1]products!$B:$D,3,0)</f>
        <v>5</v>
      </c>
      <c r="J1096" t="str">
        <f>VLOOKUP(I1096,[2]categories!$A$2:$B$8,2,0)</f>
        <v>Electric Bikes</v>
      </c>
    </row>
    <row r="1097" spans="1:10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0.07</v>
      </c>
      <c r="G1097" s="1">
        <f t="shared" si="17"/>
        <v>1673.9907</v>
      </c>
      <c r="H1097" t="str">
        <f>VLOOKUP(C1097,[1]products!$A:$B,2,0)</f>
        <v>Trek Remedy 29 Carbon Frameset - 2016</v>
      </c>
      <c r="I1097">
        <f>VLOOKUP(H1097,[1]products!$B:$D,3,0)</f>
        <v>6</v>
      </c>
      <c r="J1097" t="str">
        <f>VLOOKUP(I1097,[2]categories!$A$2:$B$8,2,0)</f>
        <v>Mountain Bikes</v>
      </c>
    </row>
    <row r="1098" spans="1:10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 s="1">
        <f t="shared" si="17"/>
        <v>2113.584</v>
      </c>
      <c r="H1098" t="str">
        <f>VLOOKUP(C1098,[1]products!$A:$B,2,0)</f>
        <v>Heller Shagamaw Frame - 2016</v>
      </c>
      <c r="I1098">
        <f>VLOOKUP(H1098,[1]products!$B:$D,3,0)</f>
        <v>6</v>
      </c>
      <c r="J1098" t="str">
        <f>VLOOKUP(I1098,[2]categories!$A$2:$B$8,2,0)</f>
        <v>Mountain Bikes</v>
      </c>
    </row>
    <row r="1099" spans="1:10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0.07</v>
      </c>
      <c r="G1099" s="1">
        <f t="shared" si="17"/>
        <v>1022.9814</v>
      </c>
      <c r="H1099" t="str">
        <f>VLOOKUP(C1099,[1]products!$A:$B,2,0)</f>
        <v>Electra Townie Original 21D - 2016</v>
      </c>
      <c r="I1099">
        <f>VLOOKUP(H1099,[1]products!$B:$D,3,0)</f>
        <v>3</v>
      </c>
      <c r="J1099" t="str">
        <f>VLOOKUP(I1099,[2]categories!$A$2:$B$8,2,0)</f>
        <v>Cruisers Bicycles</v>
      </c>
    </row>
    <row r="1100" spans="1:10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 s="1">
        <f t="shared" si="17"/>
        <v>485.982</v>
      </c>
      <c r="H1100" t="str">
        <f>VLOOKUP(C1100,[1]products!$A:$B,2,0)</f>
        <v>Electra Girl's Hawaii 1 (16-inch) - 2015/2016</v>
      </c>
      <c r="I1100">
        <f>VLOOKUP(H1100,[1]products!$B:$D,3,0)</f>
        <v>3</v>
      </c>
      <c r="J1100" t="str">
        <f>VLOOKUP(I1100,[2]categories!$A$2:$B$8,2,0)</f>
        <v>Cruisers Bicycles</v>
      </c>
    </row>
    <row r="1101" spans="1:10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 s="1">
        <f t="shared" si="17"/>
        <v>1899.981</v>
      </c>
      <c r="H1101" t="str">
        <f>VLOOKUP(C1101,[1]products!$A:$B,2,0)</f>
        <v>Surly Wednesday Frameset - 2016</v>
      </c>
      <c r="I1101">
        <f>VLOOKUP(H1101,[1]products!$B:$D,3,0)</f>
        <v>6</v>
      </c>
      <c r="J1101" t="str">
        <f>VLOOKUP(I1101,[2]categories!$A$2:$B$8,2,0)</f>
        <v>Mountain Bikes</v>
      </c>
    </row>
    <row r="1102" spans="1:10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 s="1">
        <f t="shared" si="17"/>
        <v>751.984</v>
      </c>
      <c r="H1102" t="str">
        <f>VLOOKUP(C1102,[1]products!$A:$B,2,0)</f>
        <v>Surly Ice Cream Truck Frameset - 2016</v>
      </c>
      <c r="I1102">
        <f>VLOOKUP(H1102,[1]products!$B:$D,3,0)</f>
        <v>6</v>
      </c>
      <c r="J1102" t="str">
        <f>VLOOKUP(I1102,[2]categories!$A$2:$B$8,2,0)</f>
        <v>Mountain Bikes</v>
      </c>
    </row>
    <row r="1103" spans="1:10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 s="1">
        <f t="shared" si="17"/>
        <v>284.9905</v>
      </c>
      <c r="H1103" t="str">
        <f>VLOOKUP(C1103,[1]products!$A:$B,2,0)</f>
        <v>Electra Girl's Hawaii 1 (20-inch) - 2015/2016</v>
      </c>
      <c r="I1103">
        <f>VLOOKUP(H1103,[1]products!$B:$D,3,0)</f>
        <v>1</v>
      </c>
      <c r="J1103" t="str">
        <f>VLOOKUP(I1103,[2]categories!$A$2:$B$8,2,0)</f>
        <v>Children Bicycles</v>
      </c>
    </row>
    <row r="1104" spans="1:10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 s="1">
        <f t="shared" si="17"/>
        <v>479.992</v>
      </c>
      <c r="H1104" t="str">
        <f>VLOOKUP(C1104,[1]products!$A:$B,2,0)</f>
        <v>Electra Townie Original 7D EQ - 2016</v>
      </c>
      <c r="I1104">
        <f>VLOOKUP(H1104,[1]products!$B:$D,3,0)</f>
        <v>3</v>
      </c>
      <c r="J1104" t="str">
        <f>VLOOKUP(I1104,[2]categories!$A$2:$B$8,2,0)</f>
        <v>Cruisers Bicycles</v>
      </c>
    </row>
    <row r="1105" spans="1:10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 s="1">
        <f t="shared" si="17"/>
        <v>431.984</v>
      </c>
      <c r="H1105" t="str">
        <f>VLOOKUP(C1105,[1]products!$A:$B,2,0)</f>
        <v>Electra Girl's Hawaii 1 (16-inch) - 2015/2016</v>
      </c>
      <c r="I1105">
        <f>VLOOKUP(H1105,[1]products!$B:$D,3,0)</f>
        <v>3</v>
      </c>
      <c r="J1105" t="str">
        <f>VLOOKUP(I1105,[2]categories!$A$2:$B$8,2,0)</f>
        <v>Cruisers Bicycles</v>
      </c>
    </row>
    <row r="1106" spans="1:10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 s="1">
        <f t="shared" si="17"/>
        <v>256.4905</v>
      </c>
      <c r="H1106" t="str">
        <f>VLOOKUP(C1106,[1]products!$A:$B,2,0)</f>
        <v>Electra Girl's Hawaii 1 (16-inch) - 2015/2016</v>
      </c>
      <c r="I1106">
        <f>VLOOKUP(H1106,[1]products!$B:$D,3,0)</f>
        <v>3</v>
      </c>
      <c r="J1106" t="str">
        <f>VLOOKUP(I1106,[2]categories!$A$2:$B$8,2,0)</f>
        <v>Cruisers Bicycles</v>
      </c>
    </row>
    <row r="1107" spans="1:10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 s="1">
        <f t="shared" si="17"/>
        <v>494.991</v>
      </c>
      <c r="H1107" t="str">
        <f>VLOOKUP(C1107,[1]products!$A:$B,2,0)</f>
        <v>Electra Townie Original 21D - 2016</v>
      </c>
      <c r="I1107">
        <f>VLOOKUP(H1107,[1]products!$B:$D,3,0)</f>
        <v>3</v>
      </c>
      <c r="J1107" t="str">
        <f>VLOOKUP(I1107,[2]categories!$A$2:$B$8,2,0)</f>
        <v>Cruisers Bicycles</v>
      </c>
    </row>
    <row r="1108" spans="1:10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 s="1">
        <f t="shared" si="17"/>
        <v>949.981</v>
      </c>
      <c r="H1108" t="str">
        <f>VLOOKUP(C1108,[1]products!$A:$B,2,0)</f>
        <v>Electra Townie Original 7D - 2015/2016</v>
      </c>
      <c r="I1108">
        <f>VLOOKUP(H1108,[1]products!$B:$D,3,0)</f>
        <v>2</v>
      </c>
      <c r="J1108" t="str">
        <f>VLOOKUP(I1108,[2]categories!$A$2:$B$8,2,0)</f>
        <v>Comfort Bicycles</v>
      </c>
    </row>
    <row r="1109" spans="1:10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 s="1">
        <f t="shared" si="17"/>
        <v>1056.792</v>
      </c>
      <c r="H1109" t="str">
        <f>VLOOKUP(C1109,[1]products!$A:$B,2,0)</f>
        <v>Heller Shagamaw Frame - 2016</v>
      </c>
      <c r="I1109">
        <f>VLOOKUP(H1109,[1]products!$B:$D,3,0)</f>
        <v>6</v>
      </c>
      <c r="J1109" t="str">
        <f>VLOOKUP(I1109,[2]categories!$A$2:$B$8,2,0)</f>
        <v>Mountain Bikes</v>
      </c>
    </row>
    <row r="1110" spans="1:10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 s="1">
        <f t="shared" si="17"/>
        <v>3799.9905</v>
      </c>
      <c r="H1110" t="str">
        <f>VLOOKUP(C1110,[1]products!$A:$B,2,0)</f>
        <v>Trek Slash 8 27.5 - 2016</v>
      </c>
      <c r="I1110">
        <f>VLOOKUP(H1110,[1]products!$B:$D,3,0)</f>
        <v>6</v>
      </c>
      <c r="J1110" t="str">
        <f>VLOOKUP(I1110,[2]categories!$A$2:$B$8,2,0)</f>
        <v>Mountain Bikes</v>
      </c>
    </row>
    <row r="1111" spans="1:10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 s="1">
        <f t="shared" si="17"/>
        <v>3419.981</v>
      </c>
      <c r="H1111" t="str">
        <f>VLOOKUP(C1111,[1]products!$A:$B,2,0)</f>
        <v>Trek Remedy 29 Carbon Frameset - 2016</v>
      </c>
      <c r="I1111">
        <f>VLOOKUP(H1111,[1]products!$B:$D,3,0)</f>
        <v>6</v>
      </c>
      <c r="J1111" t="str">
        <f>VLOOKUP(I1111,[2]categories!$A$2:$B$8,2,0)</f>
        <v>Mountain Bikes</v>
      </c>
    </row>
    <row r="1112" spans="1:10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 s="1">
        <f t="shared" si="17"/>
        <v>853.1</v>
      </c>
      <c r="H1112" t="str">
        <f>VLOOKUP(C1112,[1]products!$A:$B,2,0)</f>
        <v>Pure Cycles Western 3-Speed - Women's - 2015/2016</v>
      </c>
      <c r="I1112">
        <f>VLOOKUP(H1112,[1]products!$B:$D,3,0)</f>
        <v>3</v>
      </c>
      <c r="J1112" t="str">
        <f>VLOOKUP(I1112,[2]categories!$A$2:$B$8,2,0)</f>
        <v>Cruisers Bicycles</v>
      </c>
    </row>
    <row r="1113" spans="1:10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 s="1">
        <f t="shared" si="17"/>
        <v>399.992</v>
      </c>
      <c r="H1113" t="str">
        <f>VLOOKUP(C1113,[1]products!$A:$B,2,0)</f>
        <v>Electra Townie Original 7D - 2015/2016</v>
      </c>
      <c r="I1113">
        <f>VLOOKUP(H1113,[1]products!$B:$D,3,0)</f>
        <v>2</v>
      </c>
      <c r="J1113" t="str">
        <f>VLOOKUP(I1113,[2]categories!$A$2:$B$8,2,0)</f>
        <v>Comfort Bicycles</v>
      </c>
    </row>
    <row r="1114" spans="1:10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 s="1">
        <f t="shared" si="17"/>
        <v>407.55</v>
      </c>
      <c r="H1114" t="str">
        <f>VLOOKUP(C1114,[1]products!$A:$B,2,0)</f>
        <v>Pure Cycles Vine 8-Speed - 2016</v>
      </c>
      <c r="I1114">
        <f>VLOOKUP(H1114,[1]products!$B:$D,3,0)</f>
        <v>3</v>
      </c>
      <c r="J1114" t="str">
        <f>VLOOKUP(I1114,[2]categories!$A$2:$B$8,2,0)</f>
        <v>Cruisers Bicycles</v>
      </c>
    </row>
    <row r="1115" spans="1:10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 s="1">
        <f t="shared" si="17"/>
        <v>474.9905</v>
      </c>
      <c r="H1115" t="str">
        <f>VLOOKUP(C1115,[1]products!$A:$B,2,0)</f>
        <v>Electra Townie Original 7D - 2015/2016</v>
      </c>
      <c r="I1115">
        <f>VLOOKUP(H1115,[1]products!$B:$D,3,0)</f>
        <v>2</v>
      </c>
      <c r="J1115" t="str">
        <f>VLOOKUP(I1115,[2]categories!$A$2:$B$8,2,0)</f>
        <v>Comfort Bicycles</v>
      </c>
    </row>
    <row r="1116" spans="1:10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 s="1">
        <f t="shared" si="17"/>
        <v>3193.881</v>
      </c>
      <c r="H1116" t="str">
        <f>VLOOKUP(C1116,[1]products!$A:$B,2,0)</f>
        <v>Surly Straggler 650b - 2016</v>
      </c>
      <c r="I1116">
        <f>VLOOKUP(H1116,[1]products!$B:$D,3,0)</f>
        <v>4</v>
      </c>
      <c r="J1116" t="str">
        <f>VLOOKUP(I1116,[2]categories!$A$2:$B$8,2,0)</f>
        <v>Cyclocross Bicycles</v>
      </c>
    </row>
    <row r="1117" spans="1:10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 s="1">
        <f t="shared" si="17"/>
        <v>242.991</v>
      </c>
      <c r="H1117" t="str">
        <f>VLOOKUP(C1117,[1]products!$A:$B,2,0)</f>
        <v>Electra Girl's Hawaii 1 (16-inch) - 2015/2016</v>
      </c>
      <c r="I1117">
        <f>VLOOKUP(H1117,[1]products!$B:$D,3,0)</f>
        <v>3</v>
      </c>
      <c r="J1117" t="str">
        <f>VLOOKUP(I1117,[2]categories!$A$2:$B$8,2,0)</f>
        <v>Cruisers Bicycles</v>
      </c>
    </row>
    <row r="1118" spans="1:10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0.07</v>
      </c>
      <c r="G1118" s="1">
        <f t="shared" si="17"/>
        <v>1022.9814</v>
      </c>
      <c r="H1118" t="str">
        <f>VLOOKUP(C1118,[1]products!$A:$B,2,0)</f>
        <v>Electra Townie Original 21D - 2016</v>
      </c>
      <c r="I1118">
        <f>VLOOKUP(H1118,[1]products!$B:$D,3,0)</f>
        <v>3</v>
      </c>
      <c r="J1118" t="str">
        <f>VLOOKUP(I1118,[2]categories!$A$2:$B$8,2,0)</f>
        <v>Cruisers Bicycles</v>
      </c>
    </row>
    <row r="1119" spans="1:10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 s="1">
        <f t="shared" si="17"/>
        <v>2399.992</v>
      </c>
      <c r="H1119" t="str">
        <f>VLOOKUP(C1119,[1]products!$A:$B,2,0)</f>
        <v>Trek Conduit+ - 2016</v>
      </c>
      <c r="I1119">
        <f>VLOOKUP(H1119,[1]products!$B:$D,3,0)</f>
        <v>5</v>
      </c>
      <c r="J1119" t="str">
        <f>VLOOKUP(I1119,[2]categories!$A$2:$B$8,2,0)</f>
        <v>Electric Bikes</v>
      </c>
    </row>
    <row r="1120" spans="1:10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 s="1">
        <f t="shared" si="17"/>
        <v>1599.984</v>
      </c>
      <c r="H1120" t="str">
        <f>VLOOKUP(C1120,[1]products!$A:$B,2,0)</f>
        <v>Surly Wednesday Frameset - 2016</v>
      </c>
      <c r="I1120">
        <f>VLOOKUP(H1120,[1]products!$B:$D,3,0)</f>
        <v>6</v>
      </c>
      <c r="J1120" t="str">
        <f>VLOOKUP(I1120,[2]categories!$A$2:$B$8,2,0)</f>
        <v>Mountain Bikes</v>
      </c>
    </row>
    <row r="1121" spans="1:10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 s="1">
        <f t="shared" si="17"/>
        <v>239.992</v>
      </c>
      <c r="H1121" t="str">
        <f>VLOOKUP(C1121,[1]products!$A:$B,2,0)</f>
        <v>Electra Girl's Hawaii 1 (20-inch) - 2015/2016</v>
      </c>
      <c r="I1121">
        <f>VLOOKUP(H1121,[1]products!$B:$D,3,0)</f>
        <v>1</v>
      </c>
      <c r="J1121" t="str">
        <f>VLOOKUP(I1121,[2]categories!$A$2:$B$8,2,0)</f>
        <v>Children Bicycles</v>
      </c>
    </row>
    <row r="1122" spans="1:10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 s="1">
        <f t="shared" si="17"/>
        <v>2478.4</v>
      </c>
      <c r="H1122" t="str">
        <f>VLOOKUP(C1122,[1]products!$A:$B,2,0)</f>
        <v>Surly Straggler - 2016</v>
      </c>
      <c r="I1122">
        <f>VLOOKUP(H1122,[1]products!$B:$D,3,0)</f>
        <v>4</v>
      </c>
      <c r="J1122" t="str">
        <f>VLOOKUP(I1122,[2]categories!$A$2:$B$8,2,0)</f>
        <v>Cyclocross Bicycles</v>
      </c>
    </row>
    <row r="1123" spans="1:10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0.07</v>
      </c>
      <c r="G1123" s="1">
        <f t="shared" si="17"/>
        <v>874.1814</v>
      </c>
      <c r="H1123" t="str">
        <f>VLOOKUP(C1123,[1]products!$A:$B,2,0)</f>
        <v>Surly Ice Cream Truck Frameset - 2016</v>
      </c>
      <c r="I1123">
        <f>VLOOKUP(H1123,[1]products!$B:$D,3,0)</f>
        <v>6</v>
      </c>
      <c r="J1123" t="str">
        <f>VLOOKUP(I1123,[2]categories!$A$2:$B$8,2,0)</f>
        <v>Mountain Bikes</v>
      </c>
    </row>
    <row r="1124" spans="1:10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0.07</v>
      </c>
      <c r="G1124" s="1">
        <f t="shared" si="17"/>
        <v>1228.5207</v>
      </c>
      <c r="H1124" t="str">
        <f>VLOOKUP(C1124,[1]products!$A:$B,2,0)</f>
        <v>Heller Shagamaw Frame - 2016</v>
      </c>
      <c r="I1124">
        <f>VLOOKUP(H1124,[1]products!$B:$D,3,0)</f>
        <v>6</v>
      </c>
      <c r="J1124" t="str">
        <f>VLOOKUP(I1124,[2]categories!$A$2:$B$8,2,0)</f>
        <v>Mountain Bikes</v>
      </c>
    </row>
    <row r="1125" spans="1:10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 s="1">
        <f t="shared" si="17"/>
        <v>569.9905</v>
      </c>
      <c r="H1125" t="str">
        <f>VLOOKUP(C1125,[1]products!$A:$B,2,0)</f>
        <v>Electra Townie Original 7D EQ - 2016</v>
      </c>
      <c r="I1125">
        <f>VLOOKUP(H1125,[1]products!$B:$D,3,0)</f>
        <v>3</v>
      </c>
      <c r="J1125" t="str">
        <f>VLOOKUP(I1125,[2]categories!$A$2:$B$8,2,0)</f>
        <v>Cruisers Bicycles</v>
      </c>
    </row>
    <row r="1126" spans="1:10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 s="1">
        <f t="shared" si="17"/>
        <v>989.982</v>
      </c>
      <c r="H1126" t="str">
        <f>VLOOKUP(C1126,[1]products!$A:$B,2,0)</f>
        <v>Electra Townie Original 21D - 2016</v>
      </c>
      <c r="I1126">
        <f>VLOOKUP(H1126,[1]products!$B:$D,3,0)</f>
        <v>3</v>
      </c>
      <c r="J1126" t="str">
        <f>VLOOKUP(I1126,[2]categories!$A$2:$B$8,2,0)</f>
        <v>Cruisers Bicycles</v>
      </c>
    </row>
    <row r="1127" spans="1:10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 s="1">
        <f t="shared" si="17"/>
        <v>6399.984</v>
      </c>
      <c r="H1127" t="str">
        <f>VLOOKUP(C1127,[1]products!$A:$B,2,0)</f>
        <v>Trek Slash 8 27.5 - 2016</v>
      </c>
      <c r="I1127">
        <f>VLOOKUP(H1127,[1]products!$B:$D,3,0)</f>
        <v>6</v>
      </c>
      <c r="J1127" t="str">
        <f>VLOOKUP(I1127,[2]categories!$A$2:$B$8,2,0)</f>
        <v>Mountain Bikes</v>
      </c>
    </row>
    <row r="1128" spans="1:10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 s="1">
        <f t="shared" si="17"/>
        <v>512.981</v>
      </c>
      <c r="H1128" t="str">
        <f>VLOOKUP(C1128,[1]products!$A:$B,2,0)</f>
        <v>Electra Girl's Hawaii 1 (16-inch) - 2015/2016</v>
      </c>
      <c r="I1128">
        <f>VLOOKUP(H1128,[1]products!$B:$D,3,0)</f>
        <v>3</v>
      </c>
      <c r="J1128" t="str">
        <f>VLOOKUP(I1128,[2]categories!$A$2:$B$8,2,0)</f>
        <v>Cruisers Bicycles</v>
      </c>
    </row>
    <row r="1129" spans="1:10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 s="1">
        <f t="shared" si="17"/>
        <v>439.992</v>
      </c>
      <c r="H1129" t="str">
        <f>VLOOKUP(C1129,[1]products!$A:$B,2,0)</f>
        <v>Electra Townie Original 21D - 2016</v>
      </c>
      <c r="I1129">
        <f>VLOOKUP(H1129,[1]products!$B:$D,3,0)</f>
        <v>3</v>
      </c>
      <c r="J1129" t="str">
        <f>VLOOKUP(I1129,[2]categories!$A$2:$B$8,2,0)</f>
        <v>Cruisers Bicycles</v>
      </c>
    </row>
    <row r="1130" spans="1:10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0.07</v>
      </c>
      <c r="G1130" s="1">
        <f t="shared" si="17"/>
        <v>2789.9907</v>
      </c>
      <c r="H1130" t="str">
        <f>VLOOKUP(C1130,[1]products!$A:$B,2,0)</f>
        <v>Trek Conduit+ - 2016</v>
      </c>
      <c r="I1130">
        <f>VLOOKUP(H1130,[1]products!$B:$D,3,0)</f>
        <v>5</v>
      </c>
      <c r="J1130" t="str">
        <f>VLOOKUP(I1130,[2]categories!$A$2:$B$8,2,0)</f>
        <v>Electric Bikes</v>
      </c>
    </row>
    <row r="1131" spans="1:10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 s="1">
        <f t="shared" si="17"/>
        <v>949.981</v>
      </c>
      <c r="H1131" t="str">
        <f>VLOOKUP(C1131,[1]products!$A:$B,2,0)</f>
        <v>Electra Townie Original 7D - 2015/2016</v>
      </c>
      <c r="I1131">
        <f>VLOOKUP(H1131,[1]products!$B:$D,3,0)</f>
        <v>2</v>
      </c>
      <c r="J1131" t="str">
        <f>VLOOKUP(I1131,[2]categories!$A$2:$B$8,2,0)</f>
        <v>Comfort Bicycles</v>
      </c>
    </row>
    <row r="1132" spans="1:10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 s="1">
        <f t="shared" si="17"/>
        <v>959.984</v>
      </c>
      <c r="H1132" t="str">
        <f>VLOOKUP(C1132,[1]products!$A:$B,2,0)</f>
        <v>Electra Townie Original 7D EQ - 2016</v>
      </c>
      <c r="I1132">
        <f>VLOOKUP(H1132,[1]products!$B:$D,3,0)</f>
        <v>3</v>
      </c>
      <c r="J1132" t="str">
        <f>VLOOKUP(I1132,[2]categories!$A$2:$B$8,2,0)</f>
        <v>Cruisers Bicycles</v>
      </c>
    </row>
    <row r="1133" spans="1:10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 s="1">
        <f t="shared" si="17"/>
        <v>1599.984</v>
      </c>
      <c r="H1133" t="str">
        <f>VLOOKUP(C1133,[1]products!$A:$B,2,0)</f>
        <v>Surly Wednesday Frameset - 2016</v>
      </c>
      <c r="I1133">
        <f>VLOOKUP(H1133,[1]products!$B:$D,3,0)</f>
        <v>6</v>
      </c>
      <c r="J1133" t="str">
        <f>VLOOKUP(I1133,[2]categories!$A$2:$B$8,2,0)</f>
        <v>Mountain Bikes</v>
      </c>
    </row>
    <row r="1134" spans="1:10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 s="1">
        <f t="shared" si="17"/>
        <v>2788.2</v>
      </c>
      <c r="H1134" t="str">
        <f>VLOOKUP(C1134,[1]products!$A:$B,2,0)</f>
        <v>Surly Straggler - 2016</v>
      </c>
      <c r="I1134">
        <f>VLOOKUP(H1134,[1]products!$B:$D,3,0)</f>
        <v>4</v>
      </c>
      <c r="J1134" t="str">
        <f>VLOOKUP(I1134,[2]categories!$A$2:$B$8,2,0)</f>
        <v>Cyclocross Bicycles</v>
      </c>
    </row>
    <row r="1135" spans="1:10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0.07</v>
      </c>
      <c r="G1135" s="1">
        <f t="shared" si="17"/>
        <v>502.1814</v>
      </c>
      <c r="H1135" t="str">
        <f>VLOOKUP(C1135,[1]products!$A:$B,2,0)</f>
        <v>Electra Girl's Hawaii 1 (16-inch) - 2015/2016</v>
      </c>
      <c r="I1135">
        <f>VLOOKUP(H1135,[1]products!$B:$D,3,0)</f>
        <v>3</v>
      </c>
      <c r="J1135" t="str">
        <f>VLOOKUP(I1135,[2]categories!$A$2:$B$8,2,0)</f>
        <v>Cruisers Bicycles</v>
      </c>
    </row>
    <row r="1136" spans="1:10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 s="1">
        <f t="shared" si="17"/>
        <v>2319.992</v>
      </c>
      <c r="H1136" t="str">
        <f>VLOOKUP(C1136,[1]products!$A:$B,2,0)</f>
        <v>Trek Fuel EX 8 29 - 2016</v>
      </c>
      <c r="I1136">
        <f>VLOOKUP(H1136,[1]products!$B:$D,3,0)</f>
        <v>6</v>
      </c>
      <c r="J1136" t="str">
        <f>VLOOKUP(I1136,[2]categories!$A$2:$B$8,2,0)</f>
        <v>Mountain Bikes</v>
      </c>
    </row>
    <row r="1137" spans="1:10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 s="1">
        <f t="shared" si="17"/>
        <v>479.992</v>
      </c>
      <c r="H1137" t="str">
        <f>VLOOKUP(C1137,[1]products!$A:$B,2,0)</f>
        <v>Electra Townie Original 7D EQ - Women's - 2016</v>
      </c>
      <c r="I1137">
        <f>VLOOKUP(H1137,[1]products!$B:$D,3,0)</f>
        <v>3</v>
      </c>
      <c r="J1137" t="str">
        <f>VLOOKUP(I1137,[2]categories!$A$2:$B$8,2,0)</f>
        <v>Cruisers Bicycles</v>
      </c>
    </row>
    <row r="1138" spans="1:10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 s="1">
        <f t="shared" si="17"/>
        <v>1254.9405</v>
      </c>
      <c r="H1138" t="str">
        <f>VLOOKUP(C1138,[1]products!$A:$B,2,0)</f>
        <v>Heller Shagamaw Frame - 2016</v>
      </c>
      <c r="I1138">
        <f>VLOOKUP(H1138,[1]products!$B:$D,3,0)</f>
        <v>6</v>
      </c>
      <c r="J1138" t="str">
        <f>VLOOKUP(I1138,[2]categories!$A$2:$B$8,2,0)</f>
        <v>Mountain Bikes</v>
      </c>
    </row>
    <row r="1139" spans="1:10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 s="1">
        <f t="shared" si="17"/>
        <v>359.2</v>
      </c>
      <c r="H1139" t="str">
        <f>VLOOKUP(C1139,[1]products!$A:$B,2,0)</f>
        <v>Pure Cycles Western 3-Speed - Women's - 2015/2016</v>
      </c>
      <c r="I1139">
        <f>VLOOKUP(H1139,[1]products!$B:$D,3,0)</f>
        <v>3</v>
      </c>
      <c r="J1139" t="str">
        <f>VLOOKUP(I1139,[2]categories!$A$2:$B$8,2,0)</f>
        <v>Cruisers Bicycles</v>
      </c>
    </row>
    <row r="1140" spans="1:10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0.07</v>
      </c>
      <c r="G1140" s="1">
        <f t="shared" si="17"/>
        <v>929.9907</v>
      </c>
      <c r="H1140" t="str">
        <f>VLOOKUP(C1140,[1]products!$A:$B,2,0)</f>
        <v>Surly Wednesday Frameset - 2016</v>
      </c>
      <c r="I1140">
        <f>VLOOKUP(H1140,[1]products!$B:$D,3,0)</f>
        <v>6</v>
      </c>
      <c r="J1140" t="str">
        <f>VLOOKUP(I1140,[2]categories!$A$2:$B$8,2,0)</f>
        <v>Mountain Bikes</v>
      </c>
    </row>
    <row r="1141" spans="1:10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0.07</v>
      </c>
      <c r="G1141" s="1">
        <f t="shared" si="17"/>
        <v>1394.9814</v>
      </c>
      <c r="H1141" t="str">
        <f>VLOOKUP(C1141,[1]products!$A:$B,2,0)</f>
        <v>Ritchey Timberwolf Frameset - 2016</v>
      </c>
      <c r="I1141">
        <f>VLOOKUP(H1141,[1]products!$B:$D,3,0)</f>
        <v>6</v>
      </c>
      <c r="J1141" t="str">
        <f>VLOOKUP(I1141,[2]categories!$A$2:$B$8,2,0)</f>
        <v>Mountain Bikes</v>
      </c>
    </row>
    <row r="1142" spans="1:10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 s="1">
        <f t="shared" si="17"/>
        <v>686.4</v>
      </c>
      <c r="H1142" t="str">
        <f>VLOOKUP(C1142,[1]products!$A:$B,2,0)</f>
        <v>Pure Cycles Vine 8-Speed - 2016</v>
      </c>
      <c r="I1142">
        <f>VLOOKUP(H1142,[1]products!$B:$D,3,0)</f>
        <v>3</v>
      </c>
      <c r="J1142" t="str">
        <f>VLOOKUP(I1142,[2]categories!$A$2:$B$8,2,0)</f>
        <v>Cruisers Bicycles</v>
      </c>
    </row>
    <row r="1143" spans="1:10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0.07</v>
      </c>
      <c r="G1143" s="1">
        <f t="shared" si="17"/>
        <v>492.8907</v>
      </c>
      <c r="H1143" t="str">
        <f>VLOOKUP(C1143,[1]products!$A:$B,2,0)</f>
        <v>Electra Moto 1 - 2016</v>
      </c>
      <c r="I1143">
        <f>VLOOKUP(H1143,[1]products!$B:$D,3,0)</f>
        <v>3</v>
      </c>
      <c r="J1143" t="str">
        <f>VLOOKUP(I1143,[2]categories!$A$2:$B$8,2,0)</f>
        <v>Cruisers Bicycles</v>
      </c>
    </row>
    <row r="1144" spans="1:10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 s="1">
        <f t="shared" si="17"/>
        <v>959.984</v>
      </c>
      <c r="H1144" t="str">
        <f>VLOOKUP(C1144,[1]products!$A:$B,2,0)</f>
        <v>Electra Townie Original 7D EQ - 2016</v>
      </c>
      <c r="I1144">
        <f>VLOOKUP(H1144,[1]products!$B:$D,3,0)</f>
        <v>3</v>
      </c>
      <c r="J1144" t="str">
        <f>VLOOKUP(I1144,[2]categories!$A$2:$B$8,2,0)</f>
        <v>Cruisers Bicycles</v>
      </c>
    </row>
    <row r="1145" spans="1:10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 s="1">
        <f t="shared" si="17"/>
        <v>256.4905</v>
      </c>
      <c r="H1145" t="str">
        <f>VLOOKUP(C1145,[1]products!$A:$B,2,0)</f>
        <v>Electra Cruiser 1 (24-Inch) - 2016</v>
      </c>
      <c r="I1145">
        <f>VLOOKUP(H1145,[1]products!$B:$D,3,0)</f>
        <v>3</v>
      </c>
      <c r="J1145" t="str">
        <f>VLOOKUP(I1145,[2]categories!$A$2:$B$8,2,0)</f>
        <v>Cruisers Bicycles</v>
      </c>
    </row>
    <row r="1146" spans="1:10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 s="1">
        <f t="shared" si="17"/>
        <v>449.991</v>
      </c>
      <c r="H1146" t="str">
        <f>VLOOKUP(C1146,[1]products!$A:$B,2,0)</f>
        <v>Electra Townie Original 7D - 2015/2016</v>
      </c>
      <c r="I1146">
        <f>VLOOKUP(H1146,[1]products!$B:$D,3,0)</f>
        <v>2</v>
      </c>
      <c r="J1146" t="str">
        <f>VLOOKUP(I1146,[2]categories!$A$2:$B$8,2,0)</f>
        <v>Comfort Bicycles</v>
      </c>
    </row>
    <row r="1147" spans="1:10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 s="1">
        <f t="shared" si="17"/>
        <v>5699.981</v>
      </c>
      <c r="H1147" t="str">
        <f>VLOOKUP(C1147,[1]products!$A:$B,2,0)</f>
        <v>Trek Conduit+ - 2016</v>
      </c>
      <c r="I1147">
        <f>VLOOKUP(H1147,[1]products!$B:$D,3,0)</f>
        <v>5</v>
      </c>
      <c r="J1147" t="str">
        <f>VLOOKUP(I1147,[2]categories!$A$2:$B$8,2,0)</f>
        <v>Electric Bikes</v>
      </c>
    </row>
    <row r="1148" spans="1:10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 s="1">
        <f t="shared" si="17"/>
        <v>989.982</v>
      </c>
      <c r="H1148" t="str">
        <f>VLOOKUP(C1148,[1]products!$A:$B,2,0)</f>
        <v>Electra Townie Original 21D - 2016</v>
      </c>
      <c r="I1148">
        <f>VLOOKUP(H1148,[1]products!$B:$D,3,0)</f>
        <v>3</v>
      </c>
      <c r="J1148" t="str">
        <f>VLOOKUP(I1148,[2]categories!$A$2:$B$8,2,0)</f>
        <v>Cruisers Bicycles</v>
      </c>
    </row>
    <row r="1149" spans="1:10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0.07</v>
      </c>
      <c r="G1149" s="1">
        <f t="shared" si="17"/>
        <v>697.4907</v>
      </c>
      <c r="H1149" t="str">
        <f>VLOOKUP(C1149,[1]products!$A:$B,2,0)</f>
        <v>Ritchey Timberwolf Frameset - 2016</v>
      </c>
      <c r="I1149">
        <f>VLOOKUP(H1149,[1]products!$B:$D,3,0)</f>
        <v>6</v>
      </c>
      <c r="J1149" t="str">
        <f>VLOOKUP(I1149,[2]categories!$A$2:$B$8,2,0)</f>
        <v>Mountain Bikes</v>
      </c>
    </row>
    <row r="1150" spans="1:10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 s="1">
        <f t="shared" si="17"/>
        <v>1139.981</v>
      </c>
      <c r="H1150" t="str">
        <f>VLOOKUP(C1150,[1]products!$A:$B,2,0)</f>
        <v>Electra Townie Original 7D EQ - 2016</v>
      </c>
      <c r="I1150">
        <f>VLOOKUP(H1150,[1]products!$B:$D,3,0)</f>
        <v>3</v>
      </c>
      <c r="J1150" t="str">
        <f>VLOOKUP(I1150,[2]categories!$A$2:$B$8,2,0)</f>
        <v>Cruisers Bicycles</v>
      </c>
    </row>
    <row r="1151" spans="1:10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 s="1">
        <f t="shared" si="17"/>
        <v>3599.991</v>
      </c>
      <c r="H1151" t="str">
        <f>VLOOKUP(C1151,[1]products!$A:$B,2,0)</f>
        <v>Trek Slash 8 27.5 - 2016</v>
      </c>
      <c r="I1151">
        <f>VLOOKUP(H1151,[1]products!$B:$D,3,0)</f>
        <v>6</v>
      </c>
      <c r="J1151" t="str">
        <f>VLOOKUP(I1151,[2]categories!$A$2:$B$8,2,0)</f>
        <v>Mountain Bikes</v>
      </c>
    </row>
    <row r="1152" spans="1:10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0.07</v>
      </c>
      <c r="G1152" s="1">
        <f t="shared" si="17"/>
        <v>511.4907</v>
      </c>
      <c r="H1152" t="str">
        <f>VLOOKUP(C1152,[1]products!$A:$B,2,0)</f>
        <v>Electra Townie Original 21D - 2016</v>
      </c>
      <c r="I1152">
        <f>VLOOKUP(H1152,[1]products!$B:$D,3,0)</f>
        <v>3</v>
      </c>
      <c r="J1152" t="str">
        <f>VLOOKUP(I1152,[2]categories!$A$2:$B$8,2,0)</f>
        <v>Cruisers Bicycles</v>
      </c>
    </row>
    <row r="1153" spans="1:10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 s="1">
        <f t="shared" si="17"/>
        <v>386.1</v>
      </c>
      <c r="H1153" t="str">
        <f>VLOOKUP(C1153,[1]products!$A:$B,2,0)</f>
        <v>Pure Cycles Vine 8-Speed - 2016</v>
      </c>
      <c r="I1153">
        <f>VLOOKUP(H1153,[1]products!$B:$D,3,0)</f>
        <v>3</v>
      </c>
      <c r="J1153" t="str">
        <f>VLOOKUP(I1153,[2]categories!$A$2:$B$8,2,0)</f>
        <v>Cruisers Bicycles</v>
      </c>
    </row>
    <row r="1154" spans="1:10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 s="1">
        <f t="shared" ref="G1154:G1217" si="18">D1154*E1154*(1-F1154)</f>
        <v>3419.981</v>
      </c>
      <c r="H1154" t="str">
        <f>VLOOKUP(C1154,[1]products!$A:$B,2,0)</f>
        <v>Trek Remedy 29 Carbon Frameset - 2016</v>
      </c>
      <c r="I1154">
        <f>VLOOKUP(H1154,[1]products!$B:$D,3,0)</f>
        <v>6</v>
      </c>
      <c r="J1154" t="str">
        <f>VLOOKUP(I1154,[2]categories!$A$2:$B$8,2,0)</f>
        <v>Mountain Bikes</v>
      </c>
    </row>
    <row r="1155" spans="1:10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 s="1">
        <f t="shared" si="18"/>
        <v>449.991</v>
      </c>
      <c r="H1155" t="str">
        <f>VLOOKUP(C1155,[1]products!$A:$B,2,0)</f>
        <v>Electra Townie Original 7D - 2015/2016</v>
      </c>
      <c r="I1155">
        <f>VLOOKUP(H1155,[1]products!$B:$D,3,0)</f>
        <v>2</v>
      </c>
      <c r="J1155" t="str">
        <f>VLOOKUP(I1155,[2]categories!$A$2:$B$8,2,0)</f>
        <v>Comfort Bicycles</v>
      </c>
    </row>
    <row r="1156" spans="1:10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0.07</v>
      </c>
      <c r="G1156" s="1">
        <f t="shared" si="18"/>
        <v>2789.9907</v>
      </c>
      <c r="H1156" t="str">
        <f>VLOOKUP(C1156,[1]products!$A:$B,2,0)</f>
        <v>Trek Conduit+ - 2016</v>
      </c>
      <c r="I1156">
        <f>VLOOKUP(H1156,[1]products!$B:$D,3,0)</f>
        <v>5</v>
      </c>
      <c r="J1156" t="str">
        <f>VLOOKUP(I1156,[2]categories!$A$2:$B$8,2,0)</f>
        <v>Electric Bikes</v>
      </c>
    </row>
    <row r="1157" spans="1:10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 s="1">
        <f t="shared" si="18"/>
        <v>5219.982</v>
      </c>
      <c r="H1157" t="str">
        <f>VLOOKUP(C1157,[1]products!$A:$B,2,0)</f>
        <v>Trek Fuel EX 8 29 - 2016</v>
      </c>
      <c r="I1157">
        <f>VLOOKUP(H1157,[1]products!$B:$D,3,0)</f>
        <v>6</v>
      </c>
      <c r="J1157" t="str">
        <f>VLOOKUP(I1157,[2]categories!$A$2:$B$8,2,0)</f>
        <v>Mountain Bikes</v>
      </c>
    </row>
    <row r="1158" spans="1:10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0.07</v>
      </c>
      <c r="G1158" s="1">
        <f t="shared" si="18"/>
        <v>929.9907</v>
      </c>
      <c r="H1158" t="str">
        <f>VLOOKUP(C1158,[1]products!$A:$B,2,0)</f>
        <v>Surly Wednesday Frameset - 2016</v>
      </c>
      <c r="I1158">
        <f>VLOOKUP(H1158,[1]products!$B:$D,3,0)</f>
        <v>6</v>
      </c>
      <c r="J1158" t="str">
        <f>VLOOKUP(I1158,[2]categories!$A$2:$B$8,2,0)</f>
        <v>Mountain Bikes</v>
      </c>
    </row>
    <row r="1159" spans="1:10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 s="1">
        <f t="shared" si="18"/>
        <v>479.984</v>
      </c>
      <c r="H1159" t="str">
        <f>VLOOKUP(C1159,[1]products!$A:$B,2,0)</f>
        <v>Electra Girl's Hawaii 1 (20-inch) - 2015/2016</v>
      </c>
      <c r="I1159">
        <f>VLOOKUP(H1159,[1]products!$B:$D,3,0)</f>
        <v>1</v>
      </c>
      <c r="J1159" t="str">
        <f>VLOOKUP(I1159,[2]categories!$A$2:$B$8,2,0)</f>
        <v>Children Bicycles</v>
      </c>
    </row>
    <row r="1160" spans="1:10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 s="1">
        <f t="shared" si="18"/>
        <v>1056.792</v>
      </c>
      <c r="H1160" t="str">
        <f>VLOOKUP(C1160,[1]products!$A:$B,2,0)</f>
        <v>Heller Shagamaw Frame - 2016</v>
      </c>
      <c r="I1160">
        <f>VLOOKUP(H1160,[1]products!$B:$D,3,0)</f>
        <v>6</v>
      </c>
      <c r="J1160" t="str">
        <f>VLOOKUP(I1160,[2]categories!$A$2:$B$8,2,0)</f>
        <v>Mountain Bikes</v>
      </c>
    </row>
    <row r="1161" spans="1:10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 s="1">
        <f t="shared" si="18"/>
        <v>892.981</v>
      </c>
      <c r="H1161" t="str">
        <f>VLOOKUP(C1161,[1]products!$A:$B,2,0)</f>
        <v>Surly Ice Cream Truck Frameset - 2016</v>
      </c>
      <c r="I1161">
        <f>VLOOKUP(H1161,[1]products!$B:$D,3,0)</f>
        <v>6</v>
      </c>
      <c r="J1161" t="str">
        <f>VLOOKUP(I1161,[2]categories!$A$2:$B$8,2,0)</f>
        <v>Mountain Bikes</v>
      </c>
    </row>
    <row r="1162" spans="1:10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0.07</v>
      </c>
      <c r="G1162" s="1">
        <f t="shared" si="18"/>
        <v>251.0907</v>
      </c>
      <c r="H1162" t="str">
        <f>VLOOKUP(C1162,[1]products!$A:$B,2,0)</f>
        <v>Electra Girl's Hawaii 1 (16-inch) - 2015/2016</v>
      </c>
      <c r="I1162">
        <f>VLOOKUP(H1162,[1]products!$B:$D,3,0)</f>
        <v>3</v>
      </c>
      <c r="J1162" t="str">
        <f>VLOOKUP(I1162,[2]categories!$A$2:$B$8,2,0)</f>
        <v>Cruisers Bicycles</v>
      </c>
    </row>
    <row r="1163" spans="1:10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0.07</v>
      </c>
      <c r="G1163" s="1">
        <f t="shared" si="18"/>
        <v>251.0907</v>
      </c>
      <c r="H1163" t="str">
        <f>VLOOKUP(C1163,[1]products!$A:$B,2,0)</f>
        <v>Electra Girl's Hawaii 1 (16-inch) - 2015/2016</v>
      </c>
      <c r="I1163">
        <f>VLOOKUP(H1163,[1]products!$B:$D,3,0)</f>
        <v>3</v>
      </c>
      <c r="J1163" t="str">
        <f>VLOOKUP(I1163,[2]categories!$A$2:$B$8,2,0)</f>
        <v>Cruisers Bicycles</v>
      </c>
    </row>
    <row r="1164" spans="1:10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 s="1">
        <f t="shared" si="18"/>
        <v>494.991</v>
      </c>
      <c r="H1164" t="str">
        <f>VLOOKUP(C1164,[1]products!$A:$B,2,0)</f>
        <v>Electra Townie Original 21D - 2016</v>
      </c>
      <c r="I1164">
        <f>VLOOKUP(H1164,[1]products!$B:$D,3,0)</f>
        <v>3</v>
      </c>
      <c r="J1164" t="str">
        <f>VLOOKUP(I1164,[2]categories!$A$2:$B$8,2,0)</f>
        <v>Cruisers Bicycles</v>
      </c>
    </row>
    <row r="1165" spans="1:10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0.07</v>
      </c>
      <c r="G1165" s="1">
        <f t="shared" si="18"/>
        <v>1115.9814</v>
      </c>
      <c r="H1165" t="str">
        <f>VLOOKUP(C1165,[1]products!$A:$B,2,0)</f>
        <v>Electra Townie Original 7D EQ - 2016</v>
      </c>
      <c r="I1165">
        <f>VLOOKUP(H1165,[1]products!$B:$D,3,0)</f>
        <v>3</v>
      </c>
      <c r="J1165" t="str">
        <f>VLOOKUP(I1165,[2]categories!$A$2:$B$8,2,0)</f>
        <v>Cruisers Bicycles</v>
      </c>
    </row>
    <row r="1166" spans="1:10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0.07</v>
      </c>
      <c r="G1166" s="1">
        <f t="shared" si="18"/>
        <v>874.1814</v>
      </c>
      <c r="H1166" t="str">
        <f>VLOOKUP(C1166,[1]products!$A:$B,2,0)</f>
        <v>Surly Ice Cream Truck Frameset - 2016</v>
      </c>
      <c r="I1166">
        <f>VLOOKUP(H1166,[1]products!$B:$D,3,0)</f>
        <v>6</v>
      </c>
      <c r="J1166" t="str">
        <f>VLOOKUP(I1166,[2]categories!$A$2:$B$8,2,0)</f>
        <v>Mountain Bikes</v>
      </c>
    </row>
    <row r="1167" spans="1:10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 s="1">
        <f t="shared" si="18"/>
        <v>522.4905</v>
      </c>
      <c r="H1167" t="str">
        <f>VLOOKUP(C1167,[1]products!$A:$B,2,0)</f>
        <v>Electra Townie Original 21D - 2016</v>
      </c>
      <c r="I1167">
        <f>VLOOKUP(H1167,[1]products!$B:$D,3,0)</f>
        <v>3</v>
      </c>
      <c r="J1167" t="str">
        <f>VLOOKUP(I1167,[2]categories!$A$2:$B$8,2,0)</f>
        <v>Cruisers Bicycles</v>
      </c>
    </row>
    <row r="1168" spans="1:10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 s="1">
        <f t="shared" si="18"/>
        <v>569.9905</v>
      </c>
      <c r="H1168" t="str">
        <f>VLOOKUP(C1168,[1]products!$A:$B,2,0)</f>
        <v>Electra Townie Original 7D EQ - Women's - 2016</v>
      </c>
      <c r="I1168">
        <f>VLOOKUP(H1168,[1]products!$B:$D,3,0)</f>
        <v>3</v>
      </c>
      <c r="J1168" t="str">
        <f>VLOOKUP(I1168,[2]categories!$A$2:$B$8,2,0)</f>
        <v>Cruisers Bicycles</v>
      </c>
    </row>
    <row r="1169" spans="1:10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 s="1">
        <f t="shared" si="18"/>
        <v>2849.9905</v>
      </c>
      <c r="H1169" t="str">
        <f>VLOOKUP(C1169,[1]products!$A:$B,2,0)</f>
        <v>Trek Conduit+ - 2016</v>
      </c>
      <c r="I1169">
        <f>VLOOKUP(H1169,[1]products!$B:$D,3,0)</f>
        <v>5</v>
      </c>
      <c r="J1169" t="str">
        <f>VLOOKUP(I1169,[2]categories!$A$2:$B$8,2,0)</f>
        <v>Electric Bikes</v>
      </c>
    </row>
    <row r="1170" spans="1:10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 s="1">
        <f t="shared" si="18"/>
        <v>686.4</v>
      </c>
      <c r="H1170" t="str">
        <f>VLOOKUP(C1170,[1]products!$A:$B,2,0)</f>
        <v>Pure Cycles Vine 8-Speed - 2016</v>
      </c>
      <c r="I1170">
        <f>VLOOKUP(H1170,[1]products!$B:$D,3,0)</f>
        <v>3</v>
      </c>
      <c r="J1170" t="str">
        <f>VLOOKUP(I1170,[2]categories!$A$2:$B$8,2,0)</f>
        <v>Cruisers Bicycles</v>
      </c>
    </row>
    <row r="1171" spans="1:10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 s="1">
        <f t="shared" si="18"/>
        <v>953.982</v>
      </c>
      <c r="H1171" t="str">
        <f>VLOOKUP(C1171,[1]products!$A:$B,2,0)</f>
        <v>Electra Moto 1 - 2016</v>
      </c>
      <c r="I1171">
        <f>VLOOKUP(H1171,[1]products!$B:$D,3,0)</f>
        <v>3</v>
      </c>
      <c r="J1171" t="str">
        <f>VLOOKUP(I1171,[2]categories!$A$2:$B$8,2,0)</f>
        <v>Cruisers Bicycles</v>
      </c>
    </row>
    <row r="1172" spans="1:10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 s="1">
        <f t="shared" si="18"/>
        <v>1899.981</v>
      </c>
      <c r="H1172" t="str">
        <f>VLOOKUP(C1172,[1]products!$A:$B,2,0)</f>
        <v>Surly Wednesday Frameset - 2016</v>
      </c>
      <c r="I1172">
        <f>VLOOKUP(H1172,[1]products!$B:$D,3,0)</f>
        <v>6</v>
      </c>
      <c r="J1172" t="str">
        <f>VLOOKUP(I1172,[2]categories!$A$2:$B$8,2,0)</f>
        <v>Mountain Bikes</v>
      </c>
    </row>
    <row r="1173" spans="1:10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0.07</v>
      </c>
      <c r="G1173" s="1">
        <f t="shared" si="18"/>
        <v>874.1814</v>
      </c>
      <c r="H1173" t="str">
        <f>VLOOKUP(C1173,[1]products!$A:$B,2,0)</f>
        <v>Surly Ice Cream Truck Frameset - 2016</v>
      </c>
      <c r="I1173">
        <f>VLOOKUP(H1173,[1]products!$B:$D,3,0)</f>
        <v>6</v>
      </c>
      <c r="J1173" t="str">
        <f>VLOOKUP(I1173,[2]categories!$A$2:$B$8,2,0)</f>
        <v>Mountain Bikes</v>
      </c>
    </row>
    <row r="1174" spans="1:10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 s="1">
        <f t="shared" si="18"/>
        <v>1599.984</v>
      </c>
      <c r="H1174" t="str">
        <f>VLOOKUP(C1174,[1]products!$A:$B,2,0)</f>
        <v>Surly Wednesday Frameset - 2016</v>
      </c>
      <c r="I1174">
        <f>VLOOKUP(H1174,[1]products!$B:$D,3,0)</f>
        <v>6</v>
      </c>
      <c r="J1174" t="str">
        <f>VLOOKUP(I1174,[2]categories!$A$2:$B$8,2,0)</f>
        <v>Mountain Bikes</v>
      </c>
    </row>
    <row r="1175" spans="1:10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 s="1">
        <f t="shared" si="18"/>
        <v>959.984</v>
      </c>
      <c r="H1175" t="str">
        <f>VLOOKUP(C1175,[1]products!$A:$B,2,0)</f>
        <v>Electra Townie Original 7D EQ - Women's - 2016</v>
      </c>
      <c r="I1175">
        <f>VLOOKUP(H1175,[1]products!$B:$D,3,0)</f>
        <v>3</v>
      </c>
      <c r="J1175" t="str">
        <f>VLOOKUP(I1175,[2]categories!$A$2:$B$8,2,0)</f>
        <v>Cruisers Bicycles</v>
      </c>
    </row>
    <row r="1176" spans="1:10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0.07</v>
      </c>
      <c r="G1176" s="1">
        <f t="shared" si="18"/>
        <v>2696.9907</v>
      </c>
      <c r="H1176" t="str">
        <f>VLOOKUP(C1176,[1]products!$A:$B,2,0)</f>
        <v>Trek Fuel EX 8 29 - 2016</v>
      </c>
      <c r="I1176">
        <f>VLOOKUP(H1176,[1]products!$B:$D,3,0)</f>
        <v>6</v>
      </c>
      <c r="J1176" t="str">
        <f>VLOOKUP(I1176,[2]categories!$A$2:$B$8,2,0)</f>
        <v>Mountain Bikes</v>
      </c>
    </row>
    <row r="1177" spans="1:10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 s="1">
        <f t="shared" si="18"/>
        <v>479.984</v>
      </c>
      <c r="H1177" t="str">
        <f>VLOOKUP(C1177,[1]products!$A:$B,2,0)</f>
        <v>Electra Girl's Hawaii 1 (20-inch) - 2015/2016</v>
      </c>
      <c r="I1177">
        <f>VLOOKUP(H1177,[1]products!$B:$D,3,0)</f>
        <v>1</v>
      </c>
      <c r="J1177" t="str">
        <f>VLOOKUP(I1177,[2]categories!$A$2:$B$8,2,0)</f>
        <v>Children Bicycles</v>
      </c>
    </row>
    <row r="1178" spans="1:10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 s="1">
        <f t="shared" si="18"/>
        <v>1139.981</v>
      </c>
      <c r="H1178" t="str">
        <f>VLOOKUP(C1178,[1]products!$A:$B,2,0)</f>
        <v>Electra Townie Original 7D EQ - Women's - 2016</v>
      </c>
      <c r="I1178">
        <f>VLOOKUP(H1178,[1]products!$B:$D,3,0)</f>
        <v>3</v>
      </c>
      <c r="J1178" t="str">
        <f>VLOOKUP(I1178,[2]categories!$A$2:$B$8,2,0)</f>
        <v>Cruisers Bicycles</v>
      </c>
    </row>
    <row r="1179" spans="1:10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 s="1">
        <f t="shared" si="18"/>
        <v>3419.981</v>
      </c>
      <c r="H1179" t="str">
        <f>VLOOKUP(C1179,[1]products!$A:$B,2,0)</f>
        <v>Trek Remedy 29 Carbon Frameset - 2016</v>
      </c>
      <c r="I1179">
        <f>VLOOKUP(H1179,[1]products!$B:$D,3,0)</f>
        <v>6</v>
      </c>
      <c r="J1179" t="str">
        <f>VLOOKUP(I1179,[2]categories!$A$2:$B$8,2,0)</f>
        <v>Mountain Bikes</v>
      </c>
    </row>
    <row r="1180" spans="1:10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 s="1">
        <f t="shared" si="18"/>
        <v>343.2</v>
      </c>
      <c r="H1180" t="str">
        <f>VLOOKUP(C1180,[1]products!$A:$B,2,0)</f>
        <v>Pure Cycles Vine 8-Speed - 2016</v>
      </c>
      <c r="I1180">
        <f>VLOOKUP(H1180,[1]products!$B:$D,3,0)</f>
        <v>3</v>
      </c>
      <c r="J1180" t="str">
        <f>VLOOKUP(I1180,[2]categories!$A$2:$B$8,2,0)</f>
        <v>Cruisers Bicycles</v>
      </c>
    </row>
    <row r="1181" spans="1:10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0.07</v>
      </c>
      <c r="G1181" s="1">
        <f t="shared" si="18"/>
        <v>557.9814</v>
      </c>
      <c r="H1181" t="str">
        <f>VLOOKUP(C1181,[1]products!$A:$B,2,0)</f>
        <v>Electra Girl's Hawaii 1 (20-inch) - 2015/2016</v>
      </c>
      <c r="I1181">
        <f>VLOOKUP(H1181,[1]products!$B:$D,3,0)</f>
        <v>1</v>
      </c>
      <c r="J1181" t="str">
        <f>VLOOKUP(I1181,[2]categories!$A$2:$B$8,2,0)</f>
        <v>Children Bicycles</v>
      </c>
    </row>
    <row r="1182" spans="1:10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 s="1">
        <f t="shared" si="18"/>
        <v>599.992</v>
      </c>
      <c r="H1182" t="str">
        <f>VLOOKUP(C1182,[1]products!$A:$B,2,0)</f>
        <v>Ritchey Timberwolf Frameset - 2016</v>
      </c>
      <c r="I1182">
        <f>VLOOKUP(H1182,[1]products!$B:$D,3,0)</f>
        <v>6</v>
      </c>
      <c r="J1182" t="str">
        <f>VLOOKUP(I1182,[2]categories!$A$2:$B$8,2,0)</f>
        <v>Mountain Bikes</v>
      </c>
    </row>
    <row r="1183" spans="1:10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 s="1">
        <f t="shared" si="18"/>
        <v>242.991</v>
      </c>
      <c r="H1183" t="str">
        <f>VLOOKUP(C1183,[1]products!$A:$B,2,0)</f>
        <v>Electra Girl's Hawaii 1 (16-inch) - 2015/2016</v>
      </c>
      <c r="I1183">
        <f>VLOOKUP(H1183,[1]products!$B:$D,3,0)</f>
        <v>3</v>
      </c>
      <c r="J1183" t="str">
        <f>VLOOKUP(I1183,[2]categories!$A$2:$B$8,2,0)</f>
        <v>Cruisers Bicycles</v>
      </c>
    </row>
    <row r="1184" spans="1:10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 s="1">
        <f t="shared" si="18"/>
        <v>446.4905</v>
      </c>
      <c r="H1184" t="str">
        <f>VLOOKUP(C1184,[1]products!$A:$B,2,0)</f>
        <v>Surly Ice Cream Truck Frameset - 2016</v>
      </c>
      <c r="I1184">
        <f>VLOOKUP(H1184,[1]products!$B:$D,3,0)</f>
        <v>6</v>
      </c>
      <c r="J1184" t="str">
        <f>VLOOKUP(I1184,[2]categories!$A$2:$B$8,2,0)</f>
        <v>Mountain Bikes</v>
      </c>
    </row>
    <row r="1185" spans="1:10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 s="1">
        <f t="shared" si="18"/>
        <v>422.991</v>
      </c>
      <c r="H1185" t="str">
        <f>VLOOKUP(C1185,[1]products!$A:$B,2,0)</f>
        <v>Surly Ice Cream Truck Frameset - 2016</v>
      </c>
      <c r="I1185">
        <f>VLOOKUP(H1185,[1]products!$B:$D,3,0)</f>
        <v>6</v>
      </c>
      <c r="J1185" t="str">
        <f>VLOOKUP(I1185,[2]categories!$A$2:$B$8,2,0)</f>
        <v>Mountain Bikes</v>
      </c>
    </row>
    <row r="1186" spans="1:10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0.07</v>
      </c>
      <c r="G1186" s="1">
        <f t="shared" si="18"/>
        <v>502.1814</v>
      </c>
      <c r="H1186" t="str">
        <f>VLOOKUP(C1186,[1]products!$A:$B,2,0)</f>
        <v>Electra Cruiser 1 (24-Inch) - 2016</v>
      </c>
      <c r="I1186">
        <f>VLOOKUP(H1186,[1]products!$B:$D,3,0)</f>
        <v>3</v>
      </c>
      <c r="J1186" t="str">
        <f>VLOOKUP(I1186,[2]categories!$A$2:$B$8,2,0)</f>
        <v>Cruisers Bicycles</v>
      </c>
    </row>
    <row r="1187" spans="1:10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 s="1">
        <f t="shared" si="18"/>
        <v>426.55</v>
      </c>
      <c r="H1187" t="str">
        <f>VLOOKUP(C1187,[1]products!$A:$B,2,0)</f>
        <v>Pure Cycles William 3-Speed - 2016</v>
      </c>
      <c r="I1187">
        <f>VLOOKUP(H1187,[1]products!$B:$D,3,0)</f>
        <v>3</v>
      </c>
      <c r="J1187" t="str">
        <f>VLOOKUP(I1187,[2]categories!$A$2:$B$8,2,0)</f>
        <v>Cruisers Bicycles</v>
      </c>
    </row>
    <row r="1188" spans="1:10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 s="1">
        <f t="shared" si="18"/>
        <v>1394.1</v>
      </c>
      <c r="H1188" t="str">
        <f>VLOOKUP(C1188,[1]products!$A:$B,2,0)</f>
        <v>Surly Straggler - 2016</v>
      </c>
      <c r="I1188">
        <f>VLOOKUP(H1188,[1]products!$B:$D,3,0)</f>
        <v>4</v>
      </c>
      <c r="J1188" t="str">
        <f>VLOOKUP(I1188,[2]categories!$A$2:$B$8,2,0)</f>
        <v>Cyclocross Bicycles</v>
      </c>
    </row>
    <row r="1189" spans="1:10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 s="1">
        <f t="shared" si="18"/>
        <v>569.981</v>
      </c>
      <c r="H1189" t="str">
        <f>VLOOKUP(C1189,[1]products!$A:$B,2,0)</f>
        <v>Electra Girl's Hawaii 1 (20-inch) - 2015/2016</v>
      </c>
      <c r="I1189">
        <f>VLOOKUP(H1189,[1]products!$B:$D,3,0)</f>
        <v>1</v>
      </c>
      <c r="J1189" t="str">
        <f>VLOOKUP(I1189,[2]categories!$A$2:$B$8,2,0)</f>
        <v>Children Bicycles</v>
      </c>
    </row>
    <row r="1190" spans="1:10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0.07</v>
      </c>
      <c r="G1190" s="1">
        <f t="shared" si="18"/>
        <v>1022.9814</v>
      </c>
      <c r="H1190" t="str">
        <f>VLOOKUP(C1190,[1]products!$A:$B,2,0)</f>
        <v>Electra Townie Original 21D - 2016</v>
      </c>
      <c r="I1190">
        <f>VLOOKUP(H1190,[1]products!$B:$D,3,0)</f>
        <v>3</v>
      </c>
      <c r="J1190" t="str">
        <f>VLOOKUP(I1190,[2]categories!$A$2:$B$8,2,0)</f>
        <v>Cruisers Bicycles</v>
      </c>
    </row>
    <row r="1191" spans="1:10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 s="1">
        <f t="shared" si="18"/>
        <v>953.982</v>
      </c>
      <c r="H1191" t="str">
        <f>VLOOKUP(C1191,[1]products!$A:$B,2,0)</f>
        <v>Electra Moto 1 - 2016</v>
      </c>
      <c r="I1191">
        <f>VLOOKUP(H1191,[1]products!$B:$D,3,0)</f>
        <v>3</v>
      </c>
      <c r="J1191" t="str">
        <f>VLOOKUP(I1191,[2]categories!$A$2:$B$8,2,0)</f>
        <v>Cruisers Bicycles</v>
      </c>
    </row>
    <row r="1192" spans="1:10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0.07</v>
      </c>
      <c r="G1192" s="1">
        <f t="shared" si="18"/>
        <v>1115.9814</v>
      </c>
      <c r="H1192" t="str">
        <f>VLOOKUP(C1192,[1]products!$A:$B,2,0)</f>
        <v>Electra Townie Original 7D EQ - 2016</v>
      </c>
      <c r="I1192">
        <f>VLOOKUP(H1192,[1]products!$B:$D,3,0)</f>
        <v>3</v>
      </c>
      <c r="J1192" t="str">
        <f>VLOOKUP(I1192,[2]categories!$A$2:$B$8,2,0)</f>
        <v>Cruisers Bicycles</v>
      </c>
    </row>
    <row r="1193" spans="1:10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 s="1">
        <f t="shared" si="18"/>
        <v>2113.584</v>
      </c>
      <c r="H1193" t="str">
        <f>VLOOKUP(C1193,[1]products!$A:$B,2,0)</f>
        <v>Heller Shagamaw Frame - 2016</v>
      </c>
      <c r="I1193">
        <f>VLOOKUP(H1193,[1]products!$B:$D,3,0)</f>
        <v>6</v>
      </c>
      <c r="J1193" t="str">
        <f>VLOOKUP(I1193,[2]categories!$A$2:$B$8,2,0)</f>
        <v>Mountain Bikes</v>
      </c>
    </row>
    <row r="1194" spans="1:10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 s="1">
        <f t="shared" si="18"/>
        <v>215.992</v>
      </c>
      <c r="H1194" t="str">
        <f>VLOOKUP(C1194,[1]products!$A:$B,2,0)</f>
        <v>Electra Girl's Hawaii 1 (16-inch) - 2015/2016</v>
      </c>
      <c r="I1194">
        <f>VLOOKUP(H1194,[1]products!$B:$D,3,0)</f>
        <v>3</v>
      </c>
      <c r="J1194" t="str">
        <f>VLOOKUP(I1194,[2]categories!$A$2:$B$8,2,0)</f>
        <v>Cruisers Bicycles</v>
      </c>
    </row>
    <row r="1195" spans="1:10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 s="1">
        <f t="shared" si="18"/>
        <v>1344.792</v>
      </c>
      <c r="H1195" t="str">
        <f>VLOOKUP(C1195,[1]products!$A:$B,2,0)</f>
        <v>Surly Straggler 650b - 2016</v>
      </c>
      <c r="I1195">
        <f>VLOOKUP(H1195,[1]products!$B:$D,3,0)</f>
        <v>4</v>
      </c>
      <c r="J1195" t="str">
        <f>VLOOKUP(I1195,[2]categories!$A$2:$B$8,2,0)</f>
        <v>Cyclocross Bicycles</v>
      </c>
    </row>
    <row r="1196" spans="1:10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 s="1">
        <f t="shared" si="18"/>
        <v>5219.982</v>
      </c>
      <c r="H1196" t="str">
        <f>VLOOKUP(C1196,[1]products!$A:$B,2,0)</f>
        <v>Trek Fuel EX 8 29 - 2016</v>
      </c>
      <c r="I1196">
        <f>VLOOKUP(H1196,[1]products!$B:$D,3,0)</f>
        <v>6</v>
      </c>
      <c r="J1196" t="str">
        <f>VLOOKUP(I1196,[2]categories!$A$2:$B$8,2,0)</f>
        <v>Mountain Bikes</v>
      </c>
    </row>
    <row r="1197" spans="1:10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 s="1">
        <f t="shared" si="18"/>
        <v>2509.881</v>
      </c>
      <c r="H1197" t="str">
        <f>VLOOKUP(C1197,[1]products!$A:$B,2,0)</f>
        <v>Heller Shagamaw Frame - 2016</v>
      </c>
      <c r="I1197">
        <f>VLOOKUP(H1197,[1]products!$B:$D,3,0)</f>
        <v>6</v>
      </c>
      <c r="J1197" t="str">
        <f>VLOOKUP(I1197,[2]categories!$A$2:$B$8,2,0)</f>
        <v>Mountain Bikes</v>
      </c>
    </row>
    <row r="1198" spans="1:10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0.07</v>
      </c>
      <c r="G1198" s="1">
        <f t="shared" si="18"/>
        <v>437.0907</v>
      </c>
      <c r="H1198" t="str">
        <f>VLOOKUP(C1198,[1]products!$A:$B,2,0)</f>
        <v>Surly Ice Cream Truck Frameset - 2016</v>
      </c>
      <c r="I1198">
        <f>VLOOKUP(H1198,[1]products!$B:$D,3,0)</f>
        <v>6</v>
      </c>
      <c r="J1198" t="str">
        <f>VLOOKUP(I1198,[2]categories!$A$2:$B$8,2,0)</f>
        <v>Mountain Bikes</v>
      </c>
    </row>
    <row r="1199" spans="1:10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 s="1">
        <f t="shared" si="18"/>
        <v>674.991</v>
      </c>
      <c r="H1199" t="str">
        <f>VLOOKUP(C1199,[1]products!$A:$B,2,0)</f>
        <v>Ritchey Timberwolf Frameset - 2016</v>
      </c>
      <c r="I1199">
        <f>VLOOKUP(H1199,[1]products!$B:$D,3,0)</f>
        <v>6</v>
      </c>
      <c r="J1199" t="str">
        <f>VLOOKUP(I1199,[2]categories!$A$2:$B$8,2,0)</f>
        <v>Mountain Bikes</v>
      </c>
    </row>
    <row r="1200" spans="1:10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 s="1">
        <f t="shared" si="18"/>
        <v>485.982</v>
      </c>
      <c r="H1200" t="str">
        <f>VLOOKUP(C1200,[1]products!$A:$B,2,0)</f>
        <v>Electra Girl's Hawaii 1 (16-inch) - 2015/2016</v>
      </c>
      <c r="I1200">
        <f>VLOOKUP(H1200,[1]products!$B:$D,3,0)</f>
        <v>3</v>
      </c>
      <c r="J1200" t="str">
        <f>VLOOKUP(I1200,[2]categories!$A$2:$B$8,2,0)</f>
        <v>Cruisers Bicycles</v>
      </c>
    </row>
    <row r="1201" spans="1:10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0.07</v>
      </c>
      <c r="G1201" s="1">
        <f t="shared" si="18"/>
        <v>1563.3207</v>
      </c>
      <c r="H1201" t="str">
        <f>VLOOKUP(C1201,[1]products!$A:$B,2,0)</f>
        <v>Surly Straggler 650b - 2016</v>
      </c>
      <c r="I1201">
        <f>VLOOKUP(H1201,[1]products!$B:$D,3,0)</f>
        <v>4</v>
      </c>
      <c r="J1201" t="str">
        <f>VLOOKUP(I1201,[2]categories!$A$2:$B$8,2,0)</f>
        <v>Cyclocross Bicycles</v>
      </c>
    </row>
    <row r="1202" spans="1:10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 s="1">
        <f t="shared" si="18"/>
        <v>4639.984</v>
      </c>
      <c r="H1202" t="str">
        <f>VLOOKUP(C1202,[1]products!$A:$B,2,0)</f>
        <v>Trek Fuel EX 8 29 - 2016</v>
      </c>
      <c r="I1202">
        <f>VLOOKUP(H1202,[1]products!$B:$D,3,0)</f>
        <v>6</v>
      </c>
      <c r="J1202" t="str">
        <f>VLOOKUP(I1202,[2]categories!$A$2:$B$8,2,0)</f>
        <v>Mountain Bikes</v>
      </c>
    </row>
    <row r="1203" spans="1:10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 s="1">
        <f t="shared" si="18"/>
        <v>431.984</v>
      </c>
      <c r="H1203" t="str">
        <f>VLOOKUP(C1203,[1]products!$A:$B,2,0)</f>
        <v>Electra Cruiser 1 (24-Inch) - 2016</v>
      </c>
      <c r="I1203">
        <f>VLOOKUP(H1203,[1]products!$B:$D,3,0)</f>
        <v>3</v>
      </c>
      <c r="J1203" t="str">
        <f>VLOOKUP(I1203,[2]categories!$A$2:$B$8,2,0)</f>
        <v>Cruisers Bicycles</v>
      </c>
    </row>
    <row r="1204" spans="1:10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 s="1">
        <f t="shared" si="18"/>
        <v>1439.992</v>
      </c>
      <c r="H1204" t="str">
        <f>VLOOKUP(C1204,[1]products!$A:$B,2,0)</f>
        <v>Trek Remedy 29 Carbon Frameset - 2016</v>
      </c>
      <c r="I1204">
        <f>VLOOKUP(H1204,[1]products!$B:$D,3,0)</f>
        <v>6</v>
      </c>
      <c r="J1204" t="str">
        <f>VLOOKUP(I1204,[2]categories!$A$2:$B$8,2,0)</f>
        <v>Mountain Bikes</v>
      </c>
    </row>
    <row r="1205" spans="1:10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 s="1">
        <f t="shared" si="18"/>
        <v>431.984</v>
      </c>
      <c r="H1205" t="str">
        <f>VLOOKUP(C1205,[1]products!$A:$B,2,0)</f>
        <v>Electra Girl's Hawaii 1 (16-inch) - 2015/2016</v>
      </c>
      <c r="I1205">
        <f>VLOOKUP(H1205,[1]products!$B:$D,3,0)</f>
        <v>3</v>
      </c>
      <c r="J1205" t="str">
        <f>VLOOKUP(I1205,[2]categories!$A$2:$B$8,2,0)</f>
        <v>Cruisers Bicycles</v>
      </c>
    </row>
    <row r="1206" spans="1:10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 s="1">
        <f t="shared" si="18"/>
        <v>422.991</v>
      </c>
      <c r="H1206" t="str">
        <f>VLOOKUP(C1206,[1]products!$A:$B,2,0)</f>
        <v>Surly Ice Cream Truck Frameset - 2016</v>
      </c>
      <c r="I1206">
        <f>VLOOKUP(H1206,[1]products!$B:$D,3,0)</f>
        <v>6</v>
      </c>
      <c r="J1206" t="str">
        <f>VLOOKUP(I1206,[2]categories!$A$2:$B$8,2,0)</f>
        <v>Mountain Bikes</v>
      </c>
    </row>
    <row r="1207" spans="1:10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 s="1">
        <f t="shared" si="18"/>
        <v>359.2</v>
      </c>
      <c r="H1207" t="str">
        <f>VLOOKUP(C1207,[1]products!$A:$B,2,0)</f>
        <v>Pure Cycles Western 3-Speed - Women's - 2015/2016</v>
      </c>
      <c r="I1207">
        <f>VLOOKUP(H1207,[1]products!$B:$D,3,0)</f>
        <v>3</v>
      </c>
      <c r="J1207" t="str">
        <f>VLOOKUP(I1207,[2]categories!$A$2:$B$8,2,0)</f>
        <v>Cruisers Bicycles</v>
      </c>
    </row>
    <row r="1208" spans="1:10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0.07</v>
      </c>
      <c r="G1208" s="1">
        <f t="shared" si="18"/>
        <v>502.1814</v>
      </c>
      <c r="H1208" t="str">
        <f>VLOOKUP(C1208,[1]products!$A:$B,2,0)</f>
        <v>Electra Cruiser 1 (24-Inch) - 2016</v>
      </c>
      <c r="I1208">
        <f>VLOOKUP(H1208,[1]products!$B:$D,3,0)</f>
        <v>3</v>
      </c>
      <c r="J1208" t="str">
        <f>VLOOKUP(I1208,[2]categories!$A$2:$B$8,2,0)</f>
        <v>Cruisers Bicycles</v>
      </c>
    </row>
    <row r="1209" spans="1:10">
      <c r="A1209">
        <v>431</v>
      </c>
      <c r="B1209">
        <v>5</v>
      </c>
      <c r="C1209">
        <v>19</v>
      </c>
      <c r="D1209">
        <v>1</v>
      </c>
      <c r="E1209">
        <v>449</v>
      </c>
      <c r="F1209">
        <v>0.07</v>
      </c>
      <c r="G1209" s="1">
        <f t="shared" si="18"/>
        <v>417.57</v>
      </c>
      <c r="H1209" t="str">
        <f>VLOOKUP(C1209,[1]products!$A:$B,2,0)</f>
        <v>Pure Cycles William 3-Speed - 2016</v>
      </c>
      <c r="I1209">
        <f>VLOOKUP(H1209,[1]products!$B:$D,3,0)</f>
        <v>3</v>
      </c>
      <c r="J1209" t="str">
        <f>VLOOKUP(I1209,[2]categories!$A$2:$B$8,2,0)</f>
        <v>Cruisers Bicycles</v>
      </c>
    </row>
    <row r="1210" spans="1:10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 s="1">
        <f t="shared" si="18"/>
        <v>2478.4</v>
      </c>
      <c r="H1210" t="str">
        <f>VLOOKUP(C1210,[1]products!$A:$B,2,0)</f>
        <v>Surly Straggler - 2016</v>
      </c>
      <c r="I1210">
        <f>VLOOKUP(H1210,[1]products!$B:$D,3,0)</f>
        <v>4</v>
      </c>
      <c r="J1210" t="str">
        <f>VLOOKUP(I1210,[2]categories!$A$2:$B$8,2,0)</f>
        <v>Cyclocross Bicycles</v>
      </c>
    </row>
    <row r="1211" spans="1:10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 s="1">
        <f t="shared" si="18"/>
        <v>7599.981</v>
      </c>
      <c r="H1211" t="str">
        <f>VLOOKUP(C1211,[1]products!$A:$B,2,0)</f>
        <v>Trek Slash 8 27.5 - 2016</v>
      </c>
      <c r="I1211">
        <f>VLOOKUP(H1211,[1]products!$B:$D,3,0)</f>
        <v>6</v>
      </c>
      <c r="J1211" t="str">
        <f>VLOOKUP(I1211,[2]categories!$A$2:$B$8,2,0)</f>
        <v>Mountain Bikes</v>
      </c>
    </row>
    <row r="1212" spans="1:10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 s="1">
        <f t="shared" si="18"/>
        <v>422.991</v>
      </c>
      <c r="H1212" t="str">
        <f>VLOOKUP(C1212,[1]products!$A:$B,2,0)</f>
        <v>Surly Ice Cream Truck Frameset - 2016</v>
      </c>
      <c r="I1212">
        <f>VLOOKUP(H1212,[1]products!$B:$D,3,0)</f>
        <v>6</v>
      </c>
      <c r="J1212" t="str">
        <f>VLOOKUP(I1212,[2]categories!$A$2:$B$8,2,0)</f>
        <v>Mountain Bikes</v>
      </c>
    </row>
    <row r="1213" spans="1:10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 s="1">
        <f t="shared" si="18"/>
        <v>1239.2</v>
      </c>
      <c r="H1213" t="str">
        <f>VLOOKUP(C1213,[1]products!$A:$B,2,0)</f>
        <v>Surly Straggler - 2016</v>
      </c>
      <c r="I1213">
        <f>VLOOKUP(H1213,[1]products!$B:$D,3,0)</f>
        <v>4</v>
      </c>
      <c r="J1213" t="str">
        <f>VLOOKUP(I1213,[2]categories!$A$2:$B$8,2,0)</f>
        <v>Cyclocross Bicycles</v>
      </c>
    </row>
    <row r="1214" spans="1:10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 s="1">
        <f t="shared" si="18"/>
        <v>494.991</v>
      </c>
      <c r="H1214" t="str">
        <f>VLOOKUP(C1214,[1]products!$A:$B,2,0)</f>
        <v>Electra Townie Original 21D - 2016</v>
      </c>
      <c r="I1214">
        <f>VLOOKUP(H1214,[1]products!$B:$D,3,0)</f>
        <v>3</v>
      </c>
      <c r="J1214" t="str">
        <f>VLOOKUP(I1214,[2]categories!$A$2:$B$8,2,0)</f>
        <v>Cruisers Bicycles</v>
      </c>
    </row>
    <row r="1215" spans="1:10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 s="1">
        <f t="shared" si="18"/>
        <v>2319.992</v>
      </c>
      <c r="H1215" t="str">
        <f>VLOOKUP(C1215,[1]products!$A:$B,2,0)</f>
        <v>Trek Fuel EX 8 29 - 2016</v>
      </c>
      <c r="I1215">
        <f>VLOOKUP(H1215,[1]products!$B:$D,3,0)</f>
        <v>6</v>
      </c>
      <c r="J1215" t="str">
        <f>VLOOKUP(I1215,[2]categories!$A$2:$B$8,2,0)</f>
        <v>Mountain Bikes</v>
      </c>
    </row>
    <row r="1216" spans="1:10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 s="1">
        <f t="shared" si="18"/>
        <v>256.4905</v>
      </c>
      <c r="H1216" t="str">
        <f>VLOOKUP(C1216,[1]products!$A:$B,2,0)</f>
        <v>Electra Cruiser 1 (24-Inch) - 2016</v>
      </c>
      <c r="I1216">
        <f>VLOOKUP(H1216,[1]products!$B:$D,3,0)</f>
        <v>3</v>
      </c>
      <c r="J1216" t="str">
        <f>VLOOKUP(I1216,[2]categories!$A$2:$B$8,2,0)</f>
        <v>Cruisers Bicycles</v>
      </c>
    </row>
    <row r="1217" spans="1:10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 s="1">
        <f t="shared" si="18"/>
        <v>539.991</v>
      </c>
      <c r="H1217" t="str">
        <f>VLOOKUP(C1217,[1]products!$A:$B,2,0)</f>
        <v>Electra Townie Original 7D EQ - Women's - 2016</v>
      </c>
      <c r="I1217">
        <f>VLOOKUP(H1217,[1]products!$B:$D,3,0)</f>
        <v>3</v>
      </c>
      <c r="J1217" t="str">
        <f>VLOOKUP(I1217,[2]categories!$A$2:$B$8,2,0)</f>
        <v>Cruisers Bicycles</v>
      </c>
    </row>
    <row r="1218" spans="1:10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 s="1">
        <f t="shared" ref="G1218:G1281" si="19">D1218*E1218*(1-F1218)</f>
        <v>2399.992</v>
      </c>
      <c r="H1218" t="str">
        <f>VLOOKUP(C1218,[1]products!$A:$B,2,0)</f>
        <v>Trek Conduit+ - 2016</v>
      </c>
      <c r="I1218">
        <f>VLOOKUP(H1218,[1]products!$B:$D,3,0)</f>
        <v>5</v>
      </c>
      <c r="J1218" t="str">
        <f>VLOOKUP(I1218,[2]categories!$A$2:$B$8,2,0)</f>
        <v>Electric Bikes</v>
      </c>
    </row>
    <row r="1219" spans="1:10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0.07</v>
      </c>
      <c r="G1219" s="1">
        <f t="shared" si="19"/>
        <v>3126.6414</v>
      </c>
      <c r="H1219" t="str">
        <f>VLOOKUP(C1219,[1]products!$A:$B,2,0)</f>
        <v>Surly Straggler 650b - 2016</v>
      </c>
      <c r="I1219">
        <f>VLOOKUP(H1219,[1]products!$B:$D,3,0)</f>
        <v>4</v>
      </c>
      <c r="J1219" t="str">
        <f>VLOOKUP(I1219,[2]categories!$A$2:$B$8,2,0)</f>
        <v>Cyclocross Bicycles</v>
      </c>
    </row>
    <row r="1220" spans="1:10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 s="1">
        <f t="shared" si="19"/>
        <v>853.1</v>
      </c>
      <c r="H1220" t="str">
        <f>VLOOKUP(C1220,[1]products!$A:$B,2,0)</f>
        <v>Pure Cycles Western 3-Speed - Women's - 2015/2016</v>
      </c>
      <c r="I1220">
        <f>VLOOKUP(H1220,[1]products!$B:$D,3,0)</f>
        <v>3</v>
      </c>
      <c r="J1220" t="str">
        <f>VLOOKUP(I1220,[2]categories!$A$2:$B$8,2,0)</f>
        <v>Cruisers Bicycles</v>
      </c>
    </row>
    <row r="1221" spans="1:10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 s="1">
        <f t="shared" si="19"/>
        <v>256.4905</v>
      </c>
      <c r="H1221" t="str">
        <f>VLOOKUP(C1221,[1]products!$A:$B,2,0)</f>
        <v>Electra Girl's Hawaii 1 (16-inch) - 2015/2016</v>
      </c>
      <c r="I1221">
        <f>VLOOKUP(H1221,[1]products!$B:$D,3,0)</f>
        <v>3</v>
      </c>
      <c r="J1221" t="str">
        <f>VLOOKUP(I1221,[2]categories!$A$2:$B$8,2,0)</f>
        <v>Cruisers Bicycles</v>
      </c>
    </row>
    <row r="1222" spans="1:10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 s="1">
        <f t="shared" si="19"/>
        <v>2849.9905</v>
      </c>
      <c r="H1222" t="str">
        <f>VLOOKUP(C1222,[1]products!$A:$B,2,0)</f>
        <v>Trek Conduit+ - 2016</v>
      </c>
      <c r="I1222">
        <f>VLOOKUP(H1222,[1]products!$B:$D,3,0)</f>
        <v>5</v>
      </c>
      <c r="J1222" t="str">
        <f>VLOOKUP(I1222,[2]categories!$A$2:$B$8,2,0)</f>
        <v>Electric Bikes</v>
      </c>
    </row>
    <row r="1223" spans="1:10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 s="1">
        <f t="shared" si="19"/>
        <v>426.55</v>
      </c>
      <c r="H1223" t="str">
        <f>VLOOKUP(C1223,[1]products!$A:$B,2,0)</f>
        <v>Pure Cycles Western 3-Speed - Women's - 2015/2016</v>
      </c>
      <c r="I1223">
        <f>VLOOKUP(H1223,[1]products!$B:$D,3,0)</f>
        <v>3</v>
      </c>
      <c r="J1223" t="str">
        <f>VLOOKUP(I1223,[2]categories!$A$2:$B$8,2,0)</f>
        <v>Cruisers Bicycles</v>
      </c>
    </row>
    <row r="1224" spans="1:10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 s="1">
        <f t="shared" si="19"/>
        <v>949.9905</v>
      </c>
      <c r="H1224" t="str">
        <f>VLOOKUP(C1224,[1]products!$A:$B,2,0)</f>
        <v>Surly Wednesday Frameset - 2016</v>
      </c>
      <c r="I1224">
        <f>VLOOKUP(H1224,[1]products!$B:$D,3,0)</f>
        <v>6</v>
      </c>
      <c r="J1224" t="str">
        <f>VLOOKUP(I1224,[2]categories!$A$2:$B$8,2,0)</f>
        <v>Mountain Bikes</v>
      </c>
    </row>
    <row r="1225" spans="1:10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 s="1">
        <f t="shared" si="19"/>
        <v>239.992</v>
      </c>
      <c r="H1225" t="str">
        <f>VLOOKUP(C1225,[1]products!$A:$B,2,0)</f>
        <v>Electra Girl's Hawaii 1 (20-inch) - 2015/2016</v>
      </c>
      <c r="I1225">
        <f>VLOOKUP(H1225,[1]products!$B:$D,3,0)</f>
        <v>1</v>
      </c>
      <c r="J1225" t="str">
        <f>VLOOKUP(I1225,[2]categories!$A$2:$B$8,2,0)</f>
        <v>Children Bicycles</v>
      </c>
    </row>
    <row r="1226" spans="1:10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 s="1">
        <f t="shared" si="19"/>
        <v>949.9905</v>
      </c>
      <c r="H1226" t="str">
        <f>VLOOKUP(C1226,[1]products!$A:$B,2,0)</f>
        <v>Surly Wednesday Frameset - 2016</v>
      </c>
      <c r="I1226">
        <f>VLOOKUP(H1226,[1]products!$B:$D,3,0)</f>
        <v>6</v>
      </c>
      <c r="J1226" t="str">
        <f>VLOOKUP(I1226,[2]categories!$A$2:$B$8,2,0)</f>
        <v>Mountain Bikes</v>
      </c>
    </row>
    <row r="1227" spans="1:10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 s="1">
        <f t="shared" si="19"/>
        <v>1471.55</v>
      </c>
      <c r="H1227" t="str">
        <f>VLOOKUP(C1227,[1]products!$A:$B,2,0)</f>
        <v>Surly Straggler - 2016</v>
      </c>
      <c r="I1227">
        <f>VLOOKUP(H1227,[1]products!$B:$D,3,0)</f>
        <v>4</v>
      </c>
      <c r="J1227" t="str">
        <f>VLOOKUP(I1227,[2]categories!$A$2:$B$8,2,0)</f>
        <v>Cyclocross Bicycles</v>
      </c>
    </row>
    <row r="1228" spans="1:10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 s="1">
        <f t="shared" si="19"/>
        <v>3419.981</v>
      </c>
      <c r="H1228" t="str">
        <f>VLOOKUP(C1228,[1]products!$A:$B,2,0)</f>
        <v>Trek Remedy 29 Carbon Frameset - 2016</v>
      </c>
      <c r="I1228">
        <f>VLOOKUP(H1228,[1]products!$B:$D,3,0)</f>
        <v>6</v>
      </c>
      <c r="J1228" t="str">
        <f>VLOOKUP(I1228,[2]categories!$A$2:$B$8,2,0)</f>
        <v>Mountain Bikes</v>
      </c>
    </row>
    <row r="1229" spans="1:10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0.07</v>
      </c>
      <c r="G1229" s="1">
        <f t="shared" si="19"/>
        <v>2696.9907</v>
      </c>
      <c r="H1229" t="str">
        <f>VLOOKUP(C1229,[1]products!$A:$B,2,0)</f>
        <v>Trek Fuel EX 8 29 - 2016</v>
      </c>
      <c r="I1229">
        <f>VLOOKUP(H1229,[1]products!$B:$D,3,0)</f>
        <v>6</v>
      </c>
      <c r="J1229" t="str">
        <f>VLOOKUP(I1229,[2]categories!$A$2:$B$8,2,0)</f>
        <v>Mountain Bikes</v>
      </c>
    </row>
    <row r="1230" spans="1:10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 s="1">
        <f t="shared" si="19"/>
        <v>242.991</v>
      </c>
      <c r="H1230" t="str">
        <f>VLOOKUP(C1230,[1]products!$A:$B,2,0)</f>
        <v>Electra Girl's Hawaii 1 (16-inch) - 2015/2016</v>
      </c>
      <c r="I1230">
        <f>VLOOKUP(H1230,[1]products!$B:$D,3,0)</f>
        <v>3</v>
      </c>
      <c r="J1230" t="str">
        <f>VLOOKUP(I1230,[2]categories!$A$2:$B$8,2,0)</f>
        <v>Cruisers Bicycles</v>
      </c>
    </row>
    <row r="1231" spans="1:10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 s="1">
        <f t="shared" si="19"/>
        <v>3419.981</v>
      </c>
      <c r="H1231" t="str">
        <f>VLOOKUP(C1231,[1]products!$A:$B,2,0)</f>
        <v>Trek Remedy 29 Carbon Frameset - 2016</v>
      </c>
      <c r="I1231">
        <f>VLOOKUP(H1231,[1]products!$B:$D,3,0)</f>
        <v>6</v>
      </c>
      <c r="J1231" t="str">
        <f>VLOOKUP(I1231,[2]categories!$A$2:$B$8,2,0)</f>
        <v>Mountain Bikes</v>
      </c>
    </row>
    <row r="1232" spans="1:10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 s="1">
        <f t="shared" si="19"/>
        <v>512.981</v>
      </c>
      <c r="H1232" t="str">
        <f>VLOOKUP(C1232,[1]products!$A:$B,2,0)</f>
        <v>Electra Cruiser 1 (24-Inch) - 2016</v>
      </c>
      <c r="I1232">
        <f>VLOOKUP(H1232,[1]products!$B:$D,3,0)</f>
        <v>3</v>
      </c>
      <c r="J1232" t="str">
        <f>VLOOKUP(I1232,[2]categories!$A$2:$B$8,2,0)</f>
        <v>Cruisers Bicycles</v>
      </c>
    </row>
    <row r="1233" spans="1:10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0.07</v>
      </c>
      <c r="G1233" s="1">
        <f t="shared" si="19"/>
        <v>874.1814</v>
      </c>
      <c r="H1233" t="str">
        <f>VLOOKUP(C1233,[1]products!$A:$B,2,0)</f>
        <v>Surly Ice Cream Truck Frameset - 2016</v>
      </c>
      <c r="I1233">
        <f>VLOOKUP(H1233,[1]products!$B:$D,3,0)</f>
        <v>6</v>
      </c>
      <c r="J1233" t="str">
        <f>VLOOKUP(I1233,[2]categories!$A$2:$B$8,2,0)</f>
        <v>Mountain Bikes</v>
      </c>
    </row>
    <row r="1234" spans="1:10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 s="1">
        <f t="shared" si="19"/>
        <v>7599.981</v>
      </c>
      <c r="H1234" t="str">
        <f>VLOOKUP(C1234,[1]products!$A:$B,2,0)</f>
        <v>Trek Slash 8 27.5 - 2016</v>
      </c>
      <c r="I1234">
        <f>VLOOKUP(H1234,[1]products!$B:$D,3,0)</f>
        <v>6</v>
      </c>
      <c r="J1234" t="str">
        <f>VLOOKUP(I1234,[2]categories!$A$2:$B$8,2,0)</f>
        <v>Mountain Bikes</v>
      </c>
    </row>
    <row r="1235" spans="1:10">
      <c r="A1235">
        <v>440</v>
      </c>
      <c r="B1235">
        <v>1</v>
      </c>
      <c r="C1235">
        <v>19</v>
      </c>
      <c r="D1235">
        <v>2</v>
      </c>
      <c r="E1235">
        <v>449</v>
      </c>
      <c r="F1235">
        <v>0.07</v>
      </c>
      <c r="G1235" s="1">
        <f t="shared" si="19"/>
        <v>835.14</v>
      </c>
      <c r="H1235" t="str">
        <f>VLOOKUP(C1235,[1]products!$A:$B,2,0)</f>
        <v>Pure Cycles William 3-Speed - 2016</v>
      </c>
      <c r="I1235">
        <f>VLOOKUP(H1235,[1]products!$B:$D,3,0)</f>
        <v>3</v>
      </c>
      <c r="J1235" t="str">
        <f>VLOOKUP(I1235,[2]categories!$A$2:$B$8,2,0)</f>
        <v>Cruisers Bicycles</v>
      </c>
    </row>
    <row r="1236" spans="1:10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0.07</v>
      </c>
      <c r="G1236" s="1">
        <f t="shared" si="19"/>
        <v>5393.9814</v>
      </c>
      <c r="H1236" t="str">
        <f>VLOOKUP(C1236,[1]products!$A:$B,2,0)</f>
        <v>Trek Fuel EX 8 29 - 2016</v>
      </c>
      <c r="I1236">
        <f>VLOOKUP(H1236,[1]products!$B:$D,3,0)</f>
        <v>6</v>
      </c>
      <c r="J1236" t="str">
        <f>VLOOKUP(I1236,[2]categories!$A$2:$B$8,2,0)</f>
        <v>Mountain Bikes</v>
      </c>
    </row>
    <row r="1237" spans="1:10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0.07</v>
      </c>
      <c r="G1237" s="1">
        <f t="shared" si="19"/>
        <v>511.4907</v>
      </c>
      <c r="H1237" t="str">
        <f>VLOOKUP(C1237,[1]products!$A:$B,2,0)</f>
        <v>Electra Townie Original 21D - 2016</v>
      </c>
      <c r="I1237">
        <f>VLOOKUP(H1237,[1]products!$B:$D,3,0)</f>
        <v>3</v>
      </c>
      <c r="J1237" t="str">
        <f>VLOOKUP(I1237,[2]categories!$A$2:$B$8,2,0)</f>
        <v>Cruisers Bicycles</v>
      </c>
    </row>
    <row r="1238" spans="1:10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 s="1">
        <f t="shared" si="19"/>
        <v>476.991</v>
      </c>
      <c r="H1238" t="str">
        <f>VLOOKUP(C1238,[1]products!$A:$B,2,0)</f>
        <v>Electra Moto 1 - 2016</v>
      </c>
      <c r="I1238">
        <f>VLOOKUP(H1238,[1]products!$B:$D,3,0)</f>
        <v>3</v>
      </c>
      <c r="J1238" t="str">
        <f>VLOOKUP(I1238,[2]categories!$A$2:$B$8,2,0)</f>
        <v>Cruisers Bicycles</v>
      </c>
    </row>
    <row r="1239" spans="1:10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0.07</v>
      </c>
      <c r="G1239" s="1">
        <f t="shared" si="19"/>
        <v>1115.9814</v>
      </c>
      <c r="H1239" t="str">
        <f>VLOOKUP(C1239,[1]products!$A:$B,2,0)</f>
        <v>Electra Townie Original 7D EQ - 2016</v>
      </c>
      <c r="I1239">
        <f>VLOOKUP(H1239,[1]products!$B:$D,3,0)</f>
        <v>3</v>
      </c>
      <c r="J1239" t="str">
        <f>VLOOKUP(I1239,[2]categories!$A$2:$B$8,2,0)</f>
        <v>Cruisers Bicycles</v>
      </c>
    </row>
    <row r="1240" spans="1:10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 s="1">
        <f t="shared" si="19"/>
        <v>959.984</v>
      </c>
      <c r="H1240" t="str">
        <f>VLOOKUP(C1240,[1]products!$A:$B,2,0)</f>
        <v>Electra Townie Original 7D EQ - 2016</v>
      </c>
      <c r="I1240">
        <f>VLOOKUP(H1240,[1]products!$B:$D,3,0)</f>
        <v>3</v>
      </c>
      <c r="J1240" t="str">
        <f>VLOOKUP(I1240,[2]categories!$A$2:$B$8,2,0)</f>
        <v>Cruisers Bicycles</v>
      </c>
    </row>
    <row r="1241" spans="1:10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 s="1">
        <f t="shared" si="19"/>
        <v>751.984</v>
      </c>
      <c r="H1241" t="str">
        <f>VLOOKUP(C1241,[1]products!$A:$B,2,0)</f>
        <v>Surly Ice Cream Truck Frameset - 2016</v>
      </c>
      <c r="I1241">
        <f>VLOOKUP(H1241,[1]products!$B:$D,3,0)</f>
        <v>6</v>
      </c>
      <c r="J1241" t="str">
        <f>VLOOKUP(I1241,[2]categories!$A$2:$B$8,2,0)</f>
        <v>Mountain Bikes</v>
      </c>
    </row>
    <row r="1242" spans="1:10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 s="1">
        <f t="shared" si="19"/>
        <v>1254.9405</v>
      </c>
      <c r="H1242" t="str">
        <f>VLOOKUP(C1242,[1]products!$A:$B,2,0)</f>
        <v>Heller Shagamaw Frame - 2016</v>
      </c>
      <c r="I1242">
        <f>VLOOKUP(H1242,[1]products!$B:$D,3,0)</f>
        <v>6</v>
      </c>
      <c r="J1242" t="str">
        <f>VLOOKUP(I1242,[2]categories!$A$2:$B$8,2,0)</f>
        <v>Mountain Bikes</v>
      </c>
    </row>
    <row r="1243" spans="1:10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 s="1">
        <f t="shared" si="19"/>
        <v>479.992</v>
      </c>
      <c r="H1243" t="str">
        <f>VLOOKUP(C1243,[1]products!$A:$B,2,0)</f>
        <v>Electra Townie Original 7D EQ - 2016</v>
      </c>
      <c r="I1243">
        <f>VLOOKUP(H1243,[1]products!$B:$D,3,0)</f>
        <v>3</v>
      </c>
      <c r="J1243" t="str">
        <f>VLOOKUP(I1243,[2]categories!$A$2:$B$8,2,0)</f>
        <v>Cruisers Bicycles</v>
      </c>
    </row>
    <row r="1244" spans="1:10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0.07</v>
      </c>
      <c r="G1244" s="1">
        <f t="shared" si="19"/>
        <v>251.0907</v>
      </c>
      <c r="H1244" t="str">
        <f>VLOOKUP(C1244,[1]products!$A:$B,2,0)</f>
        <v>Electra Girl's Hawaii 1 (16-inch) - 2015/2016</v>
      </c>
      <c r="I1244">
        <f>VLOOKUP(H1244,[1]products!$B:$D,3,0)</f>
        <v>3</v>
      </c>
      <c r="J1244" t="str">
        <f>VLOOKUP(I1244,[2]categories!$A$2:$B$8,2,0)</f>
        <v>Cruisers Bicycles</v>
      </c>
    </row>
    <row r="1245" spans="1:10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0.07</v>
      </c>
      <c r="G1245" s="1">
        <f t="shared" si="19"/>
        <v>985.7814</v>
      </c>
      <c r="H1245" t="str">
        <f>VLOOKUP(C1245,[1]products!$A:$B,2,0)</f>
        <v>Electra Moto 1 - 2016</v>
      </c>
      <c r="I1245">
        <f>VLOOKUP(H1245,[1]products!$B:$D,3,0)</f>
        <v>3</v>
      </c>
      <c r="J1245" t="str">
        <f>VLOOKUP(I1245,[2]categories!$A$2:$B$8,2,0)</f>
        <v>Cruisers Bicycles</v>
      </c>
    </row>
    <row r="1246" spans="1:10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 s="1">
        <f t="shared" si="19"/>
        <v>1139.981</v>
      </c>
      <c r="H1246" t="str">
        <f>VLOOKUP(C1246,[1]products!$A:$B,2,0)</f>
        <v>Electra Townie Original 7D EQ - Women's - 2016</v>
      </c>
      <c r="I1246">
        <f>VLOOKUP(H1246,[1]products!$B:$D,3,0)</f>
        <v>3</v>
      </c>
      <c r="J1246" t="str">
        <f>VLOOKUP(I1246,[2]categories!$A$2:$B$8,2,0)</f>
        <v>Cruisers Bicycles</v>
      </c>
    </row>
    <row r="1247" spans="1:10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 s="1">
        <f t="shared" si="19"/>
        <v>539.991</v>
      </c>
      <c r="H1247" t="str">
        <f>VLOOKUP(C1247,[1]products!$A:$B,2,0)</f>
        <v>Electra Townie Original 7D EQ - 2016</v>
      </c>
      <c r="I1247">
        <f>VLOOKUP(H1247,[1]products!$B:$D,3,0)</f>
        <v>3</v>
      </c>
      <c r="J1247" t="str">
        <f>VLOOKUP(I1247,[2]categories!$A$2:$B$8,2,0)</f>
        <v>Cruisers Bicycles</v>
      </c>
    </row>
    <row r="1248" spans="1:10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 s="1">
        <f t="shared" si="19"/>
        <v>2478.4</v>
      </c>
      <c r="H1248" t="str">
        <f>VLOOKUP(C1248,[1]products!$A:$B,2,0)</f>
        <v>Surly Straggler - 2016</v>
      </c>
      <c r="I1248">
        <f>VLOOKUP(H1248,[1]products!$B:$D,3,0)</f>
        <v>4</v>
      </c>
      <c r="J1248" t="str">
        <f>VLOOKUP(I1248,[2]categories!$A$2:$B$8,2,0)</f>
        <v>Cyclocross Bicycles</v>
      </c>
    </row>
    <row r="1249" spans="1:10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 s="1">
        <f t="shared" si="19"/>
        <v>3199.992</v>
      </c>
      <c r="H1249" t="str">
        <f>VLOOKUP(C1249,[1]products!$A:$B,2,0)</f>
        <v>Trek Slash 8 27.5 - 2016</v>
      </c>
      <c r="I1249">
        <f>VLOOKUP(H1249,[1]products!$B:$D,3,0)</f>
        <v>6</v>
      </c>
      <c r="J1249" t="str">
        <f>VLOOKUP(I1249,[2]categories!$A$2:$B$8,2,0)</f>
        <v>Mountain Bikes</v>
      </c>
    </row>
    <row r="1250" spans="1:10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0.07</v>
      </c>
      <c r="G1250" s="1">
        <f t="shared" si="19"/>
        <v>557.9907</v>
      </c>
      <c r="H1250" t="str">
        <f>VLOOKUP(C1250,[1]products!$A:$B,2,0)</f>
        <v>Electra Townie Original 7D EQ - 2016</v>
      </c>
      <c r="I1250">
        <f>VLOOKUP(H1250,[1]products!$B:$D,3,0)</f>
        <v>3</v>
      </c>
      <c r="J1250" t="str">
        <f>VLOOKUP(I1250,[2]categories!$A$2:$B$8,2,0)</f>
        <v>Cruisers Bicycles</v>
      </c>
    </row>
    <row r="1251" spans="1:10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 s="1">
        <f t="shared" si="19"/>
        <v>239.992</v>
      </c>
      <c r="H1251" t="str">
        <f>VLOOKUP(C1251,[1]products!$A:$B,2,0)</f>
        <v>Electra Girl's Hawaii 1 (20-inch) - 2015/2016</v>
      </c>
      <c r="I1251">
        <f>VLOOKUP(H1251,[1]products!$B:$D,3,0)</f>
        <v>1</v>
      </c>
      <c r="J1251" t="str">
        <f>VLOOKUP(I1251,[2]categories!$A$2:$B$8,2,0)</f>
        <v>Children Bicycles</v>
      </c>
    </row>
    <row r="1252" spans="1:10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 s="1">
        <f t="shared" si="19"/>
        <v>215.992</v>
      </c>
      <c r="H1252" t="str">
        <f>VLOOKUP(C1252,[1]products!$A:$B,2,0)</f>
        <v>Electra Girl's Hawaii 1 (16-inch) - 2015/2016</v>
      </c>
      <c r="I1252">
        <f>VLOOKUP(H1252,[1]products!$B:$D,3,0)</f>
        <v>3</v>
      </c>
      <c r="J1252" t="str">
        <f>VLOOKUP(I1252,[2]categories!$A$2:$B$8,2,0)</f>
        <v>Cruisers Bicycles</v>
      </c>
    </row>
    <row r="1253" spans="1:10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0.07</v>
      </c>
      <c r="G1253" s="1">
        <f t="shared" si="19"/>
        <v>1115.9814</v>
      </c>
      <c r="H1253" t="str">
        <f>VLOOKUP(C1253,[1]products!$A:$B,2,0)</f>
        <v>Electra Townie Original 7D EQ - 2016</v>
      </c>
      <c r="I1253">
        <f>VLOOKUP(H1253,[1]products!$B:$D,3,0)</f>
        <v>3</v>
      </c>
      <c r="J1253" t="str">
        <f>VLOOKUP(I1253,[2]categories!$A$2:$B$8,2,0)</f>
        <v>Cruisers Bicycles</v>
      </c>
    </row>
    <row r="1254" spans="1:10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 s="1">
        <f t="shared" si="19"/>
        <v>5509.981</v>
      </c>
      <c r="H1254" t="str">
        <f>VLOOKUP(C1254,[1]products!$A:$B,2,0)</f>
        <v>Trek Fuel EX 8 29 - 2016</v>
      </c>
      <c r="I1254">
        <f>VLOOKUP(H1254,[1]products!$B:$D,3,0)</f>
        <v>6</v>
      </c>
      <c r="J1254" t="str">
        <f>VLOOKUP(I1254,[2]categories!$A$2:$B$8,2,0)</f>
        <v>Mountain Bikes</v>
      </c>
    </row>
    <row r="1255" spans="1:10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 s="1">
        <f t="shared" si="19"/>
        <v>899.991</v>
      </c>
      <c r="H1255" t="str">
        <f>VLOOKUP(C1255,[1]products!$A:$B,2,0)</f>
        <v>Surly Wednesday Frameset - 2016</v>
      </c>
      <c r="I1255">
        <f>VLOOKUP(H1255,[1]products!$B:$D,3,0)</f>
        <v>6</v>
      </c>
      <c r="J1255" t="str">
        <f>VLOOKUP(I1255,[2]categories!$A$2:$B$8,2,0)</f>
        <v>Mountain Bikes</v>
      </c>
    </row>
    <row r="1256" spans="1:10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0.07</v>
      </c>
      <c r="G1256" s="1">
        <f t="shared" si="19"/>
        <v>1673.9907</v>
      </c>
      <c r="H1256" t="str">
        <f>VLOOKUP(C1256,[1]products!$A:$B,2,0)</f>
        <v>Trek Remedy 29 Carbon Frameset - 2016</v>
      </c>
      <c r="I1256">
        <f>VLOOKUP(H1256,[1]products!$B:$D,3,0)</f>
        <v>6</v>
      </c>
      <c r="J1256" t="str">
        <f>VLOOKUP(I1256,[2]categories!$A$2:$B$8,2,0)</f>
        <v>Mountain Bikes</v>
      </c>
    </row>
    <row r="1257" spans="1:10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 s="1">
        <f t="shared" si="19"/>
        <v>512.981</v>
      </c>
      <c r="H1257" t="str">
        <f>VLOOKUP(C1257,[1]products!$A:$B,2,0)</f>
        <v>Electra Cruiser 1 (24-Inch) - 2016</v>
      </c>
      <c r="I1257">
        <f>VLOOKUP(H1257,[1]products!$B:$D,3,0)</f>
        <v>3</v>
      </c>
      <c r="J1257" t="str">
        <f>VLOOKUP(I1257,[2]categories!$A$2:$B$8,2,0)</f>
        <v>Cruisers Bicycles</v>
      </c>
    </row>
    <row r="1258" spans="1:10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 s="1">
        <f t="shared" si="19"/>
        <v>892.981</v>
      </c>
      <c r="H1258" t="str">
        <f>VLOOKUP(C1258,[1]products!$A:$B,2,0)</f>
        <v>Surly Ice Cream Truck Frameset - 2016</v>
      </c>
      <c r="I1258">
        <f>VLOOKUP(H1258,[1]products!$B:$D,3,0)</f>
        <v>6</v>
      </c>
      <c r="J1258" t="str">
        <f>VLOOKUP(I1258,[2]categories!$A$2:$B$8,2,0)</f>
        <v>Mountain Bikes</v>
      </c>
    </row>
    <row r="1259" spans="1:10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 s="1">
        <f t="shared" si="19"/>
        <v>815.1</v>
      </c>
      <c r="H1259" t="str">
        <f>VLOOKUP(C1259,[1]products!$A:$B,2,0)</f>
        <v>Pure Cycles Vine 8-Speed - 2016</v>
      </c>
      <c r="I1259">
        <f>VLOOKUP(H1259,[1]products!$B:$D,3,0)</f>
        <v>3</v>
      </c>
      <c r="J1259" t="str">
        <f>VLOOKUP(I1259,[2]categories!$A$2:$B$8,2,0)</f>
        <v>Cruisers Bicycles</v>
      </c>
    </row>
    <row r="1260" spans="1:10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 s="1">
        <f t="shared" si="19"/>
        <v>712.4905</v>
      </c>
      <c r="H1260" t="str">
        <f>VLOOKUP(C1260,[1]products!$A:$B,2,0)</f>
        <v>Ritchey Timberwolf Frameset - 2016</v>
      </c>
      <c r="I1260">
        <f>VLOOKUP(H1260,[1]products!$B:$D,3,0)</f>
        <v>6</v>
      </c>
      <c r="J1260" t="str">
        <f>VLOOKUP(I1260,[2]categories!$A$2:$B$8,2,0)</f>
        <v>Mountain Bikes</v>
      </c>
    </row>
    <row r="1261" spans="1:10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0.07</v>
      </c>
      <c r="G1261" s="1">
        <f t="shared" si="19"/>
        <v>7439.9814</v>
      </c>
      <c r="H1261" t="str">
        <f>VLOOKUP(C1261,[1]products!$A:$B,2,0)</f>
        <v>Trek Slash 8 27.5 - 2016</v>
      </c>
      <c r="I1261">
        <f>VLOOKUP(H1261,[1]products!$B:$D,3,0)</f>
        <v>6</v>
      </c>
      <c r="J1261" t="str">
        <f>VLOOKUP(I1261,[2]categories!$A$2:$B$8,2,0)</f>
        <v>Mountain Bikes</v>
      </c>
    </row>
    <row r="1262" spans="1:10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 s="1">
        <f t="shared" si="19"/>
        <v>959.984</v>
      </c>
      <c r="H1262" t="str">
        <f>VLOOKUP(C1262,[1]products!$A:$B,2,0)</f>
        <v>Electra Townie Original 7D EQ - 2016</v>
      </c>
      <c r="I1262">
        <f>VLOOKUP(H1262,[1]products!$B:$D,3,0)</f>
        <v>3</v>
      </c>
      <c r="J1262" t="str">
        <f>VLOOKUP(I1262,[2]categories!$A$2:$B$8,2,0)</f>
        <v>Cruisers Bicycles</v>
      </c>
    </row>
    <row r="1263" spans="1:10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 s="1">
        <f t="shared" si="19"/>
        <v>522.4905</v>
      </c>
      <c r="H1263" t="str">
        <f>VLOOKUP(C1263,[1]products!$A:$B,2,0)</f>
        <v>Electra Townie Original 21D - 2016</v>
      </c>
      <c r="I1263">
        <f>VLOOKUP(H1263,[1]products!$B:$D,3,0)</f>
        <v>3</v>
      </c>
      <c r="J1263" t="str">
        <f>VLOOKUP(I1263,[2]categories!$A$2:$B$8,2,0)</f>
        <v>Cruisers Bicycles</v>
      </c>
    </row>
    <row r="1264" spans="1:10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0.07</v>
      </c>
      <c r="G1264" s="1">
        <f t="shared" si="19"/>
        <v>511.4907</v>
      </c>
      <c r="H1264" t="str">
        <f>VLOOKUP(C1264,[1]products!$A:$B,2,0)</f>
        <v>Electra Townie Original 21D - 2016</v>
      </c>
      <c r="I1264">
        <f>VLOOKUP(H1264,[1]products!$B:$D,3,0)</f>
        <v>3</v>
      </c>
      <c r="J1264" t="str">
        <f>VLOOKUP(I1264,[2]categories!$A$2:$B$8,2,0)</f>
        <v>Cruisers Bicycles</v>
      </c>
    </row>
    <row r="1265" spans="1:10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 s="1">
        <f t="shared" si="19"/>
        <v>1188.891</v>
      </c>
      <c r="H1265" t="str">
        <f>VLOOKUP(C1265,[1]products!$A:$B,2,0)</f>
        <v>Heller Shagamaw Frame - 2016</v>
      </c>
      <c r="I1265">
        <f>VLOOKUP(H1265,[1]products!$B:$D,3,0)</f>
        <v>6</v>
      </c>
      <c r="J1265" t="str">
        <f>VLOOKUP(I1265,[2]categories!$A$2:$B$8,2,0)</f>
        <v>Mountain Bikes</v>
      </c>
    </row>
    <row r="1266" spans="1:10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 s="1">
        <f t="shared" si="19"/>
        <v>512.981</v>
      </c>
      <c r="H1266" t="str">
        <f>VLOOKUP(C1266,[1]products!$A:$B,2,0)</f>
        <v>Electra Girl's Hawaii 1 (16-inch) - 2015/2016</v>
      </c>
      <c r="I1266">
        <f>VLOOKUP(H1266,[1]products!$B:$D,3,0)</f>
        <v>3</v>
      </c>
      <c r="J1266" t="str">
        <f>VLOOKUP(I1266,[2]categories!$A$2:$B$8,2,0)</f>
        <v>Cruisers Bicycles</v>
      </c>
    </row>
    <row r="1267" spans="1:10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 s="1">
        <f t="shared" si="19"/>
        <v>1596.9405</v>
      </c>
      <c r="H1267" t="str">
        <f>VLOOKUP(C1267,[1]products!$A:$B,2,0)</f>
        <v>Surly Straggler 650b - 2016</v>
      </c>
      <c r="I1267">
        <f>VLOOKUP(H1267,[1]products!$B:$D,3,0)</f>
        <v>4</v>
      </c>
      <c r="J1267" t="str">
        <f>VLOOKUP(I1267,[2]categories!$A$2:$B$8,2,0)</f>
        <v>Cyclocross Bicycles</v>
      </c>
    </row>
    <row r="1268" spans="1:10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 s="1">
        <f t="shared" si="19"/>
        <v>569.9905</v>
      </c>
      <c r="H1268" t="str">
        <f>VLOOKUP(C1268,[1]products!$A:$B,2,0)</f>
        <v>Electra Townie Original 7D EQ - 2016</v>
      </c>
      <c r="I1268">
        <f>VLOOKUP(H1268,[1]products!$B:$D,3,0)</f>
        <v>3</v>
      </c>
      <c r="J1268" t="str">
        <f>VLOOKUP(I1268,[2]categories!$A$2:$B$8,2,0)</f>
        <v>Cruisers Bicycles</v>
      </c>
    </row>
    <row r="1269" spans="1:10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 s="1">
        <f t="shared" si="19"/>
        <v>7199.982</v>
      </c>
      <c r="H1269" t="str">
        <f>VLOOKUP(C1269,[1]products!$A:$B,2,0)</f>
        <v>Trek Slash 8 27.5 - 2016</v>
      </c>
      <c r="I1269">
        <f>VLOOKUP(H1269,[1]products!$B:$D,3,0)</f>
        <v>6</v>
      </c>
      <c r="J1269" t="str">
        <f>VLOOKUP(I1269,[2]categories!$A$2:$B$8,2,0)</f>
        <v>Mountain Bikes</v>
      </c>
    </row>
    <row r="1270" spans="1:10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 s="1">
        <f t="shared" si="19"/>
        <v>1619.991</v>
      </c>
      <c r="H1270" t="str">
        <f>VLOOKUP(C1270,[1]products!$A:$B,2,0)</f>
        <v>Trek Remedy 29 Carbon Frameset - 2016</v>
      </c>
      <c r="I1270">
        <f>VLOOKUP(H1270,[1]products!$B:$D,3,0)</f>
        <v>6</v>
      </c>
      <c r="J1270" t="str">
        <f>VLOOKUP(I1270,[2]categories!$A$2:$B$8,2,0)</f>
        <v>Mountain Bikes</v>
      </c>
    </row>
    <row r="1271" spans="1:10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 s="1">
        <f t="shared" si="19"/>
        <v>284.9905</v>
      </c>
      <c r="H1271" t="str">
        <f>VLOOKUP(C1271,[1]products!$A:$B,2,0)</f>
        <v>Electra Girl's Hawaii 1 (20-inch) - 2015/2016</v>
      </c>
      <c r="I1271">
        <f>VLOOKUP(H1271,[1]products!$B:$D,3,0)</f>
        <v>1</v>
      </c>
      <c r="J1271" t="str">
        <f>VLOOKUP(I1271,[2]categories!$A$2:$B$8,2,0)</f>
        <v>Children Bicycles</v>
      </c>
    </row>
    <row r="1272" spans="1:10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 s="1">
        <f t="shared" si="19"/>
        <v>959.984</v>
      </c>
      <c r="H1272" t="str">
        <f>VLOOKUP(C1272,[1]products!$A:$B,2,0)</f>
        <v>Electra Townie Original 7D EQ - Women's - 2016</v>
      </c>
      <c r="I1272">
        <f>VLOOKUP(H1272,[1]products!$B:$D,3,0)</f>
        <v>3</v>
      </c>
      <c r="J1272" t="str">
        <f>VLOOKUP(I1272,[2]categories!$A$2:$B$8,2,0)</f>
        <v>Cruisers Bicycles</v>
      </c>
    </row>
    <row r="1273" spans="1:10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 s="1">
        <f t="shared" si="19"/>
        <v>2319.992</v>
      </c>
      <c r="H1273" t="str">
        <f>VLOOKUP(C1273,[1]products!$A:$B,2,0)</f>
        <v>Trek Fuel EX 8 29 - 2016</v>
      </c>
      <c r="I1273">
        <f>VLOOKUP(H1273,[1]products!$B:$D,3,0)</f>
        <v>6</v>
      </c>
      <c r="J1273" t="str">
        <f>VLOOKUP(I1273,[2]categories!$A$2:$B$8,2,0)</f>
        <v>Mountain Bikes</v>
      </c>
    </row>
    <row r="1274" spans="1:10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0.07</v>
      </c>
      <c r="G1274" s="1">
        <f t="shared" si="19"/>
        <v>929.9814</v>
      </c>
      <c r="H1274" t="str">
        <f>VLOOKUP(C1274,[1]products!$A:$B,2,0)</f>
        <v>Electra Townie Original 7D - 2015/2016</v>
      </c>
      <c r="I1274">
        <f>VLOOKUP(H1274,[1]products!$B:$D,3,0)</f>
        <v>2</v>
      </c>
      <c r="J1274" t="str">
        <f>VLOOKUP(I1274,[2]categories!$A$2:$B$8,2,0)</f>
        <v>Comfort Bicycles</v>
      </c>
    </row>
    <row r="1275" spans="1:10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 s="1">
        <f t="shared" si="19"/>
        <v>512.981</v>
      </c>
      <c r="H1275" t="str">
        <f>VLOOKUP(C1275,[1]products!$A:$B,2,0)</f>
        <v>Electra Cruiser 1 (24-Inch) - 2016</v>
      </c>
      <c r="I1275">
        <f>VLOOKUP(H1275,[1]products!$B:$D,3,0)</f>
        <v>3</v>
      </c>
      <c r="J1275" t="str">
        <f>VLOOKUP(I1275,[2]categories!$A$2:$B$8,2,0)</f>
        <v>Cruisers Bicycles</v>
      </c>
    </row>
    <row r="1276" spans="1:10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 s="1">
        <f t="shared" si="19"/>
        <v>989.982</v>
      </c>
      <c r="H1276" t="str">
        <f>VLOOKUP(C1276,[1]products!$A:$B,2,0)</f>
        <v>Electra Townie Original 21D - 2016</v>
      </c>
      <c r="I1276">
        <f>VLOOKUP(H1276,[1]products!$B:$D,3,0)</f>
        <v>3</v>
      </c>
      <c r="J1276" t="str">
        <f>VLOOKUP(I1276,[2]categories!$A$2:$B$8,2,0)</f>
        <v>Cruisers Bicycles</v>
      </c>
    </row>
    <row r="1277" spans="1:10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 s="1">
        <f t="shared" si="19"/>
        <v>2849.9905</v>
      </c>
      <c r="H1277" t="str">
        <f>VLOOKUP(C1277,[1]products!$A:$B,2,0)</f>
        <v>Trek Conduit+ - 2016</v>
      </c>
      <c r="I1277">
        <f>VLOOKUP(H1277,[1]products!$B:$D,3,0)</f>
        <v>5</v>
      </c>
      <c r="J1277" t="str">
        <f>VLOOKUP(I1277,[2]categories!$A$2:$B$8,2,0)</f>
        <v>Electric Bikes</v>
      </c>
    </row>
    <row r="1278" spans="1:10">
      <c r="A1278">
        <v>456</v>
      </c>
      <c r="B1278">
        <v>1</v>
      </c>
      <c r="C1278">
        <v>17</v>
      </c>
      <c r="D1278">
        <v>2</v>
      </c>
      <c r="E1278">
        <v>429</v>
      </c>
      <c r="F1278">
        <v>0.07</v>
      </c>
      <c r="G1278" s="1">
        <f t="shared" si="19"/>
        <v>797.94</v>
      </c>
      <c r="H1278" t="str">
        <f>VLOOKUP(C1278,[1]products!$A:$B,2,0)</f>
        <v>Pure Cycles Vine 8-Speed - 2016</v>
      </c>
      <c r="I1278">
        <f>VLOOKUP(H1278,[1]products!$B:$D,3,0)</f>
        <v>3</v>
      </c>
      <c r="J1278" t="str">
        <f>VLOOKUP(I1278,[2]categories!$A$2:$B$8,2,0)</f>
        <v>Cruisers Bicycles</v>
      </c>
    </row>
    <row r="1279" spans="1:10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0.07</v>
      </c>
      <c r="G1279" s="1">
        <f t="shared" si="19"/>
        <v>278.9907</v>
      </c>
      <c r="H1279" t="str">
        <f>VLOOKUP(C1279,[1]products!$A:$B,2,0)</f>
        <v>Electra Girl's Hawaii 1 (20-inch) - 2015/2016</v>
      </c>
      <c r="I1279">
        <f>VLOOKUP(H1279,[1]products!$B:$D,3,0)</f>
        <v>1</v>
      </c>
      <c r="J1279" t="str">
        <f>VLOOKUP(I1279,[2]categories!$A$2:$B$8,2,0)</f>
        <v>Children Bicycles</v>
      </c>
    </row>
    <row r="1280" spans="1:10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0.07</v>
      </c>
      <c r="G1280" s="1">
        <f t="shared" si="19"/>
        <v>1022.9814</v>
      </c>
      <c r="H1280" t="str">
        <f>VLOOKUP(C1280,[1]products!$A:$B,2,0)</f>
        <v>Electra Townie Original 21D - 2016</v>
      </c>
      <c r="I1280">
        <f>VLOOKUP(H1280,[1]products!$B:$D,3,0)</f>
        <v>3</v>
      </c>
      <c r="J1280" t="str">
        <f>VLOOKUP(I1280,[2]categories!$A$2:$B$8,2,0)</f>
        <v>Cruisers Bicycles</v>
      </c>
    </row>
    <row r="1281" spans="1:10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 s="1">
        <f t="shared" si="19"/>
        <v>712.4905</v>
      </c>
      <c r="H1281" t="str">
        <f>VLOOKUP(C1281,[1]products!$A:$B,2,0)</f>
        <v>Ritchey Timberwolf Frameset - 2016</v>
      </c>
      <c r="I1281">
        <f>VLOOKUP(H1281,[1]products!$B:$D,3,0)</f>
        <v>6</v>
      </c>
      <c r="J1281" t="str">
        <f>VLOOKUP(I1281,[2]categories!$A$2:$B$8,2,0)</f>
        <v>Mountain Bikes</v>
      </c>
    </row>
    <row r="1282" spans="1:10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 s="1">
        <f t="shared" ref="G1282:G1345" si="20">D1282*E1282*(1-F1282)</f>
        <v>7199.982</v>
      </c>
      <c r="H1282" t="str">
        <f>VLOOKUP(C1282,[1]products!$A:$B,2,0)</f>
        <v>Trek Slash 8 27.5 - 2016</v>
      </c>
      <c r="I1282">
        <f>VLOOKUP(H1282,[1]products!$B:$D,3,0)</f>
        <v>6</v>
      </c>
      <c r="J1282" t="str">
        <f>VLOOKUP(I1282,[2]categories!$A$2:$B$8,2,0)</f>
        <v>Mountain Bikes</v>
      </c>
    </row>
    <row r="1283" spans="1:10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 s="1">
        <f t="shared" si="20"/>
        <v>343.2</v>
      </c>
      <c r="H1283" t="str">
        <f>VLOOKUP(C1283,[1]products!$A:$B,2,0)</f>
        <v>Pure Cycles Vine 8-Speed - 2016</v>
      </c>
      <c r="I1283">
        <f>VLOOKUP(H1283,[1]products!$B:$D,3,0)</f>
        <v>3</v>
      </c>
      <c r="J1283" t="str">
        <f>VLOOKUP(I1283,[2]categories!$A$2:$B$8,2,0)</f>
        <v>Cruisers Bicycles</v>
      </c>
    </row>
    <row r="1284" spans="1:10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 s="1">
        <f t="shared" si="20"/>
        <v>599.992</v>
      </c>
      <c r="H1284" t="str">
        <f>VLOOKUP(C1284,[1]products!$A:$B,2,0)</f>
        <v>Ritchey Timberwolf Frameset - 2016</v>
      </c>
      <c r="I1284">
        <f>VLOOKUP(H1284,[1]products!$B:$D,3,0)</f>
        <v>6</v>
      </c>
      <c r="J1284" t="str">
        <f>VLOOKUP(I1284,[2]categories!$A$2:$B$8,2,0)</f>
        <v>Mountain Bikes</v>
      </c>
    </row>
    <row r="1285" spans="1:10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0.07</v>
      </c>
      <c r="G1285" s="1">
        <f t="shared" si="20"/>
        <v>502.1814</v>
      </c>
      <c r="H1285" t="str">
        <f>VLOOKUP(C1285,[1]products!$A:$B,2,0)</f>
        <v>Electra Cruiser 1 (24-Inch) - 2016</v>
      </c>
      <c r="I1285">
        <f>VLOOKUP(H1285,[1]products!$B:$D,3,0)</f>
        <v>3</v>
      </c>
      <c r="J1285" t="str">
        <f>VLOOKUP(I1285,[2]categories!$A$2:$B$8,2,0)</f>
        <v>Cruisers Bicycles</v>
      </c>
    </row>
    <row r="1286" spans="1:10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 s="1">
        <f t="shared" si="20"/>
        <v>1512.891</v>
      </c>
      <c r="H1286" t="str">
        <f>VLOOKUP(C1286,[1]products!$A:$B,2,0)</f>
        <v>Surly Straggler 650b - 2016</v>
      </c>
      <c r="I1286">
        <f>VLOOKUP(H1286,[1]products!$B:$D,3,0)</f>
        <v>4</v>
      </c>
      <c r="J1286" t="str">
        <f>VLOOKUP(I1286,[2]categories!$A$2:$B$8,2,0)</f>
        <v>Cyclocross Bicycles</v>
      </c>
    </row>
    <row r="1287" spans="1:10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 s="1">
        <f t="shared" si="20"/>
        <v>439.992</v>
      </c>
      <c r="H1287" t="str">
        <f>VLOOKUP(C1287,[1]products!$A:$B,2,0)</f>
        <v>Electra Townie Original 21D - 2016</v>
      </c>
      <c r="I1287">
        <f>VLOOKUP(H1287,[1]products!$B:$D,3,0)</f>
        <v>3</v>
      </c>
      <c r="J1287" t="str">
        <f>VLOOKUP(I1287,[2]categories!$A$2:$B$8,2,0)</f>
        <v>Cruisers Bicycles</v>
      </c>
    </row>
    <row r="1288" spans="1:10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 s="1">
        <f t="shared" si="20"/>
        <v>1599.984</v>
      </c>
      <c r="H1288" t="str">
        <f>VLOOKUP(C1288,[1]products!$A:$B,2,0)</f>
        <v>Surly Wednesday Frameset - 2016</v>
      </c>
      <c r="I1288">
        <f>VLOOKUP(H1288,[1]products!$B:$D,3,0)</f>
        <v>6</v>
      </c>
      <c r="J1288" t="str">
        <f>VLOOKUP(I1288,[2]categories!$A$2:$B$8,2,0)</f>
        <v>Mountain Bikes</v>
      </c>
    </row>
    <row r="1289" spans="1:10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 s="1">
        <f t="shared" si="20"/>
        <v>1344.792</v>
      </c>
      <c r="H1289" t="str">
        <f>VLOOKUP(C1289,[1]products!$A:$B,2,0)</f>
        <v>Surly Straggler 650b - 2016</v>
      </c>
      <c r="I1289">
        <f>VLOOKUP(H1289,[1]products!$B:$D,3,0)</f>
        <v>4</v>
      </c>
      <c r="J1289" t="str">
        <f>VLOOKUP(I1289,[2]categories!$A$2:$B$8,2,0)</f>
        <v>Cyclocross Bicycles</v>
      </c>
    </row>
    <row r="1290" spans="1:10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 s="1">
        <f t="shared" si="20"/>
        <v>426.55</v>
      </c>
      <c r="H1290" t="str">
        <f>VLOOKUP(C1290,[1]products!$A:$B,2,0)</f>
        <v>Pure Cycles William 3-Speed - 2016</v>
      </c>
      <c r="I1290">
        <f>VLOOKUP(H1290,[1]products!$B:$D,3,0)</f>
        <v>3</v>
      </c>
      <c r="J1290" t="str">
        <f>VLOOKUP(I1290,[2]categories!$A$2:$B$8,2,0)</f>
        <v>Cruisers Bicycles</v>
      </c>
    </row>
    <row r="1291" spans="1:10">
      <c r="A1291">
        <v>460</v>
      </c>
      <c r="B1291">
        <v>2</v>
      </c>
      <c r="C1291">
        <v>18</v>
      </c>
      <c r="D1291">
        <v>2</v>
      </c>
      <c r="E1291">
        <v>449</v>
      </c>
      <c r="F1291">
        <v>0.07</v>
      </c>
      <c r="G1291" s="1">
        <f t="shared" si="20"/>
        <v>835.14</v>
      </c>
      <c r="H1291" t="str">
        <f>VLOOKUP(C1291,[1]products!$A:$B,2,0)</f>
        <v>Pure Cycles Western 3-Speed - Women's - 2015/2016</v>
      </c>
      <c r="I1291">
        <f>VLOOKUP(H1291,[1]products!$B:$D,3,0)</f>
        <v>3</v>
      </c>
      <c r="J1291" t="str">
        <f>VLOOKUP(I1291,[2]categories!$A$2:$B$8,2,0)</f>
        <v>Cruisers Bicycles</v>
      </c>
    </row>
    <row r="1292" spans="1:10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 s="1">
        <f t="shared" si="20"/>
        <v>2319.992</v>
      </c>
      <c r="H1292" t="str">
        <f>VLOOKUP(C1292,[1]products!$A:$B,2,0)</f>
        <v>Trek Fuel EX 8 29 - 2016</v>
      </c>
      <c r="I1292">
        <f>VLOOKUP(H1292,[1]products!$B:$D,3,0)</f>
        <v>6</v>
      </c>
      <c r="J1292" t="str">
        <f>VLOOKUP(I1292,[2]categories!$A$2:$B$8,2,0)</f>
        <v>Mountain Bikes</v>
      </c>
    </row>
    <row r="1293" spans="1:10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 s="1">
        <f t="shared" si="20"/>
        <v>485.982</v>
      </c>
      <c r="H1293" t="str">
        <f>VLOOKUP(C1293,[1]products!$A:$B,2,0)</f>
        <v>Electra Girl's Hawaii 1 (16-inch) - 2015/2016</v>
      </c>
      <c r="I1293">
        <f>VLOOKUP(H1293,[1]products!$B:$D,3,0)</f>
        <v>3</v>
      </c>
      <c r="J1293" t="str">
        <f>VLOOKUP(I1293,[2]categories!$A$2:$B$8,2,0)</f>
        <v>Cruisers Bicycles</v>
      </c>
    </row>
    <row r="1294" spans="1:10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0.07</v>
      </c>
      <c r="G1294" s="1">
        <f t="shared" si="20"/>
        <v>557.9907</v>
      </c>
      <c r="H1294" t="str">
        <f>VLOOKUP(C1294,[1]products!$A:$B,2,0)</f>
        <v>Electra Townie Original 7D EQ - 2016</v>
      </c>
      <c r="I1294">
        <f>VLOOKUP(H1294,[1]products!$B:$D,3,0)</f>
        <v>3</v>
      </c>
      <c r="J1294" t="str">
        <f>VLOOKUP(I1294,[2]categories!$A$2:$B$8,2,0)</f>
        <v>Cruisers Bicycles</v>
      </c>
    </row>
    <row r="1295" spans="1:10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 s="1">
        <f t="shared" si="20"/>
        <v>2319.992</v>
      </c>
      <c r="H1295" t="str">
        <f>VLOOKUP(C1295,[1]products!$A:$B,2,0)</f>
        <v>Trek Fuel EX 8 29 - 2016</v>
      </c>
      <c r="I1295">
        <f>VLOOKUP(H1295,[1]products!$B:$D,3,0)</f>
        <v>6</v>
      </c>
      <c r="J1295" t="str">
        <f>VLOOKUP(I1295,[2]categories!$A$2:$B$8,2,0)</f>
        <v>Mountain Bikes</v>
      </c>
    </row>
    <row r="1296" spans="1:10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 s="1">
        <f t="shared" si="20"/>
        <v>3419.981</v>
      </c>
      <c r="H1296" t="str">
        <f>VLOOKUP(C1296,[1]products!$A:$B,2,0)</f>
        <v>Trek Remedy 29 Carbon Frameset - 2016</v>
      </c>
      <c r="I1296">
        <f>VLOOKUP(H1296,[1]products!$B:$D,3,0)</f>
        <v>6</v>
      </c>
      <c r="J1296" t="str">
        <f>VLOOKUP(I1296,[2]categories!$A$2:$B$8,2,0)</f>
        <v>Mountain Bikes</v>
      </c>
    </row>
    <row r="1297" spans="1:10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 s="1">
        <f t="shared" si="20"/>
        <v>494.991</v>
      </c>
      <c r="H1297" t="str">
        <f>VLOOKUP(C1297,[1]products!$A:$B,2,0)</f>
        <v>Electra Townie Original 21D - 2016</v>
      </c>
      <c r="I1297">
        <f>VLOOKUP(H1297,[1]products!$B:$D,3,0)</f>
        <v>3</v>
      </c>
      <c r="J1297" t="str">
        <f>VLOOKUP(I1297,[2]categories!$A$2:$B$8,2,0)</f>
        <v>Cruisers Bicycles</v>
      </c>
    </row>
    <row r="1298" spans="1:10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 s="1">
        <f t="shared" si="20"/>
        <v>808.2</v>
      </c>
      <c r="H1298" t="str">
        <f>VLOOKUP(C1298,[1]products!$A:$B,2,0)</f>
        <v>Pure Cycles Western 3-Speed - Women's - 2015/2016</v>
      </c>
      <c r="I1298">
        <f>VLOOKUP(H1298,[1]products!$B:$D,3,0)</f>
        <v>3</v>
      </c>
      <c r="J1298" t="str">
        <f>VLOOKUP(I1298,[2]categories!$A$2:$B$8,2,0)</f>
        <v>Cruisers Bicycles</v>
      </c>
    </row>
    <row r="1299" spans="1:10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 s="1">
        <f t="shared" si="20"/>
        <v>989.982</v>
      </c>
      <c r="H1299" t="str">
        <f>VLOOKUP(C1299,[1]products!$A:$B,2,0)</f>
        <v>Electra Townie Original 21D - 2016</v>
      </c>
      <c r="I1299">
        <f>VLOOKUP(H1299,[1]products!$B:$D,3,0)</f>
        <v>3</v>
      </c>
      <c r="J1299" t="str">
        <f>VLOOKUP(I1299,[2]categories!$A$2:$B$8,2,0)</f>
        <v>Cruisers Bicycles</v>
      </c>
    </row>
    <row r="1300" spans="1:10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0.07</v>
      </c>
      <c r="G1300" s="1">
        <f t="shared" si="20"/>
        <v>502.1814</v>
      </c>
      <c r="H1300" t="str">
        <f>VLOOKUP(C1300,[1]products!$A:$B,2,0)</f>
        <v>Electra Cruiser 1 (24-Inch) - 2016</v>
      </c>
      <c r="I1300">
        <f>VLOOKUP(H1300,[1]products!$B:$D,3,0)</f>
        <v>3</v>
      </c>
      <c r="J1300" t="str">
        <f>VLOOKUP(I1300,[2]categories!$A$2:$B$8,2,0)</f>
        <v>Cruisers Bicycles</v>
      </c>
    </row>
    <row r="1301" spans="1:10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 s="1">
        <f t="shared" si="20"/>
        <v>3599.991</v>
      </c>
      <c r="H1301" t="str">
        <f>VLOOKUP(C1301,[1]products!$A:$B,2,0)</f>
        <v>Trek Slash 8 27.5 - 2016</v>
      </c>
      <c r="I1301">
        <f>VLOOKUP(H1301,[1]products!$B:$D,3,0)</f>
        <v>6</v>
      </c>
      <c r="J1301" t="str">
        <f>VLOOKUP(I1301,[2]categories!$A$2:$B$8,2,0)</f>
        <v>Mountain Bikes</v>
      </c>
    </row>
    <row r="1302" spans="1:10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 s="1">
        <f t="shared" si="20"/>
        <v>845.982</v>
      </c>
      <c r="H1302" t="str">
        <f>VLOOKUP(C1302,[1]products!$A:$B,2,0)</f>
        <v>Surly Ice Cream Truck Frameset - 2016</v>
      </c>
      <c r="I1302">
        <f>VLOOKUP(H1302,[1]products!$B:$D,3,0)</f>
        <v>6</v>
      </c>
      <c r="J1302" t="str">
        <f>VLOOKUP(I1302,[2]categories!$A$2:$B$8,2,0)</f>
        <v>Mountain Bikes</v>
      </c>
    </row>
    <row r="1303" spans="1:10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 s="1">
        <f t="shared" si="20"/>
        <v>899.982</v>
      </c>
      <c r="H1303" t="str">
        <f>VLOOKUP(C1303,[1]products!$A:$B,2,0)</f>
        <v>Electra Townie Original 7D - 2015/2016</v>
      </c>
      <c r="I1303">
        <f>VLOOKUP(H1303,[1]products!$B:$D,3,0)</f>
        <v>2</v>
      </c>
      <c r="J1303" t="str">
        <f>VLOOKUP(I1303,[2]categories!$A$2:$B$8,2,0)</f>
        <v>Comfort Bicycles</v>
      </c>
    </row>
    <row r="1304" spans="1:10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 s="1">
        <f t="shared" si="20"/>
        <v>718.4</v>
      </c>
      <c r="H1304" t="str">
        <f>VLOOKUP(C1304,[1]products!$A:$B,2,0)</f>
        <v>Pure Cycles William 3-Speed - 2016</v>
      </c>
      <c r="I1304">
        <f>VLOOKUP(H1304,[1]products!$B:$D,3,0)</f>
        <v>3</v>
      </c>
      <c r="J1304" t="str">
        <f>VLOOKUP(I1304,[2]categories!$A$2:$B$8,2,0)</f>
        <v>Cruisers Bicycles</v>
      </c>
    </row>
    <row r="1305" spans="1:10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 s="1">
        <f t="shared" si="20"/>
        <v>375.992</v>
      </c>
      <c r="H1305" t="str">
        <f>VLOOKUP(C1305,[1]products!$A:$B,2,0)</f>
        <v>Surly Ice Cream Truck Frameset - 2016</v>
      </c>
      <c r="I1305">
        <f>VLOOKUP(H1305,[1]products!$B:$D,3,0)</f>
        <v>6</v>
      </c>
      <c r="J1305" t="str">
        <f>VLOOKUP(I1305,[2]categories!$A$2:$B$8,2,0)</f>
        <v>Mountain Bikes</v>
      </c>
    </row>
    <row r="1306" spans="1:10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 s="1">
        <f t="shared" si="20"/>
        <v>7599.981</v>
      </c>
      <c r="H1306" t="str">
        <f>VLOOKUP(C1306,[1]products!$A:$B,2,0)</f>
        <v>Trek Slash 8 27.5 - 2016</v>
      </c>
      <c r="I1306">
        <f>VLOOKUP(H1306,[1]products!$B:$D,3,0)</f>
        <v>6</v>
      </c>
      <c r="J1306" t="str">
        <f>VLOOKUP(I1306,[2]categories!$A$2:$B$8,2,0)</f>
        <v>Mountain Bikes</v>
      </c>
    </row>
    <row r="1307" spans="1:10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 s="1">
        <f t="shared" si="20"/>
        <v>476.991</v>
      </c>
      <c r="H1307" t="str">
        <f>VLOOKUP(C1307,[1]products!$A:$B,2,0)</f>
        <v>Electra Moto 1 - 2016</v>
      </c>
      <c r="I1307">
        <f>VLOOKUP(H1307,[1]products!$B:$D,3,0)</f>
        <v>3</v>
      </c>
      <c r="J1307" t="str">
        <f>VLOOKUP(I1307,[2]categories!$A$2:$B$8,2,0)</f>
        <v>Cruisers Bicycles</v>
      </c>
    </row>
    <row r="1308" spans="1:10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 s="1">
        <f t="shared" si="20"/>
        <v>1188.891</v>
      </c>
      <c r="H1308" t="str">
        <f>VLOOKUP(C1308,[1]products!$A:$B,2,0)</f>
        <v>Heller Shagamaw Frame - 2016</v>
      </c>
      <c r="I1308">
        <f>VLOOKUP(H1308,[1]products!$B:$D,3,0)</f>
        <v>6</v>
      </c>
      <c r="J1308" t="str">
        <f>VLOOKUP(I1308,[2]categories!$A$2:$B$8,2,0)</f>
        <v>Mountain Bikes</v>
      </c>
    </row>
    <row r="1309" spans="1:10">
      <c r="A1309">
        <v>467</v>
      </c>
      <c r="B1309">
        <v>1</v>
      </c>
      <c r="C1309">
        <v>19</v>
      </c>
      <c r="D1309">
        <v>1</v>
      </c>
      <c r="E1309">
        <v>449</v>
      </c>
      <c r="F1309">
        <v>0.07</v>
      </c>
      <c r="G1309" s="1">
        <f t="shared" si="20"/>
        <v>417.57</v>
      </c>
      <c r="H1309" t="str">
        <f>VLOOKUP(C1309,[1]products!$A:$B,2,0)</f>
        <v>Pure Cycles William 3-Speed - 2016</v>
      </c>
      <c r="I1309">
        <f>VLOOKUP(H1309,[1]products!$B:$D,3,0)</f>
        <v>3</v>
      </c>
      <c r="J1309" t="str">
        <f>VLOOKUP(I1309,[2]categories!$A$2:$B$8,2,0)</f>
        <v>Cruisers Bicycles</v>
      </c>
    </row>
    <row r="1310" spans="1:10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0.07</v>
      </c>
      <c r="G1310" s="1">
        <f t="shared" si="20"/>
        <v>1440.57</v>
      </c>
      <c r="H1310" t="str">
        <f>VLOOKUP(C1310,[1]products!$A:$B,2,0)</f>
        <v>Surly Straggler - 2016</v>
      </c>
      <c r="I1310">
        <f>VLOOKUP(H1310,[1]products!$B:$D,3,0)</f>
        <v>4</v>
      </c>
      <c r="J1310" t="str">
        <f>VLOOKUP(I1310,[2]categories!$A$2:$B$8,2,0)</f>
        <v>Cyclocross Bicycles</v>
      </c>
    </row>
    <row r="1311" spans="1:10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 s="1">
        <f t="shared" si="20"/>
        <v>485.982</v>
      </c>
      <c r="H1311" t="str">
        <f>VLOOKUP(C1311,[1]products!$A:$B,2,0)</f>
        <v>Electra Girl's Hawaii 1 (16-inch) - 2015/2016</v>
      </c>
      <c r="I1311">
        <f>VLOOKUP(H1311,[1]products!$B:$D,3,0)</f>
        <v>3</v>
      </c>
      <c r="J1311" t="str">
        <f>VLOOKUP(I1311,[2]categories!$A$2:$B$8,2,0)</f>
        <v>Cruisers Bicycles</v>
      </c>
    </row>
    <row r="1312" spans="1:10">
      <c r="A1312">
        <v>467</v>
      </c>
      <c r="B1312">
        <v>4</v>
      </c>
      <c r="C1312">
        <v>17</v>
      </c>
      <c r="D1312">
        <v>2</v>
      </c>
      <c r="E1312">
        <v>429</v>
      </c>
      <c r="F1312">
        <v>0.07</v>
      </c>
      <c r="G1312" s="1">
        <f t="shared" si="20"/>
        <v>797.94</v>
      </c>
      <c r="H1312" t="str">
        <f>VLOOKUP(C1312,[1]products!$A:$B,2,0)</f>
        <v>Pure Cycles Vine 8-Speed - 2016</v>
      </c>
      <c r="I1312">
        <f>VLOOKUP(H1312,[1]products!$B:$D,3,0)</f>
        <v>3</v>
      </c>
      <c r="J1312" t="str">
        <f>VLOOKUP(I1312,[2]categories!$A$2:$B$8,2,0)</f>
        <v>Cruisers Bicycles</v>
      </c>
    </row>
    <row r="1313" spans="1:10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 s="1">
        <f t="shared" si="20"/>
        <v>1512.891</v>
      </c>
      <c r="H1313" t="str">
        <f>VLOOKUP(C1313,[1]products!$A:$B,2,0)</f>
        <v>Surly Straggler 650b - 2016</v>
      </c>
      <c r="I1313">
        <f>VLOOKUP(H1313,[1]products!$B:$D,3,0)</f>
        <v>4</v>
      </c>
      <c r="J1313" t="str">
        <f>VLOOKUP(I1313,[2]categories!$A$2:$B$8,2,0)</f>
        <v>Cyclocross Bicycles</v>
      </c>
    </row>
    <row r="1314" spans="1:10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 s="1">
        <f t="shared" si="20"/>
        <v>404.1</v>
      </c>
      <c r="H1314" t="str">
        <f>VLOOKUP(C1314,[1]products!$A:$B,2,0)</f>
        <v>Pure Cycles William 3-Speed - 2016</v>
      </c>
      <c r="I1314">
        <f>VLOOKUP(H1314,[1]products!$B:$D,3,0)</f>
        <v>3</v>
      </c>
      <c r="J1314" t="str">
        <f>VLOOKUP(I1314,[2]categories!$A$2:$B$8,2,0)</f>
        <v>Cruisers Bicycles</v>
      </c>
    </row>
    <row r="1315" spans="1:10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 s="1">
        <f t="shared" si="20"/>
        <v>5699.981</v>
      </c>
      <c r="H1315" t="str">
        <f>VLOOKUP(C1315,[1]products!$A:$B,2,0)</f>
        <v>Trek Conduit+ - 2016</v>
      </c>
      <c r="I1315">
        <f>VLOOKUP(H1315,[1]products!$B:$D,3,0)</f>
        <v>5</v>
      </c>
      <c r="J1315" t="str">
        <f>VLOOKUP(I1315,[2]categories!$A$2:$B$8,2,0)</f>
        <v>Electric Bikes</v>
      </c>
    </row>
    <row r="1316" spans="1:10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 s="1">
        <f t="shared" si="20"/>
        <v>2943.1</v>
      </c>
      <c r="H1316" t="str">
        <f>VLOOKUP(C1316,[1]products!$A:$B,2,0)</f>
        <v>Surly Straggler - 2016</v>
      </c>
      <c r="I1316">
        <f>VLOOKUP(H1316,[1]products!$B:$D,3,0)</f>
        <v>4</v>
      </c>
      <c r="J1316" t="str">
        <f>VLOOKUP(I1316,[2]categories!$A$2:$B$8,2,0)</f>
        <v>Cyclocross Bicycles</v>
      </c>
    </row>
    <row r="1317" spans="1:10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 s="1">
        <f t="shared" si="20"/>
        <v>449.991</v>
      </c>
      <c r="H1317" t="str">
        <f>VLOOKUP(C1317,[1]products!$A:$B,2,0)</f>
        <v>Electra Townie Original 7D - 2015/2016</v>
      </c>
      <c r="I1317">
        <f>VLOOKUP(H1317,[1]products!$B:$D,3,0)</f>
        <v>2</v>
      </c>
      <c r="J1317" t="str">
        <f>VLOOKUP(I1317,[2]categories!$A$2:$B$8,2,0)</f>
        <v>Comfort Bicycles</v>
      </c>
    </row>
    <row r="1318" spans="1:10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 s="1">
        <f t="shared" si="20"/>
        <v>3239.982</v>
      </c>
      <c r="H1318" t="str">
        <f>VLOOKUP(C1318,[1]products!$A:$B,2,0)</f>
        <v>Trek Remedy 29 Carbon Frameset - 2016</v>
      </c>
      <c r="I1318">
        <f>VLOOKUP(H1318,[1]products!$B:$D,3,0)</f>
        <v>6</v>
      </c>
      <c r="J1318" t="str">
        <f>VLOOKUP(I1318,[2]categories!$A$2:$B$8,2,0)</f>
        <v>Mountain Bikes</v>
      </c>
    </row>
    <row r="1319" spans="1:10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0.07</v>
      </c>
      <c r="G1319" s="1">
        <f t="shared" si="20"/>
        <v>2696.9907</v>
      </c>
      <c r="H1319" t="str">
        <f>VLOOKUP(C1319,[1]products!$A:$B,2,0)</f>
        <v>Trek Fuel EX 8 29 - 2016</v>
      </c>
      <c r="I1319">
        <f>VLOOKUP(H1319,[1]products!$B:$D,3,0)</f>
        <v>6</v>
      </c>
      <c r="J1319" t="str">
        <f>VLOOKUP(I1319,[2]categories!$A$2:$B$8,2,0)</f>
        <v>Mountain Bikes</v>
      </c>
    </row>
    <row r="1320" spans="1:10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 s="1">
        <f t="shared" si="20"/>
        <v>847.984</v>
      </c>
      <c r="H1320" t="str">
        <f>VLOOKUP(C1320,[1]products!$A:$B,2,0)</f>
        <v>Electra Moto 1 - 2016</v>
      </c>
      <c r="I1320">
        <f>VLOOKUP(H1320,[1]products!$B:$D,3,0)</f>
        <v>3</v>
      </c>
      <c r="J1320" t="str">
        <f>VLOOKUP(I1320,[2]categories!$A$2:$B$8,2,0)</f>
        <v>Cruisers Bicycles</v>
      </c>
    </row>
    <row r="1321" spans="1:10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 s="1">
        <f t="shared" si="20"/>
        <v>426.55</v>
      </c>
      <c r="H1321" t="str">
        <f>VLOOKUP(C1321,[1]products!$A:$B,2,0)</f>
        <v>Pure Cycles Western 3-Speed - Women's - 2015/2016</v>
      </c>
      <c r="I1321">
        <f>VLOOKUP(H1321,[1]products!$B:$D,3,0)</f>
        <v>3</v>
      </c>
      <c r="J1321" t="str">
        <f>VLOOKUP(I1321,[2]categories!$A$2:$B$8,2,0)</f>
        <v>Cruisers Bicycles</v>
      </c>
    </row>
    <row r="1322" spans="1:10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 s="1">
        <f t="shared" si="20"/>
        <v>256.4905</v>
      </c>
      <c r="H1322" t="str">
        <f>VLOOKUP(C1322,[1]products!$A:$B,2,0)</f>
        <v>Electra Cruiser 1 (24-Inch) - 2016</v>
      </c>
      <c r="I1322">
        <f>VLOOKUP(H1322,[1]products!$B:$D,3,0)</f>
        <v>3</v>
      </c>
      <c r="J1322" t="str">
        <f>VLOOKUP(I1322,[2]categories!$A$2:$B$8,2,0)</f>
        <v>Cruisers Bicycles</v>
      </c>
    </row>
    <row r="1323" spans="1:10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 s="1">
        <f t="shared" si="20"/>
        <v>2879.984</v>
      </c>
      <c r="H1323" t="str">
        <f>VLOOKUP(C1323,[1]products!$A:$B,2,0)</f>
        <v>Trek Remedy 29 Carbon Frameset - 2016</v>
      </c>
      <c r="I1323">
        <f>VLOOKUP(H1323,[1]products!$B:$D,3,0)</f>
        <v>6</v>
      </c>
      <c r="J1323" t="str">
        <f>VLOOKUP(I1323,[2]categories!$A$2:$B$8,2,0)</f>
        <v>Mountain Bikes</v>
      </c>
    </row>
    <row r="1324" spans="1:10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 s="1">
        <f t="shared" si="20"/>
        <v>215.992</v>
      </c>
      <c r="H1324" t="str">
        <f>VLOOKUP(C1324,[1]products!$A:$B,2,0)</f>
        <v>Electra Girl's Hawaii 1 (16-inch) - 2015/2016</v>
      </c>
      <c r="I1324">
        <f>VLOOKUP(H1324,[1]products!$B:$D,3,0)</f>
        <v>3</v>
      </c>
      <c r="J1324" t="str">
        <f>VLOOKUP(I1324,[2]categories!$A$2:$B$8,2,0)</f>
        <v>Cruisers Bicycles</v>
      </c>
    </row>
    <row r="1325" spans="1:10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 s="1">
        <f t="shared" si="20"/>
        <v>512.981</v>
      </c>
      <c r="H1325" t="str">
        <f>VLOOKUP(C1325,[1]products!$A:$B,2,0)</f>
        <v>Electra Cruiser 1 (24-Inch) - 2016</v>
      </c>
      <c r="I1325">
        <f>VLOOKUP(H1325,[1]products!$B:$D,3,0)</f>
        <v>3</v>
      </c>
      <c r="J1325" t="str">
        <f>VLOOKUP(I1325,[2]categories!$A$2:$B$8,2,0)</f>
        <v>Cruisers Bicycles</v>
      </c>
    </row>
    <row r="1326" spans="1:10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 s="1">
        <f t="shared" si="20"/>
        <v>476.991</v>
      </c>
      <c r="H1326" t="str">
        <f>VLOOKUP(C1326,[1]products!$A:$B,2,0)</f>
        <v>Electra Moto 1 - 2016</v>
      </c>
      <c r="I1326">
        <f>VLOOKUP(H1326,[1]products!$B:$D,3,0)</f>
        <v>3</v>
      </c>
      <c r="J1326" t="str">
        <f>VLOOKUP(I1326,[2]categories!$A$2:$B$8,2,0)</f>
        <v>Cruisers Bicycles</v>
      </c>
    </row>
    <row r="1327" spans="1:10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 s="1">
        <f t="shared" si="20"/>
        <v>485.982</v>
      </c>
      <c r="H1327" t="str">
        <f>VLOOKUP(C1327,[1]products!$A:$B,2,0)</f>
        <v>Electra Cruiser 1 (24-Inch) - 2016</v>
      </c>
      <c r="I1327">
        <f>VLOOKUP(H1327,[1]products!$B:$D,3,0)</f>
        <v>3</v>
      </c>
      <c r="J1327" t="str">
        <f>VLOOKUP(I1327,[2]categories!$A$2:$B$8,2,0)</f>
        <v>Cruisers Bicycles</v>
      </c>
    </row>
    <row r="1328" spans="1:10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0.07</v>
      </c>
      <c r="G1328" s="1">
        <f t="shared" si="20"/>
        <v>557.9907</v>
      </c>
      <c r="H1328" t="str">
        <f>VLOOKUP(C1328,[1]products!$A:$B,2,0)</f>
        <v>Electra Townie Original 7D EQ - 2016</v>
      </c>
      <c r="I1328">
        <f>VLOOKUP(H1328,[1]products!$B:$D,3,0)</f>
        <v>3</v>
      </c>
      <c r="J1328" t="str">
        <f>VLOOKUP(I1328,[2]categories!$A$2:$B$8,2,0)</f>
        <v>Cruisers Bicycles</v>
      </c>
    </row>
    <row r="1329" spans="1:10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 s="1">
        <f t="shared" si="20"/>
        <v>853.1</v>
      </c>
      <c r="H1329" t="str">
        <f>VLOOKUP(C1329,[1]products!$A:$B,2,0)</f>
        <v>Pure Cycles William 3-Speed - 2016</v>
      </c>
      <c r="I1329">
        <f>VLOOKUP(H1329,[1]products!$B:$D,3,0)</f>
        <v>3</v>
      </c>
      <c r="J1329" t="str">
        <f>VLOOKUP(I1329,[2]categories!$A$2:$B$8,2,0)</f>
        <v>Cruisers Bicycles</v>
      </c>
    </row>
    <row r="1330" spans="1:10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 s="1">
        <f t="shared" si="20"/>
        <v>1344.792</v>
      </c>
      <c r="H1330" t="str">
        <f>VLOOKUP(C1330,[1]products!$A:$B,2,0)</f>
        <v>Surly Straggler 650b - 2016</v>
      </c>
      <c r="I1330">
        <f>VLOOKUP(H1330,[1]products!$B:$D,3,0)</f>
        <v>4</v>
      </c>
      <c r="J1330" t="str">
        <f>VLOOKUP(I1330,[2]categories!$A$2:$B$8,2,0)</f>
        <v>Cyclocross Bicycles</v>
      </c>
    </row>
    <row r="1331" spans="1:10">
      <c r="A1331">
        <v>475</v>
      </c>
      <c r="B1331">
        <v>1</v>
      </c>
      <c r="C1331">
        <v>17</v>
      </c>
      <c r="D1331">
        <v>2</v>
      </c>
      <c r="E1331">
        <v>429</v>
      </c>
      <c r="F1331">
        <v>0.07</v>
      </c>
      <c r="G1331" s="1">
        <f t="shared" si="20"/>
        <v>797.94</v>
      </c>
      <c r="H1331" t="str">
        <f>VLOOKUP(C1331,[1]products!$A:$B,2,0)</f>
        <v>Pure Cycles Vine 8-Speed - 2016</v>
      </c>
      <c r="I1331">
        <f>VLOOKUP(H1331,[1]products!$B:$D,3,0)</f>
        <v>3</v>
      </c>
      <c r="J1331" t="str">
        <f>VLOOKUP(I1331,[2]categories!$A$2:$B$8,2,0)</f>
        <v>Cruisers Bicycles</v>
      </c>
    </row>
    <row r="1332" spans="1:10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 s="1">
        <f t="shared" si="20"/>
        <v>959.984</v>
      </c>
      <c r="H1332" t="str">
        <f>VLOOKUP(C1332,[1]products!$A:$B,2,0)</f>
        <v>Electra Townie Original 7D EQ - 2016</v>
      </c>
      <c r="I1332">
        <f>VLOOKUP(H1332,[1]products!$B:$D,3,0)</f>
        <v>3</v>
      </c>
      <c r="J1332" t="str">
        <f>VLOOKUP(I1332,[2]categories!$A$2:$B$8,2,0)</f>
        <v>Cruisers Bicycles</v>
      </c>
    </row>
    <row r="1333" spans="1:10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 s="1">
        <f t="shared" si="20"/>
        <v>399.992</v>
      </c>
      <c r="H1333" t="str">
        <f>VLOOKUP(C1333,[1]products!$A:$B,2,0)</f>
        <v>Electra Townie Original 7D - 2015/2016</v>
      </c>
      <c r="I1333">
        <f>VLOOKUP(H1333,[1]products!$B:$D,3,0)</f>
        <v>2</v>
      </c>
      <c r="J1333" t="str">
        <f>VLOOKUP(I1333,[2]categories!$A$2:$B$8,2,0)</f>
        <v>Comfort Bicycles</v>
      </c>
    </row>
    <row r="1334" spans="1:10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0.07</v>
      </c>
      <c r="G1334" s="1">
        <f t="shared" si="20"/>
        <v>502.1814</v>
      </c>
      <c r="H1334" t="str">
        <f>VLOOKUP(C1334,[1]products!$A:$B,2,0)</f>
        <v>Electra Girl's Hawaii 1 (16-inch) - 2015/2016</v>
      </c>
      <c r="I1334">
        <f>VLOOKUP(H1334,[1]products!$B:$D,3,0)</f>
        <v>3</v>
      </c>
      <c r="J1334" t="str">
        <f>VLOOKUP(I1334,[2]categories!$A$2:$B$8,2,0)</f>
        <v>Cruisers Bicycles</v>
      </c>
    </row>
    <row r="1335" spans="1:10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 s="1">
        <f t="shared" si="20"/>
        <v>4639.984</v>
      </c>
      <c r="H1335" t="str">
        <f>VLOOKUP(C1335,[1]products!$A:$B,2,0)</f>
        <v>Trek Fuel EX 8 29 - 2016</v>
      </c>
      <c r="I1335">
        <f>VLOOKUP(H1335,[1]products!$B:$D,3,0)</f>
        <v>6</v>
      </c>
      <c r="J1335" t="str">
        <f>VLOOKUP(I1335,[2]categories!$A$2:$B$8,2,0)</f>
        <v>Mountain Bikes</v>
      </c>
    </row>
    <row r="1336" spans="1:10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0.07</v>
      </c>
      <c r="G1336" s="1">
        <f t="shared" si="20"/>
        <v>3126.6414</v>
      </c>
      <c r="H1336" t="str">
        <f>VLOOKUP(C1336,[1]products!$A:$B,2,0)</f>
        <v>Surly Straggler 650b - 2016</v>
      </c>
      <c r="I1336">
        <f>VLOOKUP(H1336,[1]products!$B:$D,3,0)</f>
        <v>4</v>
      </c>
      <c r="J1336" t="str">
        <f>VLOOKUP(I1336,[2]categories!$A$2:$B$8,2,0)</f>
        <v>Cyclocross Bicycles</v>
      </c>
    </row>
    <row r="1337" spans="1:10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 s="1">
        <f t="shared" si="20"/>
        <v>1139.981</v>
      </c>
      <c r="H1337" t="str">
        <f>VLOOKUP(C1337,[1]products!$A:$B,2,0)</f>
        <v>Electra Townie Original 7D EQ - Women's - 2016</v>
      </c>
      <c r="I1337">
        <f>VLOOKUP(H1337,[1]products!$B:$D,3,0)</f>
        <v>3</v>
      </c>
      <c r="J1337" t="str">
        <f>VLOOKUP(I1337,[2]categories!$A$2:$B$8,2,0)</f>
        <v>Cruisers Bicycles</v>
      </c>
    </row>
    <row r="1338" spans="1:10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 s="1">
        <f t="shared" si="20"/>
        <v>422.991</v>
      </c>
      <c r="H1338" t="str">
        <f>VLOOKUP(C1338,[1]products!$A:$B,2,0)</f>
        <v>Surly Ice Cream Truck Frameset - 2016</v>
      </c>
      <c r="I1338">
        <f>VLOOKUP(H1338,[1]products!$B:$D,3,0)</f>
        <v>6</v>
      </c>
      <c r="J1338" t="str">
        <f>VLOOKUP(I1338,[2]categories!$A$2:$B$8,2,0)</f>
        <v>Mountain Bikes</v>
      </c>
    </row>
    <row r="1339" spans="1:10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 s="1">
        <f t="shared" si="20"/>
        <v>1471.55</v>
      </c>
      <c r="H1339" t="str">
        <f>VLOOKUP(C1339,[1]products!$A:$B,2,0)</f>
        <v>Surly Straggler - 2016</v>
      </c>
      <c r="I1339">
        <f>VLOOKUP(H1339,[1]products!$B:$D,3,0)</f>
        <v>4</v>
      </c>
      <c r="J1339" t="str">
        <f>VLOOKUP(I1339,[2]categories!$A$2:$B$8,2,0)</f>
        <v>Cyclocross Bicycles</v>
      </c>
    </row>
    <row r="1340" spans="1:10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0.07</v>
      </c>
      <c r="G1340" s="1">
        <f t="shared" si="20"/>
        <v>502.1814</v>
      </c>
      <c r="H1340" t="str">
        <f>VLOOKUP(C1340,[1]products!$A:$B,2,0)</f>
        <v>Electra Cruiser 1 (24-Inch) - 2016</v>
      </c>
      <c r="I1340">
        <f>VLOOKUP(H1340,[1]products!$B:$D,3,0)</f>
        <v>3</v>
      </c>
      <c r="J1340" t="str">
        <f>VLOOKUP(I1340,[2]categories!$A$2:$B$8,2,0)</f>
        <v>Cruisers Bicycles</v>
      </c>
    </row>
    <row r="1341" spans="1:10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0.07</v>
      </c>
      <c r="G1341" s="1">
        <f t="shared" si="20"/>
        <v>557.9907</v>
      </c>
      <c r="H1341" t="str">
        <f>VLOOKUP(C1341,[1]products!$A:$B,2,0)</f>
        <v>Electra Townie Original 7D EQ - 2016</v>
      </c>
      <c r="I1341">
        <f>VLOOKUP(H1341,[1]products!$B:$D,3,0)</f>
        <v>3</v>
      </c>
      <c r="J1341" t="str">
        <f>VLOOKUP(I1341,[2]categories!$A$2:$B$8,2,0)</f>
        <v>Cruisers Bicycles</v>
      </c>
    </row>
    <row r="1342" spans="1:10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 s="1">
        <f t="shared" si="20"/>
        <v>522.4905</v>
      </c>
      <c r="H1342" t="str">
        <f>VLOOKUP(C1342,[1]products!$A:$B,2,0)</f>
        <v>Electra Townie Original 21D - 2016</v>
      </c>
      <c r="I1342">
        <f>VLOOKUP(H1342,[1]products!$B:$D,3,0)</f>
        <v>3</v>
      </c>
      <c r="J1342" t="str">
        <f>VLOOKUP(I1342,[2]categories!$A$2:$B$8,2,0)</f>
        <v>Cruisers Bicycles</v>
      </c>
    </row>
    <row r="1343" spans="1:10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 s="1">
        <f t="shared" si="20"/>
        <v>215.992</v>
      </c>
      <c r="H1343" t="str">
        <f>VLOOKUP(C1343,[1]products!$A:$B,2,0)</f>
        <v>Electra Cruiser 1 (24-Inch) - 2016</v>
      </c>
      <c r="I1343">
        <f>VLOOKUP(H1343,[1]products!$B:$D,3,0)</f>
        <v>3</v>
      </c>
      <c r="J1343" t="str">
        <f>VLOOKUP(I1343,[2]categories!$A$2:$B$8,2,0)</f>
        <v>Cruisers Bicycles</v>
      </c>
    </row>
    <row r="1344" spans="1:10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 s="1">
        <f t="shared" si="20"/>
        <v>3799.9905</v>
      </c>
      <c r="H1344" t="str">
        <f>VLOOKUP(C1344,[1]products!$A:$B,2,0)</f>
        <v>Trek Slash 8 27.5 - 2016</v>
      </c>
      <c r="I1344">
        <f>VLOOKUP(H1344,[1]products!$B:$D,3,0)</f>
        <v>6</v>
      </c>
      <c r="J1344" t="str">
        <f>VLOOKUP(I1344,[2]categories!$A$2:$B$8,2,0)</f>
        <v>Mountain Bikes</v>
      </c>
    </row>
    <row r="1345" spans="1:10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 s="1">
        <f t="shared" si="20"/>
        <v>1239.2</v>
      </c>
      <c r="H1345" t="str">
        <f>VLOOKUP(C1345,[1]products!$A:$B,2,0)</f>
        <v>Surly Straggler - 2016</v>
      </c>
      <c r="I1345">
        <f>VLOOKUP(H1345,[1]products!$B:$D,3,0)</f>
        <v>4</v>
      </c>
      <c r="J1345" t="str">
        <f>VLOOKUP(I1345,[2]categories!$A$2:$B$8,2,0)</f>
        <v>Cyclocross Bicycles</v>
      </c>
    </row>
    <row r="1346" spans="1:10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 s="1">
        <f t="shared" ref="G1346:G1409" si="21">D1346*E1346*(1-F1346)</f>
        <v>2754.9905</v>
      </c>
      <c r="H1346" t="str">
        <f>VLOOKUP(C1346,[1]products!$A:$B,2,0)</f>
        <v>Trek Fuel EX 8 29 - 2016</v>
      </c>
      <c r="I1346">
        <f>VLOOKUP(H1346,[1]products!$B:$D,3,0)</f>
        <v>6</v>
      </c>
      <c r="J1346" t="str">
        <f>VLOOKUP(I1346,[2]categories!$A$2:$B$8,2,0)</f>
        <v>Mountain Bikes</v>
      </c>
    </row>
    <row r="1347" spans="1:10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 s="1">
        <f t="shared" si="21"/>
        <v>503.4905</v>
      </c>
      <c r="H1347" t="str">
        <f>VLOOKUP(C1347,[1]products!$A:$B,2,0)</f>
        <v>Electra Moto 1 - 2016</v>
      </c>
      <c r="I1347">
        <f>VLOOKUP(H1347,[1]products!$B:$D,3,0)</f>
        <v>3</v>
      </c>
      <c r="J1347" t="str">
        <f>VLOOKUP(I1347,[2]categories!$A$2:$B$8,2,0)</f>
        <v>Cruisers Bicycles</v>
      </c>
    </row>
    <row r="1348" spans="1:10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0.07</v>
      </c>
      <c r="G1348" s="1">
        <f t="shared" si="21"/>
        <v>557.9814</v>
      </c>
      <c r="H1348" t="str">
        <f>VLOOKUP(C1348,[1]products!$A:$B,2,0)</f>
        <v>Electra Girl's Hawaii 1 (20-inch) - 2015/2016</v>
      </c>
      <c r="I1348">
        <f>VLOOKUP(H1348,[1]products!$B:$D,3,0)</f>
        <v>1</v>
      </c>
      <c r="J1348" t="str">
        <f>VLOOKUP(I1348,[2]categories!$A$2:$B$8,2,0)</f>
        <v>Children Bicycles</v>
      </c>
    </row>
    <row r="1349" spans="1:10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 s="1">
        <f t="shared" si="21"/>
        <v>431.984</v>
      </c>
      <c r="H1349" t="str">
        <f>VLOOKUP(C1349,[1]products!$A:$B,2,0)</f>
        <v>Electra Cruiser 1 (24-Inch) - 2016</v>
      </c>
      <c r="I1349">
        <f>VLOOKUP(H1349,[1]products!$B:$D,3,0)</f>
        <v>3</v>
      </c>
      <c r="J1349" t="str">
        <f>VLOOKUP(I1349,[2]categories!$A$2:$B$8,2,0)</f>
        <v>Cruisers Bicycles</v>
      </c>
    </row>
    <row r="1350" spans="1:10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0.07</v>
      </c>
      <c r="G1350" s="1">
        <f t="shared" si="21"/>
        <v>1115.9814</v>
      </c>
      <c r="H1350" t="str">
        <f>VLOOKUP(C1350,[1]products!$A:$B,2,0)</f>
        <v>Electra Townie Original 7D EQ - 2016</v>
      </c>
      <c r="I1350">
        <f>VLOOKUP(H1350,[1]products!$B:$D,3,0)</f>
        <v>3</v>
      </c>
      <c r="J1350" t="str">
        <f>VLOOKUP(I1350,[2]categories!$A$2:$B$8,2,0)</f>
        <v>Cruisers Bicycles</v>
      </c>
    </row>
    <row r="1351" spans="1:10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 s="1">
        <f t="shared" si="21"/>
        <v>5399.982</v>
      </c>
      <c r="H1351" t="str">
        <f>VLOOKUP(C1351,[1]products!$A:$B,2,0)</f>
        <v>Trek Conduit+ - 2016</v>
      </c>
      <c r="I1351">
        <f>VLOOKUP(H1351,[1]products!$B:$D,3,0)</f>
        <v>5</v>
      </c>
      <c r="J1351" t="str">
        <f>VLOOKUP(I1351,[2]categories!$A$2:$B$8,2,0)</f>
        <v>Electric Bikes</v>
      </c>
    </row>
    <row r="1352" spans="1:10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 s="1">
        <f t="shared" si="21"/>
        <v>215.992</v>
      </c>
      <c r="H1352" t="str">
        <f>VLOOKUP(C1352,[1]products!$A:$B,2,0)</f>
        <v>Electra Cruiser 1 (24-Inch) - 2016</v>
      </c>
      <c r="I1352">
        <f>VLOOKUP(H1352,[1]products!$B:$D,3,0)</f>
        <v>3</v>
      </c>
      <c r="J1352" t="str">
        <f>VLOOKUP(I1352,[2]categories!$A$2:$B$8,2,0)</f>
        <v>Cruisers Bicycles</v>
      </c>
    </row>
    <row r="1353" spans="1:10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 s="1">
        <f t="shared" si="21"/>
        <v>242.991</v>
      </c>
      <c r="H1353" t="str">
        <f>VLOOKUP(C1353,[1]products!$A:$B,2,0)</f>
        <v>Electra Girl's Hawaii 1 (16-inch) - 2015/2016</v>
      </c>
      <c r="I1353">
        <f>VLOOKUP(H1353,[1]products!$B:$D,3,0)</f>
        <v>3</v>
      </c>
      <c r="J1353" t="str">
        <f>VLOOKUP(I1353,[2]categories!$A$2:$B$8,2,0)</f>
        <v>Cruisers Bicycles</v>
      </c>
    </row>
    <row r="1354" spans="1:10">
      <c r="A1354">
        <v>483</v>
      </c>
      <c r="B1354">
        <v>1</v>
      </c>
      <c r="C1354">
        <v>17</v>
      </c>
      <c r="D1354">
        <v>1</v>
      </c>
      <c r="E1354">
        <v>429</v>
      </c>
      <c r="F1354">
        <v>0.07</v>
      </c>
      <c r="G1354" s="1">
        <f t="shared" si="21"/>
        <v>398.97</v>
      </c>
      <c r="H1354" t="str">
        <f>VLOOKUP(C1354,[1]products!$A:$B,2,0)</f>
        <v>Pure Cycles Vine 8-Speed - 2016</v>
      </c>
      <c r="I1354">
        <f>VLOOKUP(H1354,[1]products!$B:$D,3,0)</f>
        <v>3</v>
      </c>
      <c r="J1354" t="str">
        <f>VLOOKUP(I1354,[2]categories!$A$2:$B$8,2,0)</f>
        <v>Cruisers Bicycles</v>
      </c>
    </row>
    <row r="1355" spans="1:10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 s="1">
        <f t="shared" si="21"/>
        <v>3239.982</v>
      </c>
      <c r="H1355" t="str">
        <f>VLOOKUP(C1355,[1]products!$A:$B,2,0)</f>
        <v>Trek Remedy 29 Carbon Frameset - 2016</v>
      </c>
      <c r="I1355">
        <f>VLOOKUP(H1355,[1]products!$B:$D,3,0)</f>
        <v>6</v>
      </c>
      <c r="J1355" t="str">
        <f>VLOOKUP(I1355,[2]categories!$A$2:$B$8,2,0)</f>
        <v>Mountain Bikes</v>
      </c>
    </row>
    <row r="1356" spans="1:10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 s="1">
        <f t="shared" si="21"/>
        <v>522.4905</v>
      </c>
      <c r="H1356" t="str">
        <f>VLOOKUP(C1356,[1]products!$A:$B,2,0)</f>
        <v>Electra Townie Original 21D - 2016</v>
      </c>
      <c r="I1356">
        <f>VLOOKUP(H1356,[1]products!$B:$D,3,0)</f>
        <v>3</v>
      </c>
      <c r="J1356" t="str">
        <f>VLOOKUP(I1356,[2]categories!$A$2:$B$8,2,0)</f>
        <v>Cruisers Bicycles</v>
      </c>
    </row>
    <row r="1357" spans="1:10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 s="1">
        <f t="shared" si="21"/>
        <v>5699.981</v>
      </c>
      <c r="H1357" t="str">
        <f>VLOOKUP(C1357,[1]products!$A:$B,2,0)</f>
        <v>Trek Conduit+ - 2016</v>
      </c>
      <c r="I1357">
        <f>VLOOKUP(H1357,[1]products!$B:$D,3,0)</f>
        <v>5</v>
      </c>
      <c r="J1357" t="str">
        <f>VLOOKUP(I1357,[2]categories!$A$2:$B$8,2,0)</f>
        <v>Electric Bikes</v>
      </c>
    </row>
    <row r="1358" spans="1:10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 s="1">
        <f t="shared" si="21"/>
        <v>375.992</v>
      </c>
      <c r="H1358" t="str">
        <f>VLOOKUP(C1358,[1]products!$A:$B,2,0)</f>
        <v>Surly Ice Cream Truck Frameset - 2016</v>
      </c>
      <c r="I1358">
        <f>VLOOKUP(H1358,[1]products!$B:$D,3,0)</f>
        <v>6</v>
      </c>
      <c r="J1358" t="str">
        <f>VLOOKUP(I1358,[2]categories!$A$2:$B$8,2,0)</f>
        <v>Mountain Bikes</v>
      </c>
    </row>
    <row r="1359" spans="1:10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 s="1">
        <f t="shared" si="21"/>
        <v>242.991</v>
      </c>
      <c r="H1359" t="str">
        <f>VLOOKUP(C1359,[1]products!$A:$B,2,0)</f>
        <v>Electra Cruiser 1 (24-Inch) - 2016</v>
      </c>
      <c r="I1359">
        <f>VLOOKUP(H1359,[1]products!$B:$D,3,0)</f>
        <v>3</v>
      </c>
      <c r="J1359" t="str">
        <f>VLOOKUP(I1359,[2]categories!$A$2:$B$8,2,0)</f>
        <v>Cruisers Bicycles</v>
      </c>
    </row>
    <row r="1360" spans="1:10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 s="1">
        <f t="shared" si="21"/>
        <v>1139.981</v>
      </c>
      <c r="H1360" t="str">
        <f>VLOOKUP(C1360,[1]products!$A:$B,2,0)</f>
        <v>Electra Townie Original 7D EQ - 2016</v>
      </c>
      <c r="I1360">
        <f>VLOOKUP(H1360,[1]products!$B:$D,3,0)</f>
        <v>3</v>
      </c>
      <c r="J1360" t="str">
        <f>VLOOKUP(I1360,[2]categories!$A$2:$B$8,2,0)</f>
        <v>Cruisers Bicycles</v>
      </c>
    </row>
    <row r="1361" spans="1:10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0.07</v>
      </c>
      <c r="G1361" s="1">
        <f t="shared" si="21"/>
        <v>2789.9907</v>
      </c>
      <c r="H1361" t="str">
        <f>VLOOKUP(C1361,[1]products!$A:$B,2,0)</f>
        <v>Trek Conduit+ - 2016</v>
      </c>
      <c r="I1361">
        <f>VLOOKUP(H1361,[1]products!$B:$D,3,0)</f>
        <v>5</v>
      </c>
      <c r="J1361" t="str">
        <f>VLOOKUP(I1361,[2]categories!$A$2:$B$8,2,0)</f>
        <v>Electric Bikes</v>
      </c>
    </row>
    <row r="1362" spans="1:10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 s="1">
        <f t="shared" si="21"/>
        <v>569.981</v>
      </c>
      <c r="H1362" t="str">
        <f>VLOOKUP(C1362,[1]products!$A:$B,2,0)</f>
        <v>Electra Girl's Hawaii 1 (20-inch) - 2015/2016</v>
      </c>
      <c r="I1362">
        <f>VLOOKUP(H1362,[1]products!$B:$D,3,0)</f>
        <v>1</v>
      </c>
      <c r="J1362" t="str">
        <f>VLOOKUP(I1362,[2]categories!$A$2:$B$8,2,0)</f>
        <v>Children Bicycles</v>
      </c>
    </row>
    <row r="1363" spans="1:10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 s="1">
        <f t="shared" si="21"/>
        <v>375.992</v>
      </c>
      <c r="H1363" t="str">
        <f>VLOOKUP(C1363,[1]products!$A:$B,2,0)</f>
        <v>Surly Ice Cream Truck Frameset - 2016</v>
      </c>
      <c r="I1363">
        <f>VLOOKUP(H1363,[1]products!$B:$D,3,0)</f>
        <v>6</v>
      </c>
      <c r="J1363" t="str">
        <f>VLOOKUP(I1363,[2]categories!$A$2:$B$8,2,0)</f>
        <v>Mountain Bikes</v>
      </c>
    </row>
    <row r="1364" spans="1:10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0.07</v>
      </c>
      <c r="G1364" s="1">
        <f t="shared" si="21"/>
        <v>502.1814</v>
      </c>
      <c r="H1364" t="str">
        <f>VLOOKUP(C1364,[1]products!$A:$B,2,0)</f>
        <v>Electra Cruiser 1 (24-Inch) - 2016</v>
      </c>
      <c r="I1364">
        <f>VLOOKUP(H1364,[1]products!$B:$D,3,0)</f>
        <v>3</v>
      </c>
      <c r="J1364" t="str">
        <f>VLOOKUP(I1364,[2]categories!$A$2:$B$8,2,0)</f>
        <v>Cruisers Bicycles</v>
      </c>
    </row>
    <row r="1365" spans="1:10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 s="1">
        <f t="shared" si="21"/>
        <v>569.981</v>
      </c>
      <c r="H1365" t="str">
        <f>VLOOKUP(C1365,[1]products!$A:$B,2,0)</f>
        <v>Electra Girl's Hawaii 1 (20-inch) - 2015/2016</v>
      </c>
      <c r="I1365">
        <f>VLOOKUP(H1365,[1]products!$B:$D,3,0)</f>
        <v>1</v>
      </c>
      <c r="J1365" t="str">
        <f>VLOOKUP(I1365,[2]categories!$A$2:$B$8,2,0)</f>
        <v>Children Bicycles</v>
      </c>
    </row>
    <row r="1366" spans="1:10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 s="1">
        <f t="shared" si="21"/>
        <v>256.4905</v>
      </c>
      <c r="H1366" t="str">
        <f>VLOOKUP(C1366,[1]products!$A:$B,2,0)</f>
        <v>Electra Girl's Hawaii 1 (16-inch) - 2015/2016</v>
      </c>
      <c r="I1366">
        <f>VLOOKUP(H1366,[1]products!$B:$D,3,0)</f>
        <v>3</v>
      </c>
      <c r="J1366" t="str">
        <f>VLOOKUP(I1366,[2]categories!$A$2:$B$8,2,0)</f>
        <v>Cruisers Bicycles</v>
      </c>
    </row>
    <row r="1367" spans="1:10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 s="1">
        <f t="shared" si="21"/>
        <v>3239.982</v>
      </c>
      <c r="H1367" t="str">
        <f>VLOOKUP(C1367,[1]products!$A:$B,2,0)</f>
        <v>Trek Remedy 29 Carbon Frameset - 2016</v>
      </c>
      <c r="I1367">
        <f>VLOOKUP(H1367,[1]products!$B:$D,3,0)</f>
        <v>6</v>
      </c>
      <c r="J1367" t="str">
        <f>VLOOKUP(I1367,[2]categories!$A$2:$B$8,2,0)</f>
        <v>Mountain Bikes</v>
      </c>
    </row>
    <row r="1368" spans="1:10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 s="1">
        <f t="shared" si="21"/>
        <v>494.991</v>
      </c>
      <c r="H1368" t="str">
        <f>VLOOKUP(C1368,[1]products!$A:$B,2,0)</f>
        <v>Electra Townie Original 21D - 2016</v>
      </c>
      <c r="I1368">
        <f>VLOOKUP(H1368,[1]products!$B:$D,3,0)</f>
        <v>3</v>
      </c>
      <c r="J1368" t="str">
        <f>VLOOKUP(I1368,[2]categories!$A$2:$B$8,2,0)</f>
        <v>Cruisers Bicycles</v>
      </c>
    </row>
    <row r="1369" spans="1:10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 s="1">
        <f t="shared" si="21"/>
        <v>284.9905</v>
      </c>
      <c r="H1369" t="str">
        <f>VLOOKUP(C1369,[1]products!$A:$B,2,0)</f>
        <v>Electra Girl's Hawaii 1 (20-inch) - 2015/2016</v>
      </c>
      <c r="I1369">
        <f>VLOOKUP(H1369,[1]products!$B:$D,3,0)</f>
        <v>1</v>
      </c>
      <c r="J1369" t="str">
        <f>VLOOKUP(I1369,[2]categories!$A$2:$B$8,2,0)</f>
        <v>Children Bicycles</v>
      </c>
    </row>
    <row r="1370" spans="1:10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 s="1">
        <f t="shared" si="21"/>
        <v>242.991</v>
      </c>
      <c r="H1370" t="str">
        <f>VLOOKUP(C1370,[1]products!$A:$B,2,0)</f>
        <v>Electra Girl's Hawaii 1 (16-inch) - 2015/2016</v>
      </c>
      <c r="I1370">
        <f>VLOOKUP(H1370,[1]products!$B:$D,3,0)</f>
        <v>3</v>
      </c>
      <c r="J1370" t="str">
        <f>VLOOKUP(I1370,[2]categories!$A$2:$B$8,2,0)</f>
        <v>Cruisers Bicycles</v>
      </c>
    </row>
    <row r="1371" spans="1:10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0.07</v>
      </c>
      <c r="G1371" s="1">
        <f t="shared" si="21"/>
        <v>502.1814</v>
      </c>
      <c r="H1371" t="str">
        <f>VLOOKUP(C1371,[1]products!$A:$B,2,0)</f>
        <v>Electra Cruiser 1 (24-Inch) - 2016</v>
      </c>
      <c r="I1371">
        <f>VLOOKUP(H1371,[1]products!$B:$D,3,0)</f>
        <v>3</v>
      </c>
      <c r="J1371" t="str">
        <f>VLOOKUP(I1371,[2]categories!$A$2:$B$8,2,0)</f>
        <v>Cruisers Bicycles</v>
      </c>
    </row>
    <row r="1372" spans="1:10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 s="1">
        <f t="shared" si="21"/>
        <v>4799.984</v>
      </c>
      <c r="H1372" t="str">
        <f>VLOOKUP(C1372,[1]products!$A:$B,2,0)</f>
        <v>Trek Conduit+ - 2016</v>
      </c>
      <c r="I1372">
        <f>VLOOKUP(H1372,[1]products!$B:$D,3,0)</f>
        <v>5</v>
      </c>
      <c r="J1372" t="str">
        <f>VLOOKUP(I1372,[2]categories!$A$2:$B$8,2,0)</f>
        <v>Electric Bikes</v>
      </c>
    </row>
    <row r="1373" spans="1:10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 s="1">
        <f t="shared" si="21"/>
        <v>512.981</v>
      </c>
      <c r="H1373" t="str">
        <f>VLOOKUP(C1373,[1]products!$A:$B,2,0)</f>
        <v>Electra Cruiser 1 (24-Inch) - 2016</v>
      </c>
      <c r="I1373">
        <f>VLOOKUP(H1373,[1]products!$B:$D,3,0)</f>
        <v>3</v>
      </c>
      <c r="J1373" t="str">
        <f>VLOOKUP(I1373,[2]categories!$A$2:$B$8,2,0)</f>
        <v>Cruisers Bicycles</v>
      </c>
    </row>
    <row r="1374" spans="1:10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 s="1">
        <f t="shared" si="21"/>
        <v>1006.981</v>
      </c>
      <c r="H1374" t="str">
        <f>VLOOKUP(C1374,[1]products!$A:$B,2,0)</f>
        <v>Electra Moto 1 - 2016</v>
      </c>
      <c r="I1374">
        <f>VLOOKUP(H1374,[1]products!$B:$D,3,0)</f>
        <v>3</v>
      </c>
      <c r="J1374" t="str">
        <f>VLOOKUP(I1374,[2]categories!$A$2:$B$8,2,0)</f>
        <v>Cruisers Bicycles</v>
      </c>
    </row>
    <row r="1375" spans="1:10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 s="1">
        <f t="shared" si="21"/>
        <v>422.991</v>
      </c>
      <c r="H1375" t="str">
        <f>VLOOKUP(C1375,[1]products!$A:$B,2,0)</f>
        <v>Surly Ice Cream Truck Frameset - 2016</v>
      </c>
      <c r="I1375">
        <f>VLOOKUP(H1375,[1]products!$B:$D,3,0)</f>
        <v>6</v>
      </c>
      <c r="J1375" t="str">
        <f>VLOOKUP(I1375,[2]categories!$A$2:$B$8,2,0)</f>
        <v>Mountain Bikes</v>
      </c>
    </row>
    <row r="1376" spans="1:10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 s="1">
        <f t="shared" si="21"/>
        <v>485.982</v>
      </c>
      <c r="H1376" t="str">
        <f>VLOOKUP(C1376,[1]products!$A:$B,2,0)</f>
        <v>Electra Girl's Hawaii 1 (16-inch) - 2015/2016</v>
      </c>
      <c r="I1376">
        <f>VLOOKUP(H1376,[1]products!$B:$D,3,0)</f>
        <v>3</v>
      </c>
      <c r="J1376" t="str">
        <f>VLOOKUP(I1376,[2]categories!$A$2:$B$8,2,0)</f>
        <v>Cruisers Bicycles</v>
      </c>
    </row>
    <row r="1377" spans="1:10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 s="1">
        <f t="shared" si="21"/>
        <v>569.9905</v>
      </c>
      <c r="H1377" t="str">
        <f>VLOOKUP(C1377,[1]products!$A:$B,2,0)</f>
        <v>Electra Townie Original 7D EQ - 2016</v>
      </c>
      <c r="I1377">
        <f>VLOOKUP(H1377,[1]products!$B:$D,3,0)</f>
        <v>3</v>
      </c>
      <c r="J1377" t="str">
        <f>VLOOKUP(I1377,[2]categories!$A$2:$B$8,2,0)</f>
        <v>Cruisers Bicycles</v>
      </c>
    </row>
    <row r="1378" spans="1:10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 s="1">
        <f t="shared" si="21"/>
        <v>503.4905</v>
      </c>
      <c r="H1378" t="str">
        <f>VLOOKUP(C1378,[1]products!$A:$B,2,0)</f>
        <v>Electra Moto 1 - 2016</v>
      </c>
      <c r="I1378">
        <f>VLOOKUP(H1378,[1]products!$B:$D,3,0)</f>
        <v>3</v>
      </c>
      <c r="J1378" t="str">
        <f>VLOOKUP(I1378,[2]categories!$A$2:$B$8,2,0)</f>
        <v>Cruisers Bicycles</v>
      </c>
    </row>
    <row r="1379" spans="1:10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 s="1">
        <f t="shared" si="21"/>
        <v>853.1</v>
      </c>
      <c r="H1379" t="str">
        <f>VLOOKUP(C1379,[1]products!$A:$B,2,0)</f>
        <v>Pure Cycles Western 3-Speed - Women's - 2015/2016</v>
      </c>
      <c r="I1379">
        <f>VLOOKUP(H1379,[1]products!$B:$D,3,0)</f>
        <v>3</v>
      </c>
      <c r="J1379" t="str">
        <f>VLOOKUP(I1379,[2]categories!$A$2:$B$8,2,0)</f>
        <v>Cruisers Bicycles</v>
      </c>
    </row>
    <row r="1380" spans="1:10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 s="1">
        <f t="shared" si="21"/>
        <v>569.9905</v>
      </c>
      <c r="H1380" t="str">
        <f>VLOOKUP(C1380,[1]products!$A:$B,2,0)</f>
        <v>Electra Townie Original 7D EQ - 2016</v>
      </c>
      <c r="I1380">
        <f>VLOOKUP(H1380,[1]products!$B:$D,3,0)</f>
        <v>3</v>
      </c>
      <c r="J1380" t="str">
        <f>VLOOKUP(I1380,[2]categories!$A$2:$B$8,2,0)</f>
        <v>Cruisers Bicycles</v>
      </c>
    </row>
    <row r="1381" spans="1:10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 s="1">
        <f t="shared" si="21"/>
        <v>269.991</v>
      </c>
      <c r="H1381" t="str">
        <f>VLOOKUP(C1381,[1]products!$A:$B,2,0)</f>
        <v>Electra Girl's Hawaii 1 (20-inch) - 2015/2016</v>
      </c>
      <c r="I1381">
        <f>VLOOKUP(H1381,[1]products!$B:$D,3,0)</f>
        <v>1</v>
      </c>
      <c r="J1381" t="str">
        <f>VLOOKUP(I1381,[2]categories!$A$2:$B$8,2,0)</f>
        <v>Children Bicycles</v>
      </c>
    </row>
    <row r="1382" spans="1:10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 s="1">
        <f t="shared" si="21"/>
        <v>215.992</v>
      </c>
      <c r="H1382" t="str">
        <f>VLOOKUP(C1382,[1]products!$A:$B,2,0)</f>
        <v>Electra Girl's Hawaii 1 (16-inch) - 2015/2016</v>
      </c>
      <c r="I1382">
        <f>VLOOKUP(H1382,[1]products!$B:$D,3,0)</f>
        <v>3</v>
      </c>
      <c r="J1382" t="str">
        <f>VLOOKUP(I1382,[2]categories!$A$2:$B$8,2,0)</f>
        <v>Cruisers Bicycles</v>
      </c>
    </row>
    <row r="1383" spans="1:10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 s="1">
        <f t="shared" si="21"/>
        <v>2849.9905</v>
      </c>
      <c r="H1383" t="str">
        <f>VLOOKUP(C1383,[1]products!$A:$B,2,0)</f>
        <v>Trek Conduit+ - 2016</v>
      </c>
      <c r="I1383">
        <f>VLOOKUP(H1383,[1]products!$B:$D,3,0)</f>
        <v>5</v>
      </c>
      <c r="J1383" t="str">
        <f>VLOOKUP(I1383,[2]categories!$A$2:$B$8,2,0)</f>
        <v>Electric Bikes</v>
      </c>
    </row>
    <row r="1384" spans="1:10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 s="1">
        <f t="shared" si="21"/>
        <v>239.992</v>
      </c>
      <c r="H1384" t="str">
        <f>VLOOKUP(C1384,[1]products!$A:$B,2,0)</f>
        <v>Electra Girl's Hawaii 1 (20-inch) - 2015/2016</v>
      </c>
      <c r="I1384">
        <f>VLOOKUP(H1384,[1]products!$B:$D,3,0)</f>
        <v>1</v>
      </c>
      <c r="J1384" t="str">
        <f>VLOOKUP(I1384,[2]categories!$A$2:$B$8,2,0)</f>
        <v>Children Bicycles</v>
      </c>
    </row>
    <row r="1385" spans="1:10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 s="1">
        <f t="shared" si="21"/>
        <v>242.991</v>
      </c>
      <c r="H1385" t="str">
        <f>VLOOKUP(C1385,[1]products!$A:$B,2,0)</f>
        <v>Electra Cruiser 1 (24-Inch) - 2016</v>
      </c>
      <c r="I1385">
        <f>VLOOKUP(H1385,[1]products!$B:$D,3,0)</f>
        <v>3</v>
      </c>
      <c r="J1385" t="str">
        <f>VLOOKUP(I1385,[2]categories!$A$2:$B$8,2,0)</f>
        <v>Cruisers Bicycles</v>
      </c>
    </row>
    <row r="1386" spans="1:10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 s="1">
        <f t="shared" si="21"/>
        <v>431.984</v>
      </c>
      <c r="H1386" t="str">
        <f>VLOOKUP(C1386,[1]products!$A:$B,2,0)</f>
        <v>Electra Cruiser 1 (24-Inch) - 2016</v>
      </c>
      <c r="I1386">
        <f>VLOOKUP(H1386,[1]products!$B:$D,3,0)</f>
        <v>3</v>
      </c>
      <c r="J1386" t="str">
        <f>VLOOKUP(I1386,[2]categories!$A$2:$B$8,2,0)</f>
        <v>Cruisers Bicycles</v>
      </c>
    </row>
    <row r="1387" spans="1:10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0.07</v>
      </c>
      <c r="G1387" s="1">
        <f t="shared" si="21"/>
        <v>929.9814</v>
      </c>
      <c r="H1387" t="str">
        <f>VLOOKUP(C1387,[1]products!$A:$B,2,0)</f>
        <v>Electra Townie Original 7D - 2015/2016</v>
      </c>
      <c r="I1387">
        <f>VLOOKUP(H1387,[1]products!$B:$D,3,0)</f>
        <v>2</v>
      </c>
      <c r="J1387" t="str">
        <f>VLOOKUP(I1387,[2]categories!$A$2:$B$8,2,0)</f>
        <v>Comfort Bicycles</v>
      </c>
    </row>
    <row r="1388" spans="1:10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0.07</v>
      </c>
      <c r="G1388" s="1">
        <f t="shared" si="21"/>
        <v>511.4907</v>
      </c>
      <c r="H1388" t="str">
        <f>VLOOKUP(C1388,[1]products!$A:$B,2,0)</f>
        <v>Electra Townie Original 21D - 2016</v>
      </c>
      <c r="I1388">
        <f>VLOOKUP(H1388,[1]products!$B:$D,3,0)</f>
        <v>3</v>
      </c>
      <c r="J1388" t="str">
        <f>VLOOKUP(I1388,[2]categories!$A$2:$B$8,2,0)</f>
        <v>Cruisers Bicycles</v>
      </c>
    </row>
    <row r="1389" spans="1:10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 s="1">
        <f t="shared" si="21"/>
        <v>242.991</v>
      </c>
      <c r="H1389" t="str">
        <f>VLOOKUP(C1389,[1]products!$A:$B,2,0)</f>
        <v>Electra Cruiser 1 (24-Inch) - 2016</v>
      </c>
      <c r="I1389">
        <f>VLOOKUP(H1389,[1]products!$B:$D,3,0)</f>
        <v>3</v>
      </c>
      <c r="J1389" t="str">
        <f>VLOOKUP(I1389,[2]categories!$A$2:$B$8,2,0)</f>
        <v>Cruisers Bicycles</v>
      </c>
    </row>
    <row r="1390" spans="1:10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0.07</v>
      </c>
      <c r="G1390" s="1">
        <f t="shared" si="21"/>
        <v>1440.57</v>
      </c>
      <c r="H1390" t="str">
        <f>VLOOKUP(C1390,[1]products!$A:$B,2,0)</f>
        <v>Surly Straggler - 2016</v>
      </c>
      <c r="I1390">
        <f>VLOOKUP(H1390,[1]products!$B:$D,3,0)</f>
        <v>4</v>
      </c>
      <c r="J1390" t="str">
        <f>VLOOKUP(I1390,[2]categories!$A$2:$B$8,2,0)</f>
        <v>Cyclocross Bicycles</v>
      </c>
    </row>
    <row r="1391" spans="1:10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 s="1">
        <f t="shared" si="21"/>
        <v>1344.792</v>
      </c>
      <c r="H1391" t="str">
        <f>VLOOKUP(C1391,[1]products!$A:$B,2,0)</f>
        <v>Surly Straggler 650b - 2016</v>
      </c>
      <c r="I1391">
        <f>VLOOKUP(H1391,[1]products!$B:$D,3,0)</f>
        <v>4</v>
      </c>
      <c r="J1391" t="str">
        <f>VLOOKUP(I1391,[2]categories!$A$2:$B$8,2,0)</f>
        <v>Cyclocross Bicycles</v>
      </c>
    </row>
    <row r="1392" spans="1:10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0.07</v>
      </c>
      <c r="G1392" s="1">
        <f t="shared" si="21"/>
        <v>492.8907</v>
      </c>
      <c r="H1392" t="str">
        <f>VLOOKUP(C1392,[1]products!$A:$B,2,0)</f>
        <v>Electra Moto 1 - 2016</v>
      </c>
      <c r="I1392">
        <f>VLOOKUP(H1392,[1]products!$B:$D,3,0)</f>
        <v>3</v>
      </c>
      <c r="J1392" t="str">
        <f>VLOOKUP(I1392,[2]categories!$A$2:$B$8,2,0)</f>
        <v>Cruisers Bicycles</v>
      </c>
    </row>
    <row r="1393" spans="1:10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 s="1">
        <f t="shared" si="21"/>
        <v>431.984</v>
      </c>
      <c r="H1393" t="str">
        <f>VLOOKUP(C1393,[1]products!$A:$B,2,0)</f>
        <v>Electra Girl's Hawaii 1 (16-inch) - 2015/2016</v>
      </c>
      <c r="I1393">
        <f>VLOOKUP(H1393,[1]products!$B:$D,3,0)</f>
        <v>3</v>
      </c>
      <c r="J1393" t="str">
        <f>VLOOKUP(I1393,[2]categories!$A$2:$B$8,2,0)</f>
        <v>Cruisers Bicycles</v>
      </c>
    </row>
    <row r="1394" spans="1:10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 s="1">
        <f t="shared" si="21"/>
        <v>1079.982</v>
      </c>
      <c r="H1394" t="str">
        <f>VLOOKUP(C1394,[1]products!$A:$B,2,0)</f>
        <v>Electra Townie Original 7D EQ - Women's - 2016</v>
      </c>
      <c r="I1394">
        <f>VLOOKUP(H1394,[1]products!$B:$D,3,0)</f>
        <v>3</v>
      </c>
      <c r="J1394" t="str">
        <f>VLOOKUP(I1394,[2]categories!$A$2:$B$8,2,0)</f>
        <v>Cruisers Bicycles</v>
      </c>
    </row>
    <row r="1395" spans="1:10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 s="1">
        <f t="shared" si="21"/>
        <v>1044.981</v>
      </c>
      <c r="H1395" t="str">
        <f>VLOOKUP(C1395,[1]products!$A:$B,2,0)</f>
        <v>Electra Townie Original 21D - 2016</v>
      </c>
      <c r="I1395">
        <f>VLOOKUP(H1395,[1]products!$B:$D,3,0)</f>
        <v>3</v>
      </c>
      <c r="J1395" t="str">
        <f>VLOOKUP(I1395,[2]categories!$A$2:$B$8,2,0)</f>
        <v>Cruisers Bicycles</v>
      </c>
    </row>
    <row r="1396" spans="1:10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 s="1">
        <f t="shared" si="21"/>
        <v>215.992</v>
      </c>
      <c r="H1396" t="str">
        <f>VLOOKUP(C1396,[1]products!$A:$B,2,0)</f>
        <v>Electra Girl's Hawaii 1 (16-inch) - 2015/2016</v>
      </c>
      <c r="I1396">
        <f>VLOOKUP(H1396,[1]products!$B:$D,3,0)</f>
        <v>3</v>
      </c>
      <c r="J1396" t="str">
        <f>VLOOKUP(I1396,[2]categories!$A$2:$B$8,2,0)</f>
        <v>Cruisers Bicycles</v>
      </c>
    </row>
    <row r="1397" spans="1:10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 s="1">
        <f t="shared" si="21"/>
        <v>853.1</v>
      </c>
      <c r="H1397" t="str">
        <f>VLOOKUP(C1397,[1]products!$A:$B,2,0)</f>
        <v>Pure Cycles William 3-Speed - 2016</v>
      </c>
      <c r="I1397">
        <f>VLOOKUP(H1397,[1]products!$B:$D,3,0)</f>
        <v>3</v>
      </c>
      <c r="J1397" t="str">
        <f>VLOOKUP(I1397,[2]categories!$A$2:$B$8,2,0)</f>
        <v>Cruisers Bicycles</v>
      </c>
    </row>
    <row r="1398" spans="1:10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0.07</v>
      </c>
      <c r="G1398" s="1">
        <f t="shared" si="21"/>
        <v>1673.9907</v>
      </c>
      <c r="H1398" t="str">
        <f>VLOOKUP(C1398,[1]products!$A:$B,2,0)</f>
        <v>Trek Remedy 29 Carbon Frameset - 2016</v>
      </c>
      <c r="I1398">
        <f>VLOOKUP(H1398,[1]products!$B:$D,3,0)</f>
        <v>6</v>
      </c>
      <c r="J1398" t="str">
        <f>VLOOKUP(I1398,[2]categories!$A$2:$B$8,2,0)</f>
        <v>Mountain Bikes</v>
      </c>
    </row>
    <row r="1399" spans="1:10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 s="1">
        <f t="shared" si="21"/>
        <v>242.991</v>
      </c>
      <c r="H1399" t="str">
        <f>VLOOKUP(C1399,[1]products!$A:$B,2,0)</f>
        <v>Electra Girl's Hawaii 1 (16-inch) - 2015/2016</v>
      </c>
      <c r="I1399">
        <f>VLOOKUP(H1399,[1]products!$B:$D,3,0)</f>
        <v>3</v>
      </c>
      <c r="J1399" t="str">
        <f>VLOOKUP(I1399,[2]categories!$A$2:$B$8,2,0)</f>
        <v>Cruisers Bicycles</v>
      </c>
    </row>
    <row r="1400" spans="1:10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0.07</v>
      </c>
      <c r="G1400" s="1">
        <f t="shared" si="21"/>
        <v>557.9814</v>
      </c>
      <c r="H1400" t="str">
        <f>VLOOKUP(C1400,[1]products!$A:$B,2,0)</f>
        <v>Electra Girl's Hawaii 1 (20-inch) - 2015/2016</v>
      </c>
      <c r="I1400">
        <f>VLOOKUP(H1400,[1]products!$B:$D,3,0)</f>
        <v>1</v>
      </c>
      <c r="J1400" t="str">
        <f>VLOOKUP(I1400,[2]categories!$A$2:$B$8,2,0)</f>
        <v>Children Bicycles</v>
      </c>
    </row>
    <row r="1401" spans="1:10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 s="1">
        <f t="shared" si="21"/>
        <v>256.4905</v>
      </c>
      <c r="H1401" t="str">
        <f>VLOOKUP(C1401,[1]products!$A:$B,2,0)</f>
        <v>Electra Cruiser 1 (24-Inch) - 2016</v>
      </c>
      <c r="I1401">
        <f>VLOOKUP(H1401,[1]products!$B:$D,3,0)</f>
        <v>3</v>
      </c>
      <c r="J1401" t="str">
        <f>VLOOKUP(I1401,[2]categories!$A$2:$B$8,2,0)</f>
        <v>Cruisers Bicycles</v>
      </c>
    </row>
    <row r="1402" spans="1:10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0.07</v>
      </c>
      <c r="G1402" s="1">
        <f t="shared" si="21"/>
        <v>502.1814</v>
      </c>
      <c r="H1402" t="str">
        <f>VLOOKUP(C1402,[1]products!$A:$B,2,0)</f>
        <v>Electra Cruiser 1 (24-Inch) - 2016</v>
      </c>
      <c r="I1402">
        <f>VLOOKUP(H1402,[1]products!$B:$D,3,0)</f>
        <v>3</v>
      </c>
      <c r="J1402" t="str">
        <f>VLOOKUP(I1402,[2]categories!$A$2:$B$8,2,0)</f>
        <v>Cruisers Bicycles</v>
      </c>
    </row>
    <row r="1403" spans="1:10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 s="1">
        <f t="shared" si="21"/>
        <v>1471.55</v>
      </c>
      <c r="H1403" t="str">
        <f>VLOOKUP(C1403,[1]products!$A:$B,2,0)</f>
        <v>Surly Straggler - 2016</v>
      </c>
      <c r="I1403">
        <f>VLOOKUP(H1403,[1]products!$B:$D,3,0)</f>
        <v>4</v>
      </c>
      <c r="J1403" t="str">
        <f>VLOOKUP(I1403,[2]categories!$A$2:$B$8,2,0)</f>
        <v>Cyclocross Bicycles</v>
      </c>
    </row>
    <row r="1404" spans="1:10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 s="1">
        <f t="shared" si="21"/>
        <v>989.982</v>
      </c>
      <c r="H1404" t="str">
        <f>VLOOKUP(C1404,[1]products!$A:$B,2,0)</f>
        <v>Electra Townie Original 21D - 2016</v>
      </c>
      <c r="I1404">
        <f>VLOOKUP(H1404,[1]products!$B:$D,3,0)</f>
        <v>3</v>
      </c>
      <c r="J1404" t="str">
        <f>VLOOKUP(I1404,[2]categories!$A$2:$B$8,2,0)</f>
        <v>Cruisers Bicycles</v>
      </c>
    </row>
    <row r="1405" spans="1:10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 s="1">
        <f t="shared" si="21"/>
        <v>1424.981</v>
      </c>
      <c r="H1405" t="str">
        <f>VLOOKUP(C1405,[1]products!$A:$B,2,0)</f>
        <v>Ritchey Timberwolf Frameset - 2016</v>
      </c>
      <c r="I1405">
        <f>VLOOKUP(H1405,[1]products!$B:$D,3,0)</f>
        <v>6</v>
      </c>
      <c r="J1405" t="str">
        <f>VLOOKUP(I1405,[2]categories!$A$2:$B$8,2,0)</f>
        <v>Mountain Bikes</v>
      </c>
    </row>
    <row r="1406" spans="1:10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 s="1">
        <f t="shared" si="21"/>
        <v>479.992</v>
      </c>
      <c r="H1406" t="str">
        <f>VLOOKUP(C1406,[1]products!$A:$B,2,0)</f>
        <v>Electra Townie Original 7D EQ - 2016</v>
      </c>
      <c r="I1406">
        <f>VLOOKUP(H1406,[1]products!$B:$D,3,0)</f>
        <v>3</v>
      </c>
      <c r="J1406" t="str">
        <f>VLOOKUP(I1406,[2]categories!$A$2:$B$8,2,0)</f>
        <v>Cruisers Bicycles</v>
      </c>
    </row>
    <row r="1407" spans="1:10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 s="1">
        <f t="shared" si="21"/>
        <v>449.991</v>
      </c>
      <c r="H1407" t="str">
        <f>VLOOKUP(C1407,[1]products!$A:$B,2,0)</f>
        <v>Electra Townie Original 7D - 2015/2016</v>
      </c>
      <c r="I1407">
        <f>VLOOKUP(H1407,[1]products!$B:$D,3,0)</f>
        <v>2</v>
      </c>
      <c r="J1407" t="str">
        <f>VLOOKUP(I1407,[2]categories!$A$2:$B$8,2,0)</f>
        <v>Comfort Bicycles</v>
      </c>
    </row>
    <row r="1408" spans="1:10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0.07</v>
      </c>
      <c r="G1408" s="1">
        <f t="shared" si="21"/>
        <v>3719.9907</v>
      </c>
      <c r="H1408" t="str">
        <f>VLOOKUP(C1408,[1]products!$A:$B,2,0)</f>
        <v>Trek Slash 8 27.5 - 2016</v>
      </c>
      <c r="I1408">
        <f>VLOOKUP(H1408,[1]products!$B:$D,3,0)</f>
        <v>6</v>
      </c>
      <c r="J1408" t="str">
        <f>VLOOKUP(I1408,[2]categories!$A$2:$B$8,2,0)</f>
        <v>Mountain Bikes</v>
      </c>
    </row>
    <row r="1409" spans="1:10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 s="1">
        <f t="shared" si="21"/>
        <v>3193.881</v>
      </c>
      <c r="H1409" t="str">
        <f>VLOOKUP(C1409,[1]products!$A:$B,2,0)</f>
        <v>Surly Straggler 650b - 2016</v>
      </c>
      <c r="I1409">
        <f>VLOOKUP(H1409,[1]products!$B:$D,3,0)</f>
        <v>4</v>
      </c>
      <c r="J1409" t="str">
        <f>VLOOKUP(I1409,[2]categories!$A$2:$B$8,2,0)</f>
        <v>Cyclocross Bicycles</v>
      </c>
    </row>
    <row r="1410" spans="1:10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0.07</v>
      </c>
      <c r="G1410" s="1">
        <f t="shared" ref="G1410:G1473" si="22">D1410*E1410*(1-F1410)</f>
        <v>502.1814</v>
      </c>
      <c r="H1410" t="str">
        <f>VLOOKUP(C1410,[1]products!$A:$B,2,0)</f>
        <v>Electra Cruiser 1 (24-Inch) - 2016</v>
      </c>
      <c r="I1410">
        <f>VLOOKUP(H1410,[1]products!$B:$D,3,0)</f>
        <v>3</v>
      </c>
      <c r="J1410" t="str">
        <f>VLOOKUP(I1410,[2]categories!$A$2:$B$8,2,0)</f>
        <v>Cruisers Bicycles</v>
      </c>
    </row>
    <row r="1411" spans="1:10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 s="1">
        <f t="shared" si="22"/>
        <v>1079.982</v>
      </c>
      <c r="H1411" t="str">
        <f>VLOOKUP(C1411,[1]products!$A:$B,2,0)</f>
        <v>Electra Townie Original 7D EQ - Women's - 2016</v>
      </c>
      <c r="I1411">
        <f>VLOOKUP(H1411,[1]products!$B:$D,3,0)</f>
        <v>3</v>
      </c>
      <c r="J1411" t="str">
        <f>VLOOKUP(I1411,[2]categories!$A$2:$B$8,2,0)</f>
        <v>Cruisers Bicycles</v>
      </c>
    </row>
    <row r="1412" spans="1:10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 s="1">
        <f t="shared" si="22"/>
        <v>1709.9905</v>
      </c>
      <c r="H1412" t="str">
        <f>VLOOKUP(C1412,[1]products!$A:$B,2,0)</f>
        <v>Trek Remedy 29 Carbon Frameset - 2016</v>
      </c>
      <c r="I1412">
        <f>VLOOKUP(H1412,[1]products!$B:$D,3,0)</f>
        <v>6</v>
      </c>
      <c r="J1412" t="str">
        <f>VLOOKUP(I1412,[2]categories!$A$2:$B$8,2,0)</f>
        <v>Mountain Bikes</v>
      </c>
    </row>
    <row r="1413" spans="1:10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 s="1">
        <f t="shared" si="22"/>
        <v>1424.981</v>
      </c>
      <c r="H1413" t="str">
        <f>VLOOKUP(C1413,[1]products!$A:$B,2,0)</f>
        <v>Ritchey Timberwolf Frameset - 2016</v>
      </c>
      <c r="I1413">
        <f>VLOOKUP(H1413,[1]products!$B:$D,3,0)</f>
        <v>6</v>
      </c>
      <c r="J1413" t="str">
        <f>VLOOKUP(I1413,[2]categories!$A$2:$B$8,2,0)</f>
        <v>Mountain Bikes</v>
      </c>
    </row>
    <row r="1414" spans="1:10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 s="1">
        <f t="shared" si="22"/>
        <v>2943.1</v>
      </c>
      <c r="H1414" t="str">
        <f>VLOOKUP(C1414,[1]products!$A:$B,2,0)</f>
        <v>Surly Straggler - 2016</v>
      </c>
      <c r="I1414">
        <f>VLOOKUP(H1414,[1]products!$B:$D,3,0)</f>
        <v>4</v>
      </c>
      <c r="J1414" t="str">
        <f>VLOOKUP(I1414,[2]categories!$A$2:$B$8,2,0)</f>
        <v>Cyclocross Bicycles</v>
      </c>
    </row>
    <row r="1415" spans="1:10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0.07</v>
      </c>
      <c r="G1415" s="1">
        <f t="shared" si="22"/>
        <v>464.9907</v>
      </c>
      <c r="H1415" t="str">
        <f>VLOOKUP(C1415,[1]products!$A:$B,2,0)</f>
        <v>Electra Townie Original 7D - 2015/2016</v>
      </c>
      <c r="I1415">
        <f>VLOOKUP(H1415,[1]products!$B:$D,3,0)</f>
        <v>2</v>
      </c>
      <c r="J1415" t="str">
        <f>VLOOKUP(I1415,[2]categories!$A$2:$B$8,2,0)</f>
        <v>Comfort Bicycles</v>
      </c>
    </row>
    <row r="1416" spans="1:10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 s="1">
        <f t="shared" si="22"/>
        <v>479.984</v>
      </c>
      <c r="H1416" t="str">
        <f>VLOOKUP(C1416,[1]products!$A:$B,2,0)</f>
        <v>Electra Girl's Hawaii 1 (20-inch) - 2015/2016</v>
      </c>
      <c r="I1416">
        <f>VLOOKUP(H1416,[1]products!$B:$D,3,0)</f>
        <v>1</v>
      </c>
      <c r="J1416" t="str">
        <f>VLOOKUP(I1416,[2]categories!$A$2:$B$8,2,0)</f>
        <v>Children Bicycles</v>
      </c>
    </row>
    <row r="1417" spans="1:10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 s="1">
        <f t="shared" si="22"/>
        <v>5509.981</v>
      </c>
      <c r="H1417" t="str">
        <f>VLOOKUP(C1417,[1]products!$A:$B,2,0)</f>
        <v>Trek Fuel EX 8 29 - 2016</v>
      </c>
      <c r="I1417">
        <f>VLOOKUP(H1417,[1]products!$B:$D,3,0)</f>
        <v>6</v>
      </c>
      <c r="J1417" t="str">
        <f>VLOOKUP(I1417,[2]categories!$A$2:$B$8,2,0)</f>
        <v>Mountain Bikes</v>
      </c>
    </row>
    <row r="1418" spans="1:10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 s="1">
        <f t="shared" si="22"/>
        <v>386.1</v>
      </c>
      <c r="H1418" t="str">
        <f>VLOOKUP(C1418,[1]products!$A:$B,2,0)</f>
        <v>Pure Cycles Vine 8-Speed - 2016</v>
      </c>
      <c r="I1418">
        <f>VLOOKUP(H1418,[1]products!$B:$D,3,0)</f>
        <v>3</v>
      </c>
      <c r="J1418" t="str">
        <f>VLOOKUP(I1418,[2]categories!$A$2:$B$8,2,0)</f>
        <v>Cruisers Bicycles</v>
      </c>
    </row>
    <row r="1419" spans="1:10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 s="1">
        <f t="shared" si="22"/>
        <v>512.981</v>
      </c>
      <c r="H1419" t="str">
        <f>VLOOKUP(C1419,[1]products!$A:$B,2,0)</f>
        <v>Electra Girl's Hawaii 1 (16-inch) - 2015/2016</v>
      </c>
      <c r="I1419">
        <f>VLOOKUP(H1419,[1]products!$B:$D,3,0)</f>
        <v>3</v>
      </c>
      <c r="J1419" t="str">
        <f>VLOOKUP(I1419,[2]categories!$A$2:$B$8,2,0)</f>
        <v>Cruisers Bicycles</v>
      </c>
    </row>
    <row r="1420" spans="1:10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 s="1">
        <f t="shared" si="22"/>
        <v>242.991</v>
      </c>
      <c r="H1420" t="str">
        <f>VLOOKUP(C1420,[1]products!$A:$B,2,0)</f>
        <v>Electra Cruiser 1 (24-Inch) - 2016</v>
      </c>
      <c r="I1420">
        <f>VLOOKUP(H1420,[1]products!$B:$D,3,0)</f>
        <v>3</v>
      </c>
      <c r="J1420" t="str">
        <f>VLOOKUP(I1420,[2]categories!$A$2:$B$8,2,0)</f>
        <v>Cruisers Bicycles</v>
      </c>
    </row>
    <row r="1421" spans="1:10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0.07</v>
      </c>
      <c r="G1421" s="1">
        <f t="shared" si="22"/>
        <v>251.0907</v>
      </c>
      <c r="H1421" t="str">
        <f>VLOOKUP(C1421,[1]products!$A:$B,2,0)</f>
        <v>Electra Cruiser 1 (24-Inch) - 2016</v>
      </c>
      <c r="I1421">
        <f>VLOOKUP(H1421,[1]products!$B:$D,3,0)</f>
        <v>3</v>
      </c>
      <c r="J1421" t="str">
        <f>VLOOKUP(I1421,[2]categories!$A$2:$B$8,2,0)</f>
        <v>Cruisers Bicycles</v>
      </c>
    </row>
    <row r="1422" spans="1:10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0.07</v>
      </c>
      <c r="G1422" s="1">
        <f t="shared" si="22"/>
        <v>3719.9907</v>
      </c>
      <c r="H1422" t="str">
        <f>VLOOKUP(C1422,[1]products!$A:$B,2,0)</f>
        <v>Trek Slash 8 27.5 - 2016</v>
      </c>
      <c r="I1422">
        <f>VLOOKUP(H1422,[1]products!$B:$D,3,0)</f>
        <v>6</v>
      </c>
      <c r="J1422" t="str">
        <f>VLOOKUP(I1422,[2]categories!$A$2:$B$8,2,0)</f>
        <v>Mountain Bikes</v>
      </c>
    </row>
    <row r="1423" spans="1:10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 s="1">
        <f t="shared" si="22"/>
        <v>215.992</v>
      </c>
      <c r="H1423" t="str">
        <f>VLOOKUP(C1423,[1]products!$A:$B,2,0)</f>
        <v>Electra Cruiser 1 (24-Inch) - 2016</v>
      </c>
      <c r="I1423">
        <f>VLOOKUP(H1423,[1]products!$B:$D,3,0)</f>
        <v>3</v>
      </c>
      <c r="J1423" t="str">
        <f>VLOOKUP(I1423,[2]categories!$A$2:$B$8,2,0)</f>
        <v>Cruisers Bicycles</v>
      </c>
    </row>
    <row r="1424" spans="1:10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0.07</v>
      </c>
      <c r="G1424" s="1">
        <f t="shared" si="22"/>
        <v>278.9907</v>
      </c>
      <c r="H1424" t="str">
        <f>VLOOKUP(C1424,[1]products!$A:$B,2,0)</f>
        <v>Electra Girl's Hawaii 1 (20-inch) - 2015/2016</v>
      </c>
      <c r="I1424">
        <f>VLOOKUP(H1424,[1]products!$B:$D,3,0)</f>
        <v>1</v>
      </c>
      <c r="J1424" t="str">
        <f>VLOOKUP(I1424,[2]categories!$A$2:$B$8,2,0)</f>
        <v>Children Bicycles</v>
      </c>
    </row>
    <row r="1425" spans="1:10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 s="1">
        <f t="shared" si="22"/>
        <v>718.4</v>
      </c>
      <c r="H1425" t="str">
        <f>VLOOKUP(C1425,[1]products!$A:$B,2,0)</f>
        <v>Pure Cycles Western 3-Speed - Women's - 2015/2016</v>
      </c>
      <c r="I1425">
        <f>VLOOKUP(H1425,[1]products!$B:$D,3,0)</f>
        <v>3</v>
      </c>
      <c r="J1425" t="str">
        <f>VLOOKUP(I1425,[2]categories!$A$2:$B$8,2,0)</f>
        <v>Cruisers Bicycles</v>
      </c>
    </row>
    <row r="1426" spans="1:10">
      <c r="A1426">
        <v>514</v>
      </c>
      <c r="B1426">
        <v>2</v>
      </c>
      <c r="C1426">
        <v>17</v>
      </c>
      <c r="D1426">
        <v>2</v>
      </c>
      <c r="E1426">
        <v>429</v>
      </c>
      <c r="F1426">
        <v>0.07</v>
      </c>
      <c r="G1426" s="1">
        <f t="shared" si="22"/>
        <v>797.94</v>
      </c>
      <c r="H1426" t="str">
        <f>VLOOKUP(C1426,[1]products!$A:$B,2,0)</f>
        <v>Pure Cycles Vine 8-Speed - 2016</v>
      </c>
      <c r="I1426">
        <f>VLOOKUP(H1426,[1]products!$B:$D,3,0)</f>
        <v>3</v>
      </c>
      <c r="J1426" t="str">
        <f>VLOOKUP(I1426,[2]categories!$A$2:$B$8,2,0)</f>
        <v>Cruisers Bicycles</v>
      </c>
    </row>
    <row r="1427" spans="1:10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0.07</v>
      </c>
      <c r="G1427" s="1">
        <f t="shared" si="22"/>
        <v>1673.9907</v>
      </c>
      <c r="H1427" t="str">
        <f>VLOOKUP(C1427,[1]products!$A:$B,2,0)</f>
        <v>Trek Remedy 29 Carbon Frameset - 2016</v>
      </c>
      <c r="I1427">
        <f>VLOOKUP(H1427,[1]products!$B:$D,3,0)</f>
        <v>6</v>
      </c>
      <c r="J1427" t="str">
        <f>VLOOKUP(I1427,[2]categories!$A$2:$B$8,2,0)</f>
        <v>Mountain Bikes</v>
      </c>
    </row>
    <row r="1428" spans="1:10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 s="1">
        <f t="shared" si="22"/>
        <v>1188.891</v>
      </c>
      <c r="H1428" t="str">
        <f>VLOOKUP(C1428,[1]products!$A:$B,2,0)</f>
        <v>Heller Shagamaw Frame - 2016</v>
      </c>
      <c r="I1428">
        <f>VLOOKUP(H1428,[1]products!$B:$D,3,0)</f>
        <v>6</v>
      </c>
      <c r="J1428" t="str">
        <f>VLOOKUP(I1428,[2]categories!$A$2:$B$8,2,0)</f>
        <v>Mountain Bikes</v>
      </c>
    </row>
    <row r="1429" spans="1:10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0.07</v>
      </c>
      <c r="G1429" s="1">
        <f t="shared" si="22"/>
        <v>929.9814</v>
      </c>
      <c r="H1429" t="str">
        <f>VLOOKUP(C1429,[1]products!$A:$B,2,0)</f>
        <v>Electra Townie Original 7D - 2015/2016</v>
      </c>
      <c r="I1429">
        <f>VLOOKUP(H1429,[1]products!$B:$D,3,0)</f>
        <v>2</v>
      </c>
      <c r="J1429" t="str">
        <f>VLOOKUP(I1429,[2]categories!$A$2:$B$8,2,0)</f>
        <v>Comfort Bicycles</v>
      </c>
    </row>
    <row r="1430" spans="1:10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 s="1">
        <f t="shared" si="22"/>
        <v>751.984</v>
      </c>
      <c r="H1430" t="str">
        <f>VLOOKUP(C1430,[1]products!$A:$B,2,0)</f>
        <v>Surly Ice Cream Truck Frameset - 2016</v>
      </c>
      <c r="I1430">
        <f>VLOOKUP(H1430,[1]products!$B:$D,3,0)</f>
        <v>6</v>
      </c>
      <c r="J1430" t="str">
        <f>VLOOKUP(I1430,[2]categories!$A$2:$B$8,2,0)</f>
        <v>Mountain Bikes</v>
      </c>
    </row>
    <row r="1431" spans="1:10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 s="1">
        <f t="shared" si="22"/>
        <v>3799.9905</v>
      </c>
      <c r="H1431" t="str">
        <f>VLOOKUP(C1431,[1]products!$A:$B,2,0)</f>
        <v>Trek Slash 8 27.5 - 2016</v>
      </c>
      <c r="I1431">
        <f>VLOOKUP(H1431,[1]products!$B:$D,3,0)</f>
        <v>6</v>
      </c>
      <c r="J1431" t="str">
        <f>VLOOKUP(I1431,[2]categories!$A$2:$B$8,2,0)</f>
        <v>Mountain Bikes</v>
      </c>
    </row>
    <row r="1432" spans="1:10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 s="1">
        <f t="shared" si="22"/>
        <v>2377.782</v>
      </c>
      <c r="H1432" t="str">
        <f>VLOOKUP(C1432,[1]products!$A:$B,2,0)</f>
        <v>Heller Shagamaw Frame - 2016</v>
      </c>
      <c r="I1432">
        <f>VLOOKUP(H1432,[1]products!$B:$D,3,0)</f>
        <v>6</v>
      </c>
      <c r="J1432" t="str">
        <f>VLOOKUP(I1432,[2]categories!$A$2:$B$8,2,0)</f>
        <v>Mountain Bikes</v>
      </c>
    </row>
    <row r="1433" spans="1:10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0.07</v>
      </c>
      <c r="G1433" s="1">
        <f t="shared" si="22"/>
        <v>502.1814</v>
      </c>
      <c r="H1433" t="str">
        <f>VLOOKUP(C1433,[1]products!$A:$B,2,0)</f>
        <v>Electra Cruiser 1 (24-Inch) - 2016</v>
      </c>
      <c r="I1433">
        <f>VLOOKUP(H1433,[1]products!$B:$D,3,0)</f>
        <v>3</v>
      </c>
      <c r="J1433" t="str">
        <f>VLOOKUP(I1433,[2]categories!$A$2:$B$8,2,0)</f>
        <v>Cruisers Bicycles</v>
      </c>
    </row>
    <row r="1434" spans="1:10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 s="1">
        <f t="shared" si="22"/>
        <v>959.984</v>
      </c>
      <c r="H1434" t="str">
        <f>VLOOKUP(C1434,[1]products!$A:$B,2,0)</f>
        <v>Electra Townie Original 7D EQ - 2016</v>
      </c>
      <c r="I1434">
        <f>VLOOKUP(H1434,[1]products!$B:$D,3,0)</f>
        <v>3</v>
      </c>
      <c r="J1434" t="str">
        <f>VLOOKUP(I1434,[2]categories!$A$2:$B$8,2,0)</f>
        <v>Cruisers Bicycles</v>
      </c>
    </row>
    <row r="1435" spans="1:10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 s="1">
        <f t="shared" si="22"/>
        <v>2509.881</v>
      </c>
      <c r="H1435" t="str">
        <f>VLOOKUP(C1435,[1]products!$A:$B,2,0)</f>
        <v>Heller Shagamaw Frame - 2016</v>
      </c>
      <c r="I1435">
        <f>VLOOKUP(H1435,[1]products!$B:$D,3,0)</f>
        <v>6</v>
      </c>
      <c r="J1435" t="str">
        <f>VLOOKUP(I1435,[2]categories!$A$2:$B$8,2,0)</f>
        <v>Mountain Bikes</v>
      </c>
    </row>
    <row r="1436" spans="1:10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 s="1">
        <f t="shared" si="22"/>
        <v>949.981</v>
      </c>
      <c r="H1436" t="str">
        <f>VLOOKUP(C1436,[1]products!$A:$B,2,0)</f>
        <v>Electra Townie Original 7D - 2015/2016</v>
      </c>
      <c r="I1436">
        <f>VLOOKUP(H1436,[1]products!$B:$D,3,0)</f>
        <v>2</v>
      </c>
      <c r="J1436" t="str">
        <f>VLOOKUP(I1436,[2]categories!$A$2:$B$8,2,0)</f>
        <v>Comfort Bicycles</v>
      </c>
    </row>
    <row r="1437" spans="1:10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 s="1">
        <f t="shared" si="22"/>
        <v>847.984</v>
      </c>
      <c r="H1437" t="str">
        <f>VLOOKUP(C1437,[1]products!$A:$B,2,0)</f>
        <v>Electra Moto 1 - 2016</v>
      </c>
      <c r="I1437">
        <f>VLOOKUP(H1437,[1]products!$B:$D,3,0)</f>
        <v>3</v>
      </c>
      <c r="J1437" t="str">
        <f>VLOOKUP(I1437,[2]categories!$A$2:$B$8,2,0)</f>
        <v>Cruisers Bicycles</v>
      </c>
    </row>
    <row r="1438" spans="1:10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0.07</v>
      </c>
      <c r="G1438" s="1">
        <f t="shared" si="22"/>
        <v>3126.6414</v>
      </c>
      <c r="H1438" t="str">
        <f>VLOOKUP(C1438,[1]products!$A:$B,2,0)</f>
        <v>Surly Straggler 650b - 2016</v>
      </c>
      <c r="I1438">
        <f>VLOOKUP(H1438,[1]products!$B:$D,3,0)</f>
        <v>4</v>
      </c>
      <c r="J1438" t="str">
        <f>VLOOKUP(I1438,[2]categories!$A$2:$B$8,2,0)</f>
        <v>Cyclocross Bicycles</v>
      </c>
    </row>
    <row r="1439" spans="1:10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0.07</v>
      </c>
      <c r="G1439" s="1">
        <f t="shared" si="22"/>
        <v>437.0907</v>
      </c>
      <c r="H1439" t="str">
        <f>VLOOKUP(C1439,[1]products!$A:$B,2,0)</f>
        <v>Surly Ice Cream Truck Frameset - 2016</v>
      </c>
      <c r="I1439">
        <f>VLOOKUP(H1439,[1]products!$B:$D,3,0)</f>
        <v>6</v>
      </c>
      <c r="J1439" t="str">
        <f>VLOOKUP(I1439,[2]categories!$A$2:$B$8,2,0)</f>
        <v>Mountain Bikes</v>
      </c>
    </row>
    <row r="1440" spans="1:10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 s="1">
        <f t="shared" si="22"/>
        <v>539.991</v>
      </c>
      <c r="H1440" t="str">
        <f>VLOOKUP(C1440,[1]products!$A:$B,2,0)</f>
        <v>Electra Townie Original 7D EQ - 2016</v>
      </c>
      <c r="I1440">
        <f>VLOOKUP(H1440,[1]products!$B:$D,3,0)</f>
        <v>3</v>
      </c>
      <c r="J1440" t="str">
        <f>VLOOKUP(I1440,[2]categories!$A$2:$B$8,2,0)</f>
        <v>Cruisers Bicycles</v>
      </c>
    </row>
    <row r="1441" spans="1:10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 s="1">
        <f t="shared" si="22"/>
        <v>569.981</v>
      </c>
      <c r="H1441" t="str">
        <f>VLOOKUP(C1441,[1]products!$A:$B,2,0)</f>
        <v>Electra Girl's Hawaii 1 (20-inch) - 2015/2016</v>
      </c>
      <c r="I1441">
        <f>VLOOKUP(H1441,[1]products!$B:$D,3,0)</f>
        <v>1</v>
      </c>
      <c r="J1441" t="str">
        <f>VLOOKUP(I1441,[2]categories!$A$2:$B$8,2,0)</f>
        <v>Children Bicycles</v>
      </c>
    </row>
    <row r="1442" spans="1:10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 s="1">
        <f t="shared" si="22"/>
        <v>718.4</v>
      </c>
      <c r="H1442" t="str">
        <f>VLOOKUP(C1442,[1]products!$A:$B,2,0)</f>
        <v>Pure Cycles Western 3-Speed - Women's - 2015/2016</v>
      </c>
      <c r="I1442">
        <f>VLOOKUP(H1442,[1]products!$B:$D,3,0)</f>
        <v>3</v>
      </c>
      <c r="J1442" t="str">
        <f>VLOOKUP(I1442,[2]categories!$A$2:$B$8,2,0)</f>
        <v>Cruisers Bicycles</v>
      </c>
    </row>
    <row r="1443" spans="1:10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 s="1">
        <f t="shared" si="22"/>
        <v>3799.9905</v>
      </c>
      <c r="H1443" t="str">
        <f>VLOOKUP(C1443,[1]products!$A:$B,2,0)</f>
        <v>Trek Slash 8 27.5 - 2016</v>
      </c>
      <c r="I1443">
        <f>VLOOKUP(H1443,[1]products!$B:$D,3,0)</f>
        <v>6</v>
      </c>
      <c r="J1443" t="str">
        <f>VLOOKUP(I1443,[2]categories!$A$2:$B$8,2,0)</f>
        <v>Mountain Bikes</v>
      </c>
    </row>
    <row r="1444" spans="1:10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 s="1">
        <f t="shared" si="22"/>
        <v>539.991</v>
      </c>
      <c r="H1444" t="str">
        <f>VLOOKUP(C1444,[1]products!$A:$B,2,0)</f>
        <v>Electra Townie Original 7D EQ - 2016</v>
      </c>
      <c r="I1444">
        <f>VLOOKUP(H1444,[1]products!$B:$D,3,0)</f>
        <v>3</v>
      </c>
      <c r="J1444" t="str">
        <f>VLOOKUP(I1444,[2]categories!$A$2:$B$8,2,0)</f>
        <v>Cruisers Bicycles</v>
      </c>
    </row>
    <row r="1445" spans="1:10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 s="1">
        <f t="shared" si="22"/>
        <v>439.992</v>
      </c>
      <c r="H1445" t="str">
        <f>VLOOKUP(C1445,[1]products!$A:$B,2,0)</f>
        <v>Electra Townie Original 21D - 2016</v>
      </c>
      <c r="I1445">
        <f>VLOOKUP(H1445,[1]products!$B:$D,3,0)</f>
        <v>3</v>
      </c>
      <c r="J1445" t="str">
        <f>VLOOKUP(I1445,[2]categories!$A$2:$B$8,2,0)</f>
        <v>Cruisers Bicycles</v>
      </c>
    </row>
    <row r="1446" spans="1:10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0.07</v>
      </c>
      <c r="G1446" s="1">
        <f t="shared" si="22"/>
        <v>1440.57</v>
      </c>
      <c r="H1446" t="str">
        <f>VLOOKUP(C1446,[1]products!$A:$B,2,0)</f>
        <v>Surly Straggler - 2016</v>
      </c>
      <c r="I1446">
        <f>VLOOKUP(H1446,[1]products!$B:$D,3,0)</f>
        <v>4</v>
      </c>
      <c r="J1446" t="str">
        <f>VLOOKUP(I1446,[2]categories!$A$2:$B$8,2,0)</f>
        <v>Cyclocross Bicycles</v>
      </c>
    </row>
    <row r="1447" spans="1:10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 s="1">
        <f t="shared" si="22"/>
        <v>1056.792</v>
      </c>
      <c r="H1447" t="str">
        <f>VLOOKUP(C1447,[1]products!$A:$B,2,0)</f>
        <v>Heller Shagamaw Frame - 2016</v>
      </c>
      <c r="I1447">
        <f>VLOOKUP(H1447,[1]products!$B:$D,3,0)</f>
        <v>6</v>
      </c>
      <c r="J1447" t="str">
        <f>VLOOKUP(I1447,[2]categories!$A$2:$B$8,2,0)</f>
        <v>Mountain Bikes</v>
      </c>
    </row>
    <row r="1448" spans="1:10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 s="1">
        <f t="shared" si="22"/>
        <v>215.992</v>
      </c>
      <c r="H1448" t="str">
        <f>VLOOKUP(C1448,[1]products!$A:$B,2,0)</f>
        <v>Electra Girl's Hawaii 1 (16-inch) - 2015/2016</v>
      </c>
      <c r="I1448">
        <f>VLOOKUP(H1448,[1]products!$B:$D,3,0)</f>
        <v>3</v>
      </c>
      <c r="J1448" t="str">
        <f>VLOOKUP(I1448,[2]categories!$A$2:$B$8,2,0)</f>
        <v>Cruisers Bicycles</v>
      </c>
    </row>
    <row r="1449" spans="1:10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0.07</v>
      </c>
      <c r="G1449" s="1">
        <f t="shared" si="22"/>
        <v>5393.9814</v>
      </c>
      <c r="H1449" t="str">
        <f>VLOOKUP(C1449,[1]products!$A:$B,2,0)</f>
        <v>Trek Fuel EX 8 29 - 2016</v>
      </c>
      <c r="I1449">
        <f>VLOOKUP(H1449,[1]products!$B:$D,3,0)</f>
        <v>6</v>
      </c>
      <c r="J1449" t="str">
        <f>VLOOKUP(I1449,[2]categories!$A$2:$B$8,2,0)</f>
        <v>Mountain Bikes</v>
      </c>
    </row>
    <row r="1450" spans="1:10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0.07</v>
      </c>
      <c r="G1450" s="1">
        <f t="shared" si="22"/>
        <v>502.1814</v>
      </c>
      <c r="H1450" t="str">
        <f>VLOOKUP(C1450,[1]products!$A:$B,2,0)</f>
        <v>Electra Girl's Hawaii 1 (16-inch) - 2015/2016</v>
      </c>
      <c r="I1450">
        <f>VLOOKUP(H1450,[1]products!$B:$D,3,0)</f>
        <v>3</v>
      </c>
      <c r="J1450" t="str">
        <f>VLOOKUP(I1450,[2]categories!$A$2:$B$8,2,0)</f>
        <v>Cruisers Bicycles</v>
      </c>
    </row>
    <row r="1451" spans="1:10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 s="1">
        <f t="shared" si="22"/>
        <v>256.4905</v>
      </c>
      <c r="H1451" t="str">
        <f>VLOOKUP(C1451,[1]products!$A:$B,2,0)</f>
        <v>Electra Cruiser 1 (24-Inch) - 2016</v>
      </c>
      <c r="I1451">
        <f>VLOOKUP(H1451,[1]products!$B:$D,3,0)</f>
        <v>3</v>
      </c>
      <c r="J1451" t="str">
        <f>VLOOKUP(I1451,[2]categories!$A$2:$B$8,2,0)</f>
        <v>Cruisers Bicycles</v>
      </c>
    </row>
    <row r="1452" spans="1:10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 s="1">
        <f t="shared" si="22"/>
        <v>439.992</v>
      </c>
      <c r="H1452" t="str">
        <f>VLOOKUP(C1452,[1]products!$A:$B,2,0)</f>
        <v>Electra Townie Original 21D - 2016</v>
      </c>
      <c r="I1452">
        <f>VLOOKUP(H1452,[1]products!$B:$D,3,0)</f>
        <v>3</v>
      </c>
      <c r="J1452" t="str">
        <f>VLOOKUP(I1452,[2]categories!$A$2:$B$8,2,0)</f>
        <v>Cruisers Bicycles</v>
      </c>
    </row>
    <row r="1453" spans="1:10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 s="1">
        <f t="shared" si="22"/>
        <v>569.9905</v>
      </c>
      <c r="H1453" t="str">
        <f>VLOOKUP(C1453,[1]products!$A:$B,2,0)</f>
        <v>Electra Townie Original 7D EQ - Women's - 2016</v>
      </c>
      <c r="I1453">
        <f>VLOOKUP(H1453,[1]products!$B:$D,3,0)</f>
        <v>3</v>
      </c>
      <c r="J1453" t="str">
        <f>VLOOKUP(I1453,[2]categories!$A$2:$B$8,2,0)</f>
        <v>Cruisers Bicycles</v>
      </c>
    </row>
    <row r="1454" spans="1:10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 s="1">
        <f t="shared" si="22"/>
        <v>2377.782</v>
      </c>
      <c r="H1454" t="str">
        <f>VLOOKUP(C1454,[1]products!$A:$B,2,0)</f>
        <v>Heller Shagamaw Frame - 2016</v>
      </c>
      <c r="I1454">
        <f>VLOOKUP(H1454,[1]products!$B:$D,3,0)</f>
        <v>6</v>
      </c>
      <c r="J1454" t="str">
        <f>VLOOKUP(I1454,[2]categories!$A$2:$B$8,2,0)</f>
        <v>Mountain Bikes</v>
      </c>
    </row>
    <row r="1455" spans="1:10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0.07</v>
      </c>
      <c r="G1455" s="1">
        <f t="shared" si="22"/>
        <v>1115.9814</v>
      </c>
      <c r="H1455" t="str">
        <f>VLOOKUP(C1455,[1]products!$A:$B,2,0)</f>
        <v>Electra Townie Original 7D EQ - 2016</v>
      </c>
      <c r="I1455">
        <f>VLOOKUP(H1455,[1]products!$B:$D,3,0)</f>
        <v>3</v>
      </c>
      <c r="J1455" t="str">
        <f>VLOOKUP(I1455,[2]categories!$A$2:$B$8,2,0)</f>
        <v>Cruisers Bicycles</v>
      </c>
    </row>
    <row r="1456" spans="1:10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0.07</v>
      </c>
      <c r="G1456" s="1">
        <f t="shared" si="22"/>
        <v>1563.3207</v>
      </c>
      <c r="H1456" t="str">
        <f>VLOOKUP(C1456,[1]products!$A:$B,2,0)</f>
        <v>Surly Straggler 650b - 2016</v>
      </c>
      <c r="I1456">
        <f>VLOOKUP(H1456,[1]products!$B:$D,3,0)</f>
        <v>4</v>
      </c>
      <c r="J1456" t="str">
        <f>VLOOKUP(I1456,[2]categories!$A$2:$B$8,2,0)</f>
        <v>Cyclocross Bicycles</v>
      </c>
    </row>
    <row r="1457" spans="1:10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 s="1">
        <f t="shared" si="22"/>
        <v>712.4905</v>
      </c>
      <c r="H1457" t="str">
        <f>VLOOKUP(C1457,[1]products!$A:$B,2,0)</f>
        <v>Ritchey Timberwolf Frameset - 2016</v>
      </c>
      <c r="I1457">
        <f>VLOOKUP(H1457,[1]products!$B:$D,3,0)</f>
        <v>6</v>
      </c>
      <c r="J1457" t="str">
        <f>VLOOKUP(I1457,[2]categories!$A$2:$B$8,2,0)</f>
        <v>Mountain Bikes</v>
      </c>
    </row>
    <row r="1458" spans="1:10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 s="1">
        <f t="shared" si="22"/>
        <v>2399.992</v>
      </c>
      <c r="H1458" t="str">
        <f>VLOOKUP(C1458,[1]products!$A:$B,2,0)</f>
        <v>Trek Conduit+ - 2016</v>
      </c>
      <c r="I1458">
        <f>VLOOKUP(H1458,[1]products!$B:$D,3,0)</f>
        <v>5</v>
      </c>
      <c r="J1458" t="str">
        <f>VLOOKUP(I1458,[2]categories!$A$2:$B$8,2,0)</f>
        <v>Electric Bikes</v>
      </c>
    </row>
    <row r="1459" spans="1:10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0.07</v>
      </c>
      <c r="G1459" s="1">
        <f t="shared" si="22"/>
        <v>1859.9814</v>
      </c>
      <c r="H1459" t="str">
        <f>VLOOKUP(C1459,[1]products!$A:$B,2,0)</f>
        <v>Surly Wednesday Frameset - 2016</v>
      </c>
      <c r="I1459">
        <f>VLOOKUP(H1459,[1]products!$B:$D,3,0)</f>
        <v>6</v>
      </c>
      <c r="J1459" t="str">
        <f>VLOOKUP(I1459,[2]categories!$A$2:$B$8,2,0)</f>
        <v>Mountain Bikes</v>
      </c>
    </row>
    <row r="1460" spans="1:10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 s="1">
        <f t="shared" si="22"/>
        <v>569.9905</v>
      </c>
      <c r="H1460" t="str">
        <f>VLOOKUP(C1460,[1]products!$A:$B,2,0)</f>
        <v>Electra Townie Original 7D EQ - 2016</v>
      </c>
      <c r="I1460">
        <f>VLOOKUP(H1460,[1]products!$B:$D,3,0)</f>
        <v>3</v>
      </c>
      <c r="J1460" t="str">
        <f>VLOOKUP(I1460,[2]categories!$A$2:$B$8,2,0)</f>
        <v>Cruisers Bicycles</v>
      </c>
    </row>
    <row r="1461" spans="1:10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0.07</v>
      </c>
      <c r="G1461" s="1">
        <f t="shared" si="22"/>
        <v>5579.9814</v>
      </c>
      <c r="H1461" t="str">
        <f>VLOOKUP(C1461,[1]products!$A:$B,2,0)</f>
        <v>Trek Conduit+ - 2016</v>
      </c>
      <c r="I1461">
        <f>VLOOKUP(H1461,[1]products!$B:$D,3,0)</f>
        <v>5</v>
      </c>
      <c r="J1461" t="str">
        <f>VLOOKUP(I1461,[2]categories!$A$2:$B$8,2,0)</f>
        <v>Electric Bikes</v>
      </c>
    </row>
    <row r="1462" spans="1:10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0.07</v>
      </c>
      <c r="G1462" s="1">
        <f t="shared" si="22"/>
        <v>874.1814</v>
      </c>
      <c r="H1462" t="str">
        <f>VLOOKUP(C1462,[1]products!$A:$B,2,0)</f>
        <v>Surly Ice Cream Truck Frameset - 2016</v>
      </c>
      <c r="I1462">
        <f>VLOOKUP(H1462,[1]products!$B:$D,3,0)</f>
        <v>6</v>
      </c>
      <c r="J1462" t="str">
        <f>VLOOKUP(I1462,[2]categories!$A$2:$B$8,2,0)</f>
        <v>Mountain Bikes</v>
      </c>
    </row>
    <row r="1463" spans="1:10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 s="1">
        <f t="shared" si="22"/>
        <v>1394.1</v>
      </c>
      <c r="H1463" t="str">
        <f>VLOOKUP(C1463,[1]products!$A:$B,2,0)</f>
        <v>Surly Straggler - 2016</v>
      </c>
      <c r="I1463">
        <f>VLOOKUP(H1463,[1]products!$B:$D,3,0)</f>
        <v>4</v>
      </c>
      <c r="J1463" t="str">
        <f>VLOOKUP(I1463,[2]categories!$A$2:$B$8,2,0)</f>
        <v>Cyclocross Bicycles</v>
      </c>
    </row>
    <row r="1464" spans="1:10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 s="1">
        <f t="shared" si="22"/>
        <v>1799.982</v>
      </c>
      <c r="H1464" t="str">
        <f>VLOOKUP(C1464,[1]products!$A:$B,2,0)</f>
        <v>Surly Wednesday Frameset - 2016</v>
      </c>
      <c r="I1464">
        <f>VLOOKUP(H1464,[1]products!$B:$D,3,0)</f>
        <v>6</v>
      </c>
      <c r="J1464" t="str">
        <f>VLOOKUP(I1464,[2]categories!$A$2:$B$8,2,0)</f>
        <v>Mountain Bikes</v>
      </c>
    </row>
    <row r="1465" spans="1:10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 s="1">
        <f t="shared" si="22"/>
        <v>1619.991</v>
      </c>
      <c r="H1465" t="str">
        <f>VLOOKUP(C1465,[1]products!$A:$B,2,0)</f>
        <v>Trek Remedy 29 Carbon Frameset - 2016</v>
      </c>
      <c r="I1465">
        <f>VLOOKUP(H1465,[1]products!$B:$D,3,0)</f>
        <v>6</v>
      </c>
      <c r="J1465" t="str">
        <f>VLOOKUP(I1465,[2]categories!$A$2:$B$8,2,0)</f>
        <v>Mountain Bikes</v>
      </c>
    </row>
    <row r="1466" spans="1:10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 s="1">
        <f t="shared" si="22"/>
        <v>256.4905</v>
      </c>
      <c r="H1466" t="str">
        <f>VLOOKUP(C1466,[1]products!$A:$B,2,0)</f>
        <v>Electra Cruiser 1 (24-Inch) - 2016</v>
      </c>
      <c r="I1466">
        <f>VLOOKUP(H1466,[1]products!$B:$D,3,0)</f>
        <v>3</v>
      </c>
      <c r="J1466" t="str">
        <f>VLOOKUP(I1466,[2]categories!$A$2:$B$8,2,0)</f>
        <v>Cruisers Bicycles</v>
      </c>
    </row>
    <row r="1467" spans="1:10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0.07</v>
      </c>
      <c r="G1467" s="1">
        <f t="shared" si="22"/>
        <v>492.8907</v>
      </c>
      <c r="H1467" t="str">
        <f>VLOOKUP(C1467,[1]products!$A:$B,2,0)</f>
        <v>Electra Moto 1 - 2016</v>
      </c>
      <c r="I1467">
        <f>VLOOKUP(H1467,[1]products!$B:$D,3,0)</f>
        <v>3</v>
      </c>
      <c r="J1467" t="str">
        <f>VLOOKUP(I1467,[2]categories!$A$2:$B$8,2,0)</f>
        <v>Cruisers Bicycles</v>
      </c>
    </row>
    <row r="1468" spans="1:10">
      <c r="A1468">
        <v>527</v>
      </c>
      <c r="B1468">
        <v>1</v>
      </c>
      <c r="C1468">
        <v>18</v>
      </c>
      <c r="D1468">
        <v>2</v>
      </c>
      <c r="E1468">
        <v>449</v>
      </c>
      <c r="F1468">
        <v>0.07</v>
      </c>
      <c r="G1468" s="1">
        <f t="shared" si="22"/>
        <v>835.14</v>
      </c>
      <c r="H1468" t="str">
        <f>VLOOKUP(C1468,[1]products!$A:$B,2,0)</f>
        <v>Pure Cycles Western 3-Speed - Women's - 2015/2016</v>
      </c>
      <c r="I1468">
        <f>VLOOKUP(H1468,[1]products!$B:$D,3,0)</f>
        <v>3</v>
      </c>
      <c r="J1468" t="str">
        <f>VLOOKUP(I1468,[2]categories!$A$2:$B$8,2,0)</f>
        <v>Cruisers Bicycles</v>
      </c>
    </row>
    <row r="1469" spans="1:10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 s="1">
        <f t="shared" si="22"/>
        <v>2319.992</v>
      </c>
      <c r="H1469" t="str">
        <f>VLOOKUP(C1469,[1]products!$A:$B,2,0)</f>
        <v>Trek Fuel EX 8 29 - 2016</v>
      </c>
      <c r="I1469">
        <f>VLOOKUP(H1469,[1]products!$B:$D,3,0)</f>
        <v>6</v>
      </c>
      <c r="J1469" t="str">
        <f>VLOOKUP(I1469,[2]categories!$A$2:$B$8,2,0)</f>
        <v>Mountain Bikes</v>
      </c>
    </row>
    <row r="1470" spans="1:10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 s="1">
        <f t="shared" si="22"/>
        <v>404.1</v>
      </c>
      <c r="H1470" t="str">
        <f>VLOOKUP(C1470,[1]products!$A:$B,2,0)</f>
        <v>Pure Cycles William 3-Speed - 2016</v>
      </c>
      <c r="I1470">
        <f>VLOOKUP(H1470,[1]products!$B:$D,3,0)</f>
        <v>3</v>
      </c>
      <c r="J1470" t="str">
        <f>VLOOKUP(I1470,[2]categories!$A$2:$B$8,2,0)</f>
        <v>Cruisers Bicycles</v>
      </c>
    </row>
    <row r="1471" spans="1:10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 s="1">
        <f t="shared" si="22"/>
        <v>4799.984</v>
      </c>
      <c r="H1471" t="str">
        <f>VLOOKUP(C1471,[1]products!$A:$B,2,0)</f>
        <v>Trek Conduit+ - 2016</v>
      </c>
      <c r="I1471">
        <f>VLOOKUP(H1471,[1]products!$B:$D,3,0)</f>
        <v>5</v>
      </c>
      <c r="J1471" t="str">
        <f>VLOOKUP(I1471,[2]categories!$A$2:$B$8,2,0)</f>
        <v>Electric Bikes</v>
      </c>
    </row>
    <row r="1472" spans="1:10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 s="1">
        <f t="shared" si="22"/>
        <v>512.981</v>
      </c>
      <c r="H1472" t="str">
        <f>VLOOKUP(C1472,[1]products!$A:$B,2,0)</f>
        <v>Electra Cruiser 1 (24-Inch) - 2016</v>
      </c>
      <c r="I1472">
        <f>VLOOKUP(H1472,[1]products!$B:$D,3,0)</f>
        <v>3</v>
      </c>
      <c r="J1472" t="str">
        <f>VLOOKUP(I1472,[2]categories!$A$2:$B$8,2,0)</f>
        <v>Cruisers Bicycles</v>
      </c>
    </row>
    <row r="1473" spans="1:10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0.07</v>
      </c>
      <c r="G1473" s="1">
        <f t="shared" si="22"/>
        <v>1022.9814</v>
      </c>
      <c r="H1473" t="str">
        <f>VLOOKUP(C1473,[1]products!$A:$B,2,0)</f>
        <v>Electra Townie Original 21D - 2016</v>
      </c>
      <c r="I1473">
        <f>VLOOKUP(H1473,[1]products!$B:$D,3,0)</f>
        <v>3</v>
      </c>
      <c r="J1473" t="str">
        <f>VLOOKUP(I1473,[2]categories!$A$2:$B$8,2,0)</f>
        <v>Cruisers Bicycles</v>
      </c>
    </row>
    <row r="1474" spans="1:10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 s="1">
        <f t="shared" ref="G1474:G1537" si="23">D1474*E1474*(1-F1474)</f>
        <v>1424.981</v>
      </c>
      <c r="H1474" t="str">
        <f>VLOOKUP(C1474,[1]products!$A:$B,2,0)</f>
        <v>Ritchey Timberwolf Frameset - 2016</v>
      </c>
      <c r="I1474">
        <f>VLOOKUP(H1474,[1]products!$B:$D,3,0)</f>
        <v>6</v>
      </c>
      <c r="J1474" t="str">
        <f>VLOOKUP(I1474,[2]categories!$A$2:$B$8,2,0)</f>
        <v>Mountain Bikes</v>
      </c>
    </row>
    <row r="1475" spans="1:10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0.07</v>
      </c>
      <c r="G1475" s="1">
        <f t="shared" si="23"/>
        <v>2696.9907</v>
      </c>
      <c r="H1475" t="str">
        <f>VLOOKUP(C1475,[1]products!$A:$B,2,0)</f>
        <v>Trek Fuel EX 8 29 - 2016</v>
      </c>
      <c r="I1475">
        <f>VLOOKUP(H1475,[1]products!$B:$D,3,0)</f>
        <v>6</v>
      </c>
      <c r="J1475" t="str">
        <f>VLOOKUP(I1475,[2]categories!$A$2:$B$8,2,0)</f>
        <v>Mountain Bikes</v>
      </c>
    </row>
    <row r="1476" spans="1:10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 s="1">
        <f t="shared" si="23"/>
        <v>751.984</v>
      </c>
      <c r="H1476" t="str">
        <f>VLOOKUP(C1476,[1]products!$A:$B,2,0)</f>
        <v>Surly Ice Cream Truck Frameset - 2016</v>
      </c>
      <c r="I1476">
        <f>VLOOKUP(H1476,[1]products!$B:$D,3,0)</f>
        <v>6</v>
      </c>
      <c r="J1476" t="str">
        <f>VLOOKUP(I1476,[2]categories!$A$2:$B$8,2,0)</f>
        <v>Mountain Bikes</v>
      </c>
    </row>
    <row r="1477" spans="1:10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 s="1">
        <f t="shared" si="23"/>
        <v>375.992</v>
      </c>
      <c r="H1477" t="str">
        <f>VLOOKUP(C1477,[1]products!$A:$B,2,0)</f>
        <v>Surly Ice Cream Truck Frameset - 2016</v>
      </c>
      <c r="I1477">
        <f>VLOOKUP(H1477,[1]products!$B:$D,3,0)</f>
        <v>6</v>
      </c>
      <c r="J1477" t="str">
        <f>VLOOKUP(I1477,[2]categories!$A$2:$B$8,2,0)</f>
        <v>Mountain Bikes</v>
      </c>
    </row>
    <row r="1478" spans="1:10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 s="1">
        <f t="shared" si="23"/>
        <v>879.984</v>
      </c>
      <c r="H1478" t="str">
        <f>VLOOKUP(C1478,[1]products!$A:$B,2,0)</f>
        <v>Electra Townie Original 21D - 2016</v>
      </c>
      <c r="I1478">
        <f>VLOOKUP(H1478,[1]products!$B:$D,3,0)</f>
        <v>3</v>
      </c>
      <c r="J1478" t="str">
        <f>VLOOKUP(I1478,[2]categories!$A$2:$B$8,2,0)</f>
        <v>Cruisers Bicycles</v>
      </c>
    </row>
    <row r="1479" spans="1:10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0.07</v>
      </c>
      <c r="G1479" s="1">
        <f t="shared" si="23"/>
        <v>464.9907</v>
      </c>
      <c r="H1479" t="str">
        <f>VLOOKUP(C1479,[1]products!$A:$B,2,0)</f>
        <v>Electra Townie Original 7D - 2015/2016</v>
      </c>
      <c r="I1479">
        <f>VLOOKUP(H1479,[1]products!$B:$D,3,0)</f>
        <v>2</v>
      </c>
      <c r="J1479" t="str">
        <f>VLOOKUP(I1479,[2]categories!$A$2:$B$8,2,0)</f>
        <v>Comfort Bicycles</v>
      </c>
    </row>
    <row r="1480" spans="1:10">
      <c r="A1480">
        <v>532</v>
      </c>
      <c r="B1480">
        <v>1</v>
      </c>
      <c r="C1480">
        <v>17</v>
      </c>
      <c r="D1480">
        <v>2</v>
      </c>
      <c r="E1480">
        <v>429</v>
      </c>
      <c r="F1480">
        <v>0.07</v>
      </c>
      <c r="G1480" s="1">
        <f t="shared" si="23"/>
        <v>797.94</v>
      </c>
      <c r="H1480" t="str">
        <f>VLOOKUP(C1480,[1]products!$A:$B,2,0)</f>
        <v>Pure Cycles Vine 8-Speed - 2016</v>
      </c>
      <c r="I1480">
        <f>VLOOKUP(H1480,[1]products!$B:$D,3,0)</f>
        <v>3</v>
      </c>
      <c r="J1480" t="str">
        <f>VLOOKUP(I1480,[2]categories!$A$2:$B$8,2,0)</f>
        <v>Cruisers Bicycles</v>
      </c>
    </row>
    <row r="1481" spans="1:10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 s="1">
        <f t="shared" si="23"/>
        <v>959.984</v>
      </c>
      <c r="H1481" t="str">
        <f>VLOOKUP(C1481,[1]products!$A:$B,2,0)</f>
        <v>Electra Townie Original 7D EQ - 2016</v>
      </c>
      <c r="I1481">
        <f>VLOOKUP(H1481,[1]products!$B:$D,3,0)</f>
        <v>3</v>
      </c>
      <c r="J1481" t="str">
        <f>VLOOKUP(I1481,[2]categories!$A$2:$B$8,2,0)</f>
        <v>Cruisers Bicycles</v>
      </c>
    </row>
    <row r="1482" spans="1:10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 s="1">
        <f t="shared" si="23"/>
        <v>494.991</v>
      </c>
      <c r="H1482" t="str">
        <f>VLOOKUP(C1482,[1]products!$A:$B,2,0)</f>
        <v>Electra Townie Original 21D - 2016</v>
      </c>
      <c r="I1482">
        <f>VLOOKUP(H1482,[1]products!$B:$D,3,0)</f>
        <v>3</v>
      </c>
      <c r="J1482" t="str">
        <f>VLOOKUP(I1482,[2]categories!$A$2:$B$8,2,0)</f>
        <v>Cruisers Bicycles</v>
      </c>
    </row>
    <row r="1483" spans="1:10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 s="1">
        <f t="shared" si="23"/>
        <v>2319.992</v>
      </c>
      <c r="H1483" t="str">
        <f>VLOOKUP(C1483,[1]products!$A:$B,2,0)</f>
        <v>Trek Fuel EX 8 29 - 2016</v>
      </c>
      <c r="I1483">
        <f>VLOOKUP(H1483,[1]products!$B:$D,3,0)</f>
        <v>6</v>
      </c>
      <c r="J1483" t="str">
        <f>VLOOKUP(I1483,[2]categories!$A$2:$B$8,2,0)</f>
        <v>Mountain Bikes</v>
      </c>
    </row>
    <row r="1484" spans="1:10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 s="1">
        <f t="shared" si="23"/>
        <v>989.982</v>
      </c>
      <c r="H1484" t="str">
        <f>VLOOKUP(C1484,[1]products!$A:$B,2,0)</f>
        <v>Electra Townie Original 21D - 2016</v>
      </c>
      <c r="I1484">
        <f>VLOOKUP(H1484,[1]products!$B:$D,3,0)</f>
        <v>3</v>
      </c>
      <c r="J1484" t="str">
        <f>VLOOKUP(I1484,[2]categories!$A$2:$B$8,2,0)</f>
        <v>Cruisers Bicycles</v>
      </c>
    </row>
    <row r="1485" spans="1:10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 s="1">
        <f t="shared" si="23"/>
        <v>1239.2</v>
      </c>
      <c r="H1485" t="str">
        <f>VLOOKUP(C1485,[1]products!$A:$B,2,0)</f>
        <v>Surly Straggler - 2016</v>
      </c>
      <c r="I1485">
        <f>VLOOKUP(H1485,[1]products!$B:$D,3,0)</f>
        <v>4</v>
      </c>
      <c r="J1485" t="str">
        <f>VLOOKUP(I1485,[2]categories!$A$2:$B$8,2,0)</f>
        <v>Cyclocross Bicycles</v>
      </c>
    </row>
    <row r="1486" spans="1:10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 s="1">
        <f t="shared" si="23"/>
        <v>474.9905</v>
      </c>
      <c r="H1486" t="str">
        <f>VLOOKUP(C1486,[1]products!$A:$B,2,0)</f>
        <v>Electra Townie Original 7D - 2015/2016</v>
      </c>
      <c r="I1486">
        <f>VLOOKUP(H1486,[1]products!$B:$D,3,0)</f>
        <v>2</v>
      </c>
      <c r="J1486" t="str">
        <f>VLOOKUP(I1486,[2]categories!$A$2:$B$8,2,0)</f>
        <v>Comfort Bicycles</v>
      </c>
    </row>
    <row r="1487" spans="1:10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 s="1">
        <f t="shared" si="23"/>
        <v>512.981</v>
      </c>
      <c r="H1487" t="str">
        <f>VLOOKUP(C1487,[1]products!$A:$B,2,0)</f>
        <v>Electra Cruiser 1 (24-Inch) - 2016</v>
      </c>
      <c r="I1487">
        <f>VLOOKUP(H1487,[1]products!$B:$D,3,0)</f>
        <v>3</v>
      </c>
      <c r="J1487" t="str">
        <f>VLOOKUP(I1487,[2]categories!$A$2:$B$8,2,0)</f>
        <v>Cruisers Bicycles</v>
      </c>
    </row>
    <row r="1488" spans="1:10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 s="1">
        <f t="shared" si="23"/>
        <v>5699.981</v>
      </c>
      <c r="H1488" t="str">
        <f>VLOOKUP(C1488,[1]products!$A:$B,2,0)</f>
        <v>Trek Conduit+ - 2016</v>
      </c>
      <c r="I1488">
        <f>VLOOKUP(H1488,[1]products!$B:$D,3,0)</f>
        <v>5</v>
      </c>
      <c r="J1488" t="str">
        <f>VLOOKUP(I1488,[2]categories!$A$2:$B$8,2,0)</f>
        <v>Electric Bikes</v>
      </c>
    </row>
    <row r="1489" spans="1:10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0.07</v>
      </c>
      <c r="G1489" s="1">
        <f t="shared" si="23"/>
        <v>697.4907</v>
      </c>
      <c r="H1489" t="str">
        <f>VLOOKUP(C1489,[1]products!$A:$B,2,0)</f>
        <v>Ritchey Timberwolf Frameset - 2016</v>
      </c>
      <c r="I1489">
        <f>VLOOKUP(H1489,[1]products!$B:$D,3,0)</f>
        <v>6</v>
      </c>
      <c r="J1489" t="str">
        <f>VLOOKUP(I1489,[2]categories!$A$2:$B$8,2,0)</f>
        <v>Mountain Bikes</v>
      </c>
    </row>
    <row r="1490" spans="1:10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 s="1">
        <f t="shared" si="23"/>
        <v>989.982</v>
      </c>
      <c r="H1490" t="str">
        <f>VLOOKUP(C1490,[1]products!$A:$B,2,0)</f>
        <v>Electra Townie Original 21D - 2016</v>
      </c>
      <c r="I1490">
        <f>VLOOKUP(H1490,[1]products!$B:$D,3,0)</f>
        <v>3</v>
      </c>
      <c r="J1490" t="str">
        <f>VLOOKUP(I1490,[2]categories!$A$2:$B$8,2,0)</f>
        <v>Cruisers Bicycles</v>
      </c>
    </row>
    <row r="1491" spans="1:10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 s="1">
        <f t="shared" si="23"/>
        <v>522.4905</v>
      </c>
      <c r="H1491" t="str">
        <f>VLOOKUP(C1491,[1]products!$A:$B,2,0)</f>
        <v>Electra Townie Original 21D - 2016</v>
      </c>
      <c r="I1491">
        <f>VLOOKUP(H1491,[1]products!$B:$D,3,0)</f>
        <v>3</v>
      </c>
      <c r="J1491" t="str">
        <f>VLOOKUP(I1491,[2]categories!$A$2:$B$8,2,0)</f>
        <v>Cruisers Bicycles</v>
      </c>
    </row>
    <row r="1492" spans="1:10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 s="1">
        <f t="shared" si="23"/>
        <v>476.991</v>
      </c>
      <c r="H1492" t="str">
        <f>VLOOKUP(C1492,[1]products!$A:$B,2,0)</f>
        <v>Electra Moto 1 - 2016</v>
      </c>
      <c r="I1492">
        <f>VLOOKUP(H1492,[1]products!$B:$D,3,0)</f>
        <v>3</v>
      </c>
      <c r="J1492" t="str">
        <f>VLOOKUP(I1492,[2]categories!$A$2:$B$8,2,0)</f>
        <v>Cruisers Bicycles</v>
      </c>
    </row>
    <row r="1493" spans="1:10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 s="1">
        <f t="shared" si="23"/>
        <v>485.982</v>
      </c>
      <c r="H1493" t="str">
        <f>VLOOKUP(C1493,[1]products!$A:$B,2,0)</f>
        <v>Electra Girl's Hawaii 1 (16-inch) - 2015/2016</v>
      </c>
      <c r="I1493">
        <f>VLOOKUP(H1493,[1]products!$B:$D,3,0)</f>
        <v>3</v>
      </c>
      <c r="J1493" t="str">
        <f>VLOOKUP(I1493,[2]categories!$A$2:$B$8,2,0)</f>
        <v>Cruisers Bicycles</v>
      </c>
    </row>
    <row r="1494" spans="1:10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 s="1">
        <f t="shared" si="23"/>
        <v>242.991</v>
      </c>
      <c r="H1494" t="str">
        <f>VLOOKUP(C1494,[1]products!$A:$B,2,0)</f>
        <v>Electra Girl's Hawaii 1 (16-inch) - 2015/2016</v>
      </c>
      <c r="I1494">
        <f>VLOOKUP(H1494,[1]products!$B:$D,3,0)</f>
        <v>3</v>
      </c>
      <c r="J1494" t="str">
        <f>VLOOKUP(I1494,[2]categories!$A$2:$B$8,2,0)</f>
        <v>Cruisers Bicycles</v>
      </c>
    </row>
    <row r="1495" spans="1:10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 s="1">
        <f t="shared" si="23"/>
        <v>674.991</v>
      </c>
      <c r="H1495" t="str">
        <f>VLOOKUP(C1495,[1]products!$A:$B,2,0)</f>
        <v>Ritchey Timberwolf Frameset - 2016</v>
      </c>
      <c r="I1495">
        <f>VLOOKUP(H1495,[1]products!$B:$D,3,0)</f>
        <v>6</v>
      </c>
      <c r="J1495" t="str">
        <f>VLOOKUP(I1495,[2]categories!$A$2:$B$8,2,0)</f>
        <v>Mountain Bikes</v>
      </c>
    </row>
    <row r="1496" spans="1:10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 s="1">
        <f t="shared" si="23"/>
        <v>1044.981</v>
      </c>
      <c r="H1496" t="str">
        <f>VLOOKUP(C1496,[1]products!$A:$B,2,0)</f>
        <v>Electra Townie Original 21D - 2016</v>
      </c>
      <c r="I1496">
        <f>VLOOKUP(H1496,[1]products!$B:$D,3,0)</f>
        <v>3</v>
      </c>
      <c r="J1496" t="str">
        <f>VLOOKUP(I1496,[2]categories!$A$2:$B$8,2,0)</f>
        <v>Cruisers Bicycles</v>
      </c>
    </row>
    <row r="1497" spans="1:10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0.07</v>
      </c>
      <c r="G1497" s="1">
        <f t="shared" si="23"/>
        <v>251.0907</v>
      </c>
      <c r="H1497" t="str">
        <f>VLOOKUP(C1497,[1]products!$A:$B,2,0)</f>
        <v>Electra Girl's Hawaii 1 (16-inch) - 2015/2016</v>
      </c>
      <c r="I1497">
        <f>VLOOKUP(H1497,[1]products!$B:$D,3,0)</f>
        <v>3</v>
      </c>
      <c r="J1497" t="str">
        <f>VLOOKUP(I1497,[2]categories!$A$2:$B$8,2,0)</f>
        <v>Cruisers Bicycles</v>
      </c>
    </row>
    <row r="1498" spans="1:10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 s="1">
        <f t="shared" si="23"/>
        <v>1471.55</v>
      </c>
      <c r="H1498" t="str">
        <f>VLOOKUP(C1498,[1]products!$A:$B,2,0)</f>
        <v>Surly Straggler - 2016</v>
      </c>
      <c r="I1498">
        <f>VLOOKUP(H1498,[1]products!$B:$D,3,0)</f>
        <v>4</v>
      </c>
      <c r="J1498" t="str">
        <f>VLOOKUP(I1498,[2]categories!$A$2:$B$8,2,0)</f>
        <v>Cyclocross Bicycles</v>
      </c>
    </row>
    <row r="1499" spans="1:10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 s="1">
        <f t="shared" si="23"/>
        <v>569.9905</v>
      </c>
      <c r="H1499" t="str">
        <f>VLOOKUP(C1499,[1]products!$A:$B,2,0)</f>
        <v>Electra Townie Original 7D EQ - 2016</v>
      </c>
      <c r="I1499">
        <f>VLOOKUP(H1499,[1]products!$B:$D,3,0)</f>
        <v>3</v>
      </c>
      <c r="J1499" t="str">
        <f>VLOOKUP(I1499,[2]categories!$A$2:$B$8,2,0)</f>
        <v>Cruisers Bicycles</v>
      </c>
    </row>
    <row r="1500" spans="1:10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 s="1">
        <f t="shared" si="23"/>
        <v>772.2</v>
      </c>
      <c r="H1500" t="str">
        <f>VLOOKUP(C1500,[1]products!$A:$B,2,0)</f>
        <v>Pure Cycles Vine 8-Speed - 2016</v>
      </c>
      <c r="I1500">
        <f>VLOOKUP(H1500,[1]products!$B:$D,3,0)</f>
        <v>3</v>
      </c>
      <c r="J1500" t="str">
        <f>VLOOKUP(I1500,[2]categories!$A$2:$B$8,2,0)</f>
        <v>Cruisers Bicycles</v>
      </c>
    </row>
    <row r="1501" spans="1:10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 s="1">
        <f t="shared" si="23"/>
        <v>799.984</v>
      </c>
      <c r="H1501" t="str">
        <f>VLOOKUP(C1501,[1]products!$A:$B,2,0)</f>
        <v>Electra Townie Original 7D - 2015/2016</v>
      </c>
      <c r="I1501">
        <f>VLOOKUP(H1501,[1]products!$B:$D,3,0)</f>
        <v>2</v>
      </c>
      <c r="J1501" t="str">
        <f>VLOOKUP(I1501,[2]categories!$A$2:$B$8,2,0)</f>
        <v>Comfort Bicycles</v>
      </c>
    </row>
    <row r="1502" spans="1:10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 s="1">
        <f t="shared" si="23"/>
        <v>1199.984</v>
      </c>
      <c r="H1502" t="str">
        <f>VLOOKUP(C1502,[1]products!$A:$B,2,0)</f>
        <v>Ritchey Timberwolf Frameset - 2016</v>
      </c>
      <c r="I1502">
        <f>VLOOKUP(H1502,[1]products!$B:$D,3,0)</f>
        <v>6</v>
      </c>
      <c r="J1502" t="str">
        <f>VLOOKUP(I1502,[2]categories!$A$2:$B$8,2,0)</f>
        <v>Mountain Bikes</v>
      </c>
    </row>
    <row r="1503" spans="1:10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 s="1">
        <f t="shared" si="23"/>
        <v>5399.982</v>
      </c>
      <c r="H1503" t="str">
        <f>VLOOKUP(C1503,[1]products!$A:$B,2,0)</f>
        <v>Trek Conduit+ - 2016</v>
      </c>
      <c r="I1503">
        <f>VLOOKUP(H1503,[1]products!$B:$D,3,0)</f>
        <v>5</v>
      </c>
      <c r="J1503" t="str">
        <f>VLOOKUP(I1503,[2]categories!$A$2:$B$8,2,0)</f>
        <v>Electric Bikes</v>
      </c>
    </row>
    <row r="1504" spans="1:10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 s="1">
        <f t="shared" si="23"/>
        <v>284.9905</v>
      </c>
      <c r="H1504" t="str">
        <f>VLOOKUP(C1504,[1]products!$A:$B,2,0)</f>
        <v>Electra Girl's Hawaii 1 (20-inch) - 2015/2016</v>
      </c>
      <c r="I1504">
        <f>VLOOKUP(H1504,[1]products!$B:$D,3,0)</f>
        <v>1</v>
      </c>
      <c r="J1504" t="str">
        <f>VLOOKUP(I1504,[2]categories!$A$2:$B$8,2,0)</f>
        <v>Children Bicycles</v>
      </c>
    </row>
    <row r="1505" spans="1:10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0.07</v>
      </c>
      <c r="G1505" s="1">
        <f t="shared" si="23"/>
        <v>502.1814</v>
      </c>
      <c r="H1505" t="str">
        <f>VLOOKUP(C1505,[1]products!$A:$B,2,0)</f>
        <v>Electra Cruiser 1 (24-Inch) - 2016</v>
      </c>
      <c r="I1505">
        <f>VLOOKUP(H1505,[1]products!$B:$D,3,0)</f>
        <v>3</v>
      </c>
      <c r="J1505" t="str">
        <f>VLOOKUP(I1505,[2]categories!$A$2:$B$8,2,0)</f>
        <v>Cruisers Bicycles</v>
      </c>
    </row>
    <row r="1506" spans="1:10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 s="1">
        <f t="shared" si="23"/>
        <v>404.1</v>
      </c>
      <c r="H1506" t="str">
        <f>VLOOKUP(C1506,[1]products!$A:$B,2,0)</f>
        <v>Pure Cycles William 3-Speed - 2016</v>
      </c>
      <c r="I1506">
        <f>VLOOKUP(H1506,[1]products!$B:$D,3,0)</f>
        <v>3</v>
      </c>
      <c r="J1506" t="str">
        <f>VLOOKUP(I1506,[2]categories!$A$2:$B$8,2,0)</f>
        <v>Cruisers Bicycles</v>
      </c>
    </row>
    <row r="1507" spans="1:10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 s="1">
        <f t="shared" si="23"/>
        <v>1079.982</v>
      </c>
      <c r="H1507" t="str">
        <f>VLOOKUP(C1507,[1]products!$A:$B,2,0)</f>
        <v>Electra Townie Original 7D EQ - 2016</v>
      </c>
      <c r="I1507">
        <f>VLOOKUP(H1507,[1]products!$B:$D,3,0)</f>
        <v>3</v>
      </c>
      <c r="J1507" t="str">
        <f>VLOOKUP(I1507,[2]categories!$A$2:$B$8,2,0)</f>
        <v>Cruisers Bicycles</v>
      </c>
    </row>
    <row r="1508" spans="1:10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0.07</v>
      </c>
      <c r="G1508" s="1">
        <f t="shared" si="23"/>
        <v>557.9814</v>
      </c>
      <c r="H1508" t="str">
        <f>VLOOKUP(C1508,[1]products!$A:$B,2,0)</f>
        <v>Electra Girl's Hawaii 1 (20-inch) - 2015/2016</v>
      </c>
      <c r="I1508">
        <f>VLOOKUP(H1508,[1]products!$B:$D,3,0)</f>
        <v>1</v>
      </c>
      <c r="J1508" t="str">
        <f>VLOOKUP(I1508,[2]categories!$A$2:$B$8,2,0)</f>
        <v>Children Bicycles</v>
      </c>
    </row>
    <row r="1509" spans="1:10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 s="1">
        <f t="shared" si="23"/>
        <v>512.981</v>
      </c>
      <c r="H1509" t="str">
        <f>VLOOKUP(C1509,[1]products!$A:$B,2,0)</f>
        <v>Electra Girl's Hawaii 1 (16-inch) - 2015/2016</v>
      </c>
      <c r="I1509">
        <f>VLOOKUP(H1509,[1]products!$B:$D,3,0)</f>
        <v>3</v>
      </c>
      <c r="J1509" t="str">
        <f>VLOOKUP(I1509,[2]categories!$A$2:$B$8,2,0)</f>
        <v>Cruisers Bicycles</v>
      </c>
    </row>
    <row r="1510" spans="1:10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 s="1">
        <f t="shared" si="23"/>
        <v>959.984</v>
      </c>
      <c r="H1510" t="str">
        <f>VLOOKUP(C1510,[1]products!$A:$B,2,0)</f>
        <v>Electra Townie Original 7D EQ - 2016</v>
      </c>
      <c r="I1510">
        <f>VLOOKUP(H1510,[1]products!$B:$D,3,0)</f>
        <v>3</v>
      </c>
      <c r="J1510" t="str">
        <f>VLOOKUP(I1510,[2]categories!$A$2:$B$8,2,0)</f>
        <v>Cruisers Bicycles</v>
      </c>
    </row>
    <row r="1511" spans="1:10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 s="1">
        <f t="shared" si="23"/>
        <v>2699.991</v>
      </c>
      <c r="H1511" t="str">
        <f>VLOOKUP(C1511,[1]products!$A:$B,2,0)</f>
        <v>Trek Conduit+ - 2016</v>
      </c>
      <c r="I1511">
        <f>VLOOKUP(H1511,[1]products!$B:$D,3,0)</f>
        <v>5</v>
      </c>
      <c r="J1511" t="str">
        <f>VLOOKUP(I1511,[2]categories!$A$2:$B$8,2,0)</f>
        <v>Electric Bikes</v>
      </c>
    </row>
    <row r="1512" spans="1:10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 s="1">
        <f t="shared" si="23"/>
        <v>539.991</v>
      </c>
      <c r="H1512" t="str">
        <f>VLOOKUP(C1512,[1]products!$A:$B,2,0)</f>
        <v>Electra Townie Original 7D EQ - Women's - 2016</v>
      </c>
      <c r="I1512">
        <f>VLOOKUP(H1512,[1]products!$B:$D,3,0)</f>
        <v>3</v>
      </c>
      <c r="J1512" t="str">
        <f>VLOOKUP(I1512,[2]categories!$A$2:$B$8,2,0)</f>
        <v>Cruisers Bicycles</v>
      </c>
    </row>
    <row r="1513" spans="1:10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 s="1">
        <f t="shared" si="23"/>
        <v>718.4</v>
      </c>
      <c r="H1513" t="str">
        <f>VLOOKUP(C1513,[1]products!$A:$B,2,0)</f>
        <v>Pure Cycles William 3-Speed - 2016</v>
      </c>
      <c r="I1513">
        <f>VLOOKUP(H1513,[1]products!$B:$D,3,0)</f>
        <v>3</v>
      </c>
      <c r="J1513" t="str">
        <f>VLOOKUP(I1513,[2]categories!$A$2:$B$8,2,0)</f>
        <v>Cruisers Bicycles</v>
      </c>
    </row>
    <row r="1514" spans="1:10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 s="1">
        <f t="shared" si="23"/>
        <v>399.992</v>
      </c>
      <c r="H1514" t="str">
        <f>VLOOKUP(C1514,[1]products!$A:$B,2,0)</f>
        <v>Electra Townie Original 7D - 2015/2016</v>
      </c>
      <c r="I1514">
        <f>VLOOKUP(H1514,[1]products!$B:$D,3,0)</f>
        <v>2</v>
      </c>
      <c r="J1514" t="str">
        <f>VLOOKUP(I1514,[2]categories!$A$2:$B$8,2,0)</f>
        <v>Comfort Bicycles</v>
      </c>
    </row>
    <row r="1515" spans="1:10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 s="1">
        <f t="shared" si="23"/>
        <v>359.2</v>
      </c>
      <c r="H1515" t="str">
        <f>VLOOKUP(C1515,[1]products!$A:$B,2,0)</f>
        <v>Pure Cycles Western 3-Speed - Women's - 2015/2016</v>
      </c>
      <c r="I1515">
        <f>VLOOKUP(H1515,[1]products!$B:$D,3,0)</f>
        <v>3</v>
      </c>
      <c r="J1515" t="str">
        <f>VLOOKUP(I1515,[2]categories!$A$2:$B$8,2,0)</f>
        <v>Cruisers Bicycles</v>
      </c>
    </row>
    <row r="1516" spans="1:10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 s="1">
        <f t="shared" si="23"/>
        <v>1139.981</v>
      </c>
      <c r="H1516" t="str">
        <f>VLOOKUP(C1516,[1]products!$A:$B,2,0)</f>
        <v>Electra Townie Original 7D EQ - 2016</v>
      </c>
      <c r="I1516">
        <f>VLOOKUP(H1516,[1]products!$B:$D,3,0)</f>
        <v>3</v>
      </c>
      <c r="J1516" t="str">
        <f>VLOOKUP(I1516,[2]categories!$A$2:$B$8,2,0)</f>
        <v>Cruisers Bicycles</v>
      </c>
    </row>
    <row r="1517" spans="1:10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 s="1">
        <f t="shared" si="23"/>
        <v>522.4905</v>
      </c>
      <c r="H1517" t="str">
        <f>VLOOKUP(C1517,[1]products!$A:$B,2,0)</f>
        <v>Electra Townie Original 21D - 2016</v>
      </c>
      <c r="I1517">
        <f>VLOOKUP(H1517,[1]products!$B:$D,3,0)</f>
        <v>3</v>
      </c>
      <c r="J1517" t="str">
        <f>VLOOKUP(I1517,[2]categories!$A$2:$B$8,2,0)</f>
        <v>Cruisers Bicycles</v>
      </c>
    </row>
    <row r="1518" spans="1:10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 s="1">
        <f t="shared" si="23"/>
        <v>386.1</v>
      </c>
      <c r="H1518" t="str">
        <f>VLOOKUP(C1518,[1]products!$A:$B,2,0)</f>
        <v>Pure Cycles Vine 8-Speed - 2016</v>
      </c>
      <c r="I1518">
        <f>VLOOKUP(H1518,[1]products!$B:$D,3,0)</f>
        <v>3</v>
      </c>
      <c r="J1518" t="str">
        <f>VLOOKUP(I1518,[2]categories!$A$2:$B$8,2,0)</f>
        <v>Cruisers Bicycles</v>
      </c>
    </row>
    <row r="1519" spans="1:10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 s="1">
        <f t="shared" si="23"/>
        <v>256.4905</v>
      </c>
      <c r="H1519" t="str">
        <f>VLOOKUP(C1519,[1]products!$A:$B,2,0)</f>
        <v>Electra Cruiser 1 (24-Inch) - 2016</v>
      </c>
      <c r="I1519">
        <f>VLOOKUP(H1519,[1]products!$B:$D,3,0)</f>
        <v>3</v>
      </c>
      <c r="J1519" t="str">
        <f>VLOOKUP(I1519,[2]categories!$A$2:$B$8,2,0)</f>
        <v>Cruisers Bicycles</v>
      </c>
    </row>
    <row r="1520" spans="1:10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 s="1">
        <f t="shared" si="23"/>
        <v>799.984</v>
      </c>
      <c r="H1520" t="str">
        <f>VLOOKUP(C1520,[1]products!$A:$B,2,0)</f>
        <v>Electra Townie Original 7D - 2015/2016</v>
      </c>
      <c r="I1520">
        <f>VLOOKUP(H1520,[1]products!$B:$D,3,0)</f>
        <v>2</v>
      </c>
      <c r="J1520" t="str">
        <f>VLOOKUP(I1520,[2]categories!$A$2:$B$8,2,0)</f>
        <v>Comfort Bicycles</v>
      </c>
    </row>
    <row r="1521" spans="1:10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0.07</v>
      </c>
      <c r="G1521" s="1">
        <f t="shared" si="23"/>
        <v>437.0907</v>
      </c>
      <c r="H1521" t="str">
        <f>VLOOKUP(C1521,[1]products!$A:$B,2,0)</f>
        <v>Surly Ice Cream Truck Frameset - 2016</v>
      </c>
      <c r="I1521">
        <f>VLOOKUP(H1521,[1]products!$B:$D,3,0)</f>
        <v>6</v>
      </c>
      <c r="J1521" t="str">
        <f>VLOOKUP(I1521,[2]categories!$A$2:$B$8,2,0)</f>
        <v>Mountain Bikes</v>
      </c>
    </row>
    <row r="1522" spans="1:10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 s="1">
        <f t="shared" si="23"/>
        <v>439.992</v>
      </c>
      <c r="H1522" t="str">
        <f>VLOOKUP(C1522,[1]products!$A:$B,2,0)</f>
        <v>Electra Townie Original 21D - 2016</v>
      </c>
      <c r="I1522">
        <f>VLOOKUP(H1522,[1]products!$B:$D,3,0)</f>
        <v>3</v>
      </c>
      <c r="J1522" t="str">
        <f>VLOOKUP(I1522,[2]categories!$A$2:$B$8,2,0)</f>
        <v>Cruisers Bicycles</v>
      </c>
    </row>
    <row r="1523" spans="1:10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0.07</v>
      </c>
      <c r="G1523" s="1">
        <f t="shared" si="23"/>
        <v>1115.9814</v>
      </c>
      <c r="H1523" t="str">
        <f>VLOOKUP(C1523,[1]products!$A:$B,2,0)</f>
        <v>Electra Townie Original 7D EQ - Women's - 2016</v>
      </c>
      <c r="I1523">
        <f>VLOOKUP(H1523,[1]products!$B:$D,3,0)</f>
        <v>3</v>
      </c>
      <c r="J1523" t="str">
        <f>VLOOKUP(I1523,[2]categories!$A$2:$B$8,2,0)</f>
        <v>Cruisers Bicycles</v>
      </c>
    </row>
    <row r="1524" spans="1:10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 s="1">
        <f t="shared" si="23"/>
        <v>815.1</v>
      </c>
      <c r="H1524" t="str">
        <f>VLOOKUP(C1524,[1]products!$A:$B,2,0)</f>
        <v>Pure Cycles Vine 8-Speed - 2016</v>
      </c>
      <c r="I1524">
        <f>VLOOKUP(H1524,[1]products!$B:$D,3,0)</f>
        <v>3</v>
      </c>
      <c r="J1524" t="str">
        <f>VLOOKUP(I1524,[2]categories!$A$2:$B$8,2,0)</f>
        <v>Cruisers Bicycles</v>
      </c>
    </row>
    <row r="1525" spans="1:10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 s="1">
        <f t="shared" si="23"/>
        <v>1619.991</v>
      </c>
      <c r="H1525" t="str">
        <f>VLOOKUP(C1525,[1]products!$A:$B,2,0)</f>
        <v>Trek Remedy 29 Carbon Frameset - 2016</v>
      </c>
      <c r="I1525">
        <f>VLOOKUP(H1525,[1]products!$B:$D,3,0)</f>
        <v>6</v>
      </c>
      <c r="J1525" t="str">
        <f>VLOOKUP(I1525,[2]categories!$A$2:$B$8,2,0)</f>
        <v>Mountain Bikes</v>
      </c>
    </row>
    <row r="1526" spans="1:10">
      <c r="A1526">
        <v>546</v>
      </c>
      <c r="B1526">
        <v>3</v>
      </c>
      <c r="C1526">
        <v>18</v>
      </c>
      <c r="D1526">
        <v>2</v>
      </c>
      <c r="E1526">
        <v>449</v>
      </c>
      <c r="F1526">
        <v>0.07</v>
      </c>
      <c r="G1526" s="1">
        <f t="shared" si="23"/>
        <v>835.14</v>
      </c>
      <c r="H1526" t="str">
        <f>VLOOKUP(C1526,[1]products!$A:$B,2,0)</f>
        <v>Pure Cycles Western 3-Speed - Women's - 2015/2016</v>
      </c>
      <c r="I1526">
        <f>VLOOKUP(H1526,[1]products!$B:$D,3,0)</f>
        <v>3</v>
      </c>
      <c r="J1526" t="str">
        <f>VLOOKUP(I1526,[2]categories!$A$2:$B$8,2,0)</f>
        <v>Cruisers Bicycles</v>
      </c>
    </row>
    <row r="1527" spans="1:10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 s="1">
        <f t="shared" si="23"/>
        <v>3193.881</v>
      </c>
      <c r="H1527" t="str">
        <f>VLOOKUP(C1527,[1]products!$A:$B,2,0)</f>
        <v>Surly Straggler 650b - 2016</v>
      </c>
      <c r="I1527">
        <f>VLOOKUP(H1527,[1]products!$B:$D,3,0)</f>
        <v>4</v>
      </c>
      <c r="J1527" t="str">
        <f>VLOOKUP(I1527,[2]categories!$A$2:$B$8,2,0)</f>
        <v>Cyclocross Bicycles</v>
      </c>
    </row>
    <row r="1528" spans="1:10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 s="1">
        <f t="shared" si="23"/>
        <v>2399.992</v>
      </c>
      <c r="H1528" t="str">
        <f>VLOOKUP(C1528,[1]products!$A:$B,2,0)</f>
        <v>Trek Conduit+ - 2016</v>
      </c>
      <c r="I1528">
        <f>VLOOKUP(H1528,[1]products!$B:$D,3,0)</f>
        <v>5</v>
      </c>
      <c r="J1528" t="str">
        <f>VLOOKUP(I1528,[2]categories!$A$2:$B$8,2,0)</f>
        <v>Electric Bikes</v>
      </c>
    </row>
    <row r="1529" spans="1:10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 s="1">
        <f t="shared" si="23"/>
        <v>1188.891</v>
      </c>
      <c r="H1529" t="str">
        <f>VLOOKUP(C1529,[1]products!$A:$B,2,0)</f>
        <v>Heller Shagamaw Frame - 2016</v>
      </c>
      <c r="I1529">
        <f>VLOOKUP(H1529,[1]products!$B:$D,3,0)</f>
        <v>6</v>
      </c>
      <c r="J1529" t="str">
        <f>VLOOKUP(I1529,[2]categories!$A$2:$B$8,2,0)</f>
        <v>Mountain Bikes</v>
      </c>
    </row>
    <row r="1530" spans="1:10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 s="1">
        <f t="shared" si="23"/>
        <v>1619.991</v>
      </c>
      <c r="H1530" t="str">
        <f>VLOOKUP(C1530,[1]products!$A:$B,2,0)</f>
        <v>Trek Remedy 29 Carbon Frameset - 2016</v>
      </c>
      <c r="I1530">
        <f>VLOOKUP(H1530,[1]products!$B:$D,3,0)</f>
        <v>6</v>
      </c>
      <c r="J1530" t="str">
        <f>VLOOKUP(I1530,[2]categories!$A$2:$B$8,2,0)</f>
        <v>Mountain Bikes</v>
      </c>
    </row>
    <row r="1531" spans="1:10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0.07</v>
      </c>
      <c r="G1531" s="1">
        <f t="shared" si="23"/>
        <v>3126.6414</v>
      </c>
      <c r="H1531" t="str">
        <f>VLOOKUP(C1531,[1]products!$A:$B,2,0)</f>
        <v>Surly Straggler 650b - 2016</v>
      </c>
      <c r="I1531">
        <f>VLOOKUP(H1531,[1]products!$B:$D,3,0)</f>
        <v>4</v>
      </c>
      <c r="J1531" t="str">
        <f>VLOOKUP(I1531,[2]categories!$A$2:$B$8,2,0)</f>
        <v>Cyclocross Bicycles</v>
      </c>
    </row>
    <row r="1532" spans="1:10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0.07</v>
      </c>
      <c r="G1532" s="1">
        <f t="shared" si="23"/>
        <v>492.8907</v>
      </c>
      <c r="H1532" t="str">
        <f>VLOOKUP(C1532,[1]products!$A:$B,2,0)</f>
        <v>Electra Moto 1 - 2016</v>
      </c>
      <c r="I1532">
        <f>VLOOKUP(H1532,[1]products!$B:$D,3,0)</f>
        <v>3</v>
      </c>
      <c r="J1532" t="str">
        <f>VLOOKUP(I1532,[2]categories!$A$2:$B$8,2,0)</f>
        <v>Cruisers Bicycles</v>
      </c>
    </row>
    <row r="1533" spans="1:10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 s="1">
        <f t="shared" si="23"/>
        <v>569.9905</v>
      </c>
      <c r="H1533" t="str">
        <f>VLOOKUP(C1533,[1]products!$A:$B,2,0)</f>
        <v>Electra Townie Original 7D EQ - 2016</v>
      </c>
      <c r="I1533">
        <f>VLOOKUP(H1533,[1]products!$B:$D,3,0)</f>
        <v>3</v>
      </c>
      <c r="J1533" t="str">
        <f>VLOOKUP(I1533,[2]categories!$A$2:$B$8,2,0)</f>
        <v>Cruisers Bicycles</v>
      </c>
    </row>
    <row r="1534" spans="1:10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0.07</v>
      </c>
      <c r="G1534" s="1">
        <f t="shared" si="23"/>
        <v>929.9907</v>
      </c>
      <c r="H1534" t="str">
        <f>VLOOKUP(C1534,[1]products!$A:$B,2,0)</f>
        <v>Surly Wednesday Frameset - 2016</v>
      </c>
      <c r="I1534">
        <f>VLOOKUP(H1534,[1]products!$B:$D,3,0)</f>
        <v>6</v>
      </c>
      <c r="J1534" t="str">
        <f>VLOOKUP(I1534,[2]categories!$A$2:$B$8,2,0)</f>
        <v>Mountain Bikes</v>
      </c>
    </row>
    <row r="1535" spans="1:10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 s="1">
        <f t="shared" si="23"/>
        <v>3799.9905</v>
      </c>
      <c r="H1535" t="str">
        <f>VLOOKUP(C1535,[1]products!$A:$B,2,0)</f>
        <v>Trek Slash 8 27.5 - 2016</v>
      </c>
      <c r="I1535">
        <f>VLOOKUP(H1535,[1]products!$B:$D,3,0)</f>
        <v>6</v>
      </c>
      <c r="J1535" t="str">
        <f>VLOOKUP(I1535,[2]categories!$A$2:$B$8,2,0)</f>
        <v>Mountain Bikes</v>
      </c>
    </row>
    <row r="1536" spans="1:10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 s="1">
        <f t="shared" si="23"/>
        <v>485.982</v>
      </c>
      <c r="H1536" t="str">
        <f>VLOOKUP(C1536,[1]products!$A:$B,2,0)</f>
        <v>Electra Cruiser 1 (24-Inch) - 2016</v>
      </c>
      <c r="I1536">
        <f>VLOOKUP(H1536,[1]products!$B:$D,3,0)</f>
        <v>3</v>
      </c>
      <c r="J1536" t="str">
        <f>VLOOKUP(I1536,[2]categories!$A$2:$B$8,2,0)</f>
        <v>Cruisers Bicycles</v>
      </c>
    </row>
    <row r="1537" spans="1:10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 s="1">
        <f t="shared" si="23"/>
        <v>2754.9905</v>
      </c>
      <c r="H1537" t="str">
        <f>VLOOKUP(C1537,[1]products!$A:$B,2,0)</f>
        <v>Trek Fuel EX 8 29 - 2016</v>
      </c>
      <c r="I1537">
        <f>VLOOKUP(H1537,[1]products!$B:$D,3,0)</f>
        <v>6</v>
      </c>
      <c r="J1537" t="str">
        <f>VLOOKUP(I1537,[2]categories!$A$2:$B$8,2,0)</f>
        <v>Mountain Bikes</v>
      </c>
    </row>
    <row r="1538" spans="1:10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 s="1">
        <f t="shared" ref="G1538:G1601" si="24">D1538*E1538*(1-F1538)</f>
        <v>569.9905</v>
      </c>
      <c r="H1538" t="str">
        <f>VLOOKUP(C1538,[1]products!$A:$B,2,0)</f>
        <v>Electra Townie Original 7D EQ - 2016</v>
      </c>
      <c r="I1538">
        <f>VLOOKUP(H1538,[1]products!$B:$D,3,0)</f>
        <v>3</v>
      </c>
      <c r="J1538" t="str">
        <f>VLOOKUP(I1538,[2]categories!$A$2:$B$8,2,0)</f>
        <v>Cruisers Bicycles</v>
      </c>
    </row>
    <row r="1539" spans="1:10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0.07</v>
      </c>
      <c r="G1539" s="1">
        <f t="shared" si="24"/>
        <v>557.9907</v>
      </c>
      <c r="H1539" t="str">
        <f>VLOOKUP(C1539,[1]products!$A:$B,2,0)</f>
        <v>Electra Townie Original 7D EQ - 2016</v>
      </c>
      <c r="I1539">
        <f>VLOOKUP(H1539,[1]products!$B:$D,3,0)</f>
        <v>3</v>
      </c>
      <c r="J1539" t="str">
        <f>VLOOKUP(I1539,[2]categories!$A$2:$B$8,2,0)</f>
        <v>Cruisers Bicycles</v>
      </c>
    </row>
    <row r="1540" spans="1:10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 s="1">
        <f t="shared" si="24"/>
        <v>2689.584</v>
      </c>
      <c r="H1540" t="str">
        <f>VLOOKUP(C1540,[1]products!$A:$B,2,0)</f>
        <v>Surly Straggler 650b - 2016</v>
      </c>
      <c r="I1540">
        <f>VLOOKUP(H1540,[1]products!$B:$D,3,0)</f>
        <v>4</v>
      </c>
      <c r="J1540" t="str">
        <f>VLOOKUP(I1540,[2]categories!$A$2:$B$8,2,0)</f>
        <v>Cyclocross Bicycles</v>
      </c>
    </row>
    <row r="1541" spans="1:10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 s="1">
        <f t="shared" si="24"/>
        <v>847.984</v>
      </c>
      <c r="H1541" t="str">
        <f>VLOOKUP(C1541,[1]products!$A:$B,2,0)</f>
        <v>Electra Moto 1 - 2016</v>
      </c>
      <c r="I1541">
        <f>VLOOKUP(H1541,[1]products!$B:$D,3,0)</f>
        <v>3</v>
      </c>
      <c r="J1541" t="str">
        <f>VLOOKUP(I1541,[2]categories!$A$2:$B$8,2,0)</f>
        <v>Cruisers Bicycles</v>
      </c>
    </row>
    <row r="1542" spans="1:10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 s="1">
        <f t="shared" si="24"/>
        <v>239.992</v>
      </c>
      <c r="H1542" t="str">
        <f>VLOOKUP(C1542,[1]products!$A:$B,2,0)</f>
        <v>Electra Girl's Hawaii 1 (20-inch) - 2015/2016</v>
      </c>
      <c r="I1542">
        <f>VLOOKUP(H1542,[1]products!$B:$D,3,0)</f>
        <v>1</v>
      </c>
      <c r="J1542" t="str">
        <f>VLOOKUP(I1542,[2]categories!$A$2:$B$8,2,0)</f>
        <v>Children Bicycles</v>
      </c>
    </row>
    <row r="1543" spans="1:10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 s="1">
        <f t="shared" si="24"/>
        <v>599.992</v>
      </c>
      <c r="H1543" t="str">
        <f>VLOOKUP(C1543,[1]products!$A:$B,2,0)</f>
        <v>Ritchey Timberwolf Frameset - 2016</v>
      </c>
      <c r="I1543">
        <f>VLOOKUP(H1543,[1]products!$B:$D,3,0)</f>
        <v>6</v>
      </c>
      <c r="J1543" t="str">
        <f>VLOOKUP(I1543,[2]categories!$A$2:$B$8,2,0)</f>
        <v>Mountain Bikes</v>
      </c>
    </row>
    <row r="1544" spans="1:10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 s="1">
        <f t="shared" si="24"/>
        <v>439.992</v>
      </c>
      <c r="H1544" t="str">
        <f>VLOOKUP(C1544,[1]products!$A:$B,2,0)</f>
        <v>Electra Townie Original 21D - 2016</v>
      </c>
      <c r="I1544">
        <f>VLOOKUP(H1544,[1]products!$B:$D,3,0)</f>
        <v>3</v>
      </c>
      <c r="J1544" t="str">
        <f>VLOOKUP(I1544,[2]categories!$A$2:$B$8,2,0)</f>
        <v>Cruisers Bicycles</v>
      </c>
    </row>
    <row r="1545" spans="1:10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 s="1">
        <f t="shared" si="24"/>
        <v>404.1</v>
      </c>
      <c r="H1545" t="str">
        <f>VLOOKUP(C1545,[1]products!$A:$B,2,0)</f>
        <v>Pure Cycles Western 3-Speed - Women's - 2015/2016</v>
      </c>
      <c r="I1545">
        <f>VLOOKUP(H1545,[1]products!$B:$D,3,0)</f>
        <v>3</v>
      </c>
      <c r="J1545" t="str">
        <f>VLOOKUP(I1545,[2]categories!$A$2:$B$8,2,0)</f>
        <v>Cruisers Bicycles</v>
      </c>
    </row>
    <row r="1546" spans="1:10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 s="1">
        <f t="shared" si="24"/>
        <v>718.4</v>
      </c>
      <c r="H1546" t="str">
        <f>VLOOKUP(C1546,[1]products!$A:$B,2,0)</f>
        <v>Pure Cycles William 3-Speed - 2016</v>
      </c>
      <c r="I1546">
        <f>VLOOKUP(H1546,[1]products!$B:$D,3,0)</f>
        <v>3</v>
      </c>
      <c r="J1546" t="str">
        <f>VLOOKUP(I1546,[2]categories!$A$2:$B$8,2,0)</f>
        <v>Cruisers Bicycles</v>
      </c>
    </row>
    <row r="1547" spans="1:10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 s="1">
        <f t="shared" si="24"/>
        <v>494.991</v>
      </c>
      <c r="H1547" t="str">
        <f>VLOOKUP(C1547,[1]products!$A:$B,2,0)</f>
        <v>Electra Townie Original 21D - 2016</v>
      </c>
      <c r="I1547">
        <f>VLOOKUP(H1547,[1]products!$B:$D,3,0)</f>
        <v>3</v>
      </c>
      <c r="J1547" t="str">
        <f>VLOOKUP(I1547,[2]categories!$A$2:$B$8,2,0)</f>
        <v>Cruisers Bicycles</v>
      </c>
    </row>
    <row r="1548" spans="1:10">
      <c r="A1548">
        <v>553</v>
      </c>
      <c r="B1548">
        <v>2</v>
      </c>
      <c r="C1548">
        <v>18</v>
      </c>
      <c r="D1548">
        <v>2</v>
      </c>
      <c r="E1548">
        <v>449</v>
      </c>
      <c r="F1548">
        <v>0.07</v>
      </c>
      <c r="G1548" s="1">
        <f t="shared" si="24"/>
        <v>835.14</v>
      </c>
      <c r="H1548" t="str">
        <f>VLOOKUP(C1548,[1]products!$A:$B,2,0)</f>
        <v>Pure Cycles Western 3-Speed - Women's - 2015/2016</v>
      </c>
      <c r="I1548">
        <f>VLOOKUP(H1548,[1]products!$B:$D,3,0)</f>
        <v>3</v>
      </c>
      <c r="J1548" t="str">
        <f>VLOOKUP(I1548,[2]categories!$A$2:$B$8,2,0)</f>
        <v>Cruisers Bicycles</v>
      </c>
    </row>
    <row r="1549" spans="1:10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0.07</v>
      </c>
      <c r="G1549" s="1">
        <f t="shared" si="24"/>
        <v>511.4907</v>
      </c>
      <c r="H1549" t="str">
        <f>VLOOKUP(C1549,[1]products!$A:$B,2,0)</f>
        <v>Electra Townie Original 21D - 2016</v>
      </c>
      <c r="I1549">
        <f>VLOOKUP(H1549,[1]products!$B:$D,3,0)</f>
        <v>3</v>
      </c>
      <c r="J1549" t="str">
        <f>VLOOKUP(I1549,[2]categories!$A$2:$B$8,2,0)</f>
        <v>Cruisers Bicycles</v>
      </c>
    </row>
    <row r="1550" spans="1:10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0.07</v>
      </c>
      <c r="G1550" s="1">
        <f t="shared" si="24"/>
        <v>1859.9814</v>
      </c>
      <c r="H1550" t="str">
        <f>VLOOKUP(C1550,[1]products!$A:$B,2,0)</f>
        <v>Surly Wednesday Frameset - 2016</v>
      </c>
      <c r="I1550">
        <f>VLOOKUP(H1550,[1]products!$B:$D,3,0)</f>
        <v>6</v>
      </c>
      <c r="J1550" t="str">
        <f>VLOOKUP(I1550,[2]categories!$A$2:$B$8,2,0)</f>
        <v>Mountain Bikes</v>
      </c>
    </row>
    <row r="1551" spans="1:10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 s="1">
        <f t="shared" si="24"/>
        <v>256.4905</v>
      </c>
      <c r="H1551" t="str">
        <f>VLOOKUP(C1551,[1]products!$A:$B,2,0)</f>
        <v>Electra Girl's Hawaii 1 (16-inch) - 2015/2016</v>
      </c>
      <c r="I1551">
        <f>VLOOKUP(H1551,[1]products!$B:$D,3,0)</f>
        <v>3</v>
      </c>
      <c r="J1551" t="str">
        <f>VLOOKUP(I1551,[2]categories!$A$2:$B$8,2,0)</f>
        <v>Cruisers Bicycles</v>
      </c>
    </row>
    <row r="1552" spans="1:10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 s="1">
        <f t="shared" si="24"/>
        <v>4639.984</v>
      </c>
      <c r="H1552" t="str">
        <f>VLOOKUP(C1552,[1]products!$A:$B,2,0)</f>
        <v>Trek Fuel EX 8 29 - 2016</v>
      </c>
      <c r="I1552">
        <f>VLOOKUP(H1552,[1]products!$B:$D,3,0)</f>
        <v>6</v>
      </c>
      <c r="J1552" t="str">
        <f>VLOOKUP(I1552,[2]categories!$A$2:$B$8,2,0)</f>
        <v>Mountain Bikes</v>
      </c>
    </row>
    <row r="1553" spans="1:10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 s="1">
        <f t="shared" si="24"/>
        <v>1439.992</v>
      </c>
      <c r="H1553" t="str">
        <f>VLOOKUP(C1553,[1]products!$A:$B,2,0)</f>
        <v>Trek Remedy 29 Carbon Frameset - 2016</v>
      </c>
      <c r="I1553">
        <f>VLOOKUP(H1553,[1]products!$B:$D,3,0)</f>
        <v>6</v>
      </c>
      <c r="J1553" t="str">
        <f>VLOOKUP(I1553,[2]categories!$A$2:$B$8,2,0)</f>
        <v>Mountain Bikes</v>
      </c>
    </row>
    <row r="1554" spans="1:10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 s="1">
        <f t="shared" si="24"/>
        <v>3599.991</v>
      </c>
      <c r="H1554" t="str">
        <f>VLOOKUP(C1554,[1]products!$A:$B,2,0)</f>
        <v>Trek Slash 8 27.5 - 2016</v>
      </c>
      <c r="I1554">
        <f>VLOOKUP(H1554,[1]products!$B:$D,3,0)</f>
        <v>6</v>
      </c>
      <c r="J1554" t="str">
        <f>VLOOKUP(I1554,[2]categories!$A$2:$B$8,2,0)</f>
        <v>Mountain Bikes</v>
      </c>
    </row>
    <row r="1555" spans="1:10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0.07</v>
      </c>
      <c r="G1555" s="1">
        <f t="shared" si="24"/>
        <v>1115.9814</v>
      </c>
      <c r="H1555" t="str">
        <f>VLOOKUP(C1555,[1]products!$A:$B,2,0)</f>
        <v>Electra Townie Original 7D EQ - Women's - 2016</v>
      </c>
      <c r="I1555">
        <f>VLOOKUP(H1555,[1]products!$B:$D,3,0)</f>
        <v>3</v>
      </c>
      <c r="J1555" t="str">
        <f>VLOOKUP(I1555,[2]categories!$A$2:$B$8,2,0)</f>
        <v>Cruisers Bicycles</v>
      </c>
    </row>
    <row r="1556" spans="1:10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 s="1">
        <f t="shared" si="24"/>
        <v>539.991</v>
      </c>
      <c r="H1556" t="str">
        <f>VLOOKUP(C1556,[1]products!$A:$B,2,0)</f>
        <v>Electra Townie Original 7D EQ - 2016</v>
      </c>
      <c r="I1556">
        <f>VLOOKUP(H1556,[1]products!$B:$D,3,0)</f>
        <v>3</v>
      </c>
      <c r="J1556" t="str">
        <f>VLOOKUP(I1556,[2]categories!$A$2:$B$8,2,0)</f>
        <v>Cruisers Bicycles</v>
      </c>
    </row>
    <row r="1557" spans="1:10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 s="1">
        <f t="shared" si="24"/>
        <v>4639.984</v>
      </c>
      <c r="H1557" t="str">
        <f>VLOOKUP(C1557,[1]products!$A:$B,2,0)</f>
        <v>Trek Fuel EX 8 29 - 2016</v>
      </c>
      <c r="I1557">
        <f>VLOOKUP(H1557,[1]products!$B:$D,3,0)</f>
        <v>6</v>
      </c>
      <c r="J1557" t="str">
        <f>VLOOKUP(I1557,[2]categories!$A$2:$B$8,2,0)</f>
        <v>Mountain Bikes</v>
      </c>
    </row>
    <row r="1558" spans="1:10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 s="1">
        <f t="shared" si="24"/>
        <v>5399.982</v>
      </c>
      <c r="H1558" t="str">
        <f>VLOOKUP(C1558,[1]products!$A:$B,2,0)</f>
        <v>Trek Conduit+ - 2016</v>
      </c>
      <c r="I1558">
        <f>VLOOKUP(H1558,[1]products!$B:$D,3,0)</f>
        <v>5</v>
      </c>
      <c r="J1558" t="str">
        <f>VLOOKUP(I1558,[2]categories!$A$2:$B$8,2,0)</f>
        <v>Electric Bikes</v>
      </c>
    </row>
    <row r="1559" spans="1:10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 s="1">
        <f t="shared" si="24"/>
        <v>1394.1</v>
      </c>
      <c r="H1559" t="str">
        <f>VLOOKUP(C1559,[1]products!$A:$B,2,0)</f>
        <v>Surly Straggler - 2016</v>
      </c>
      <c r="I1559">
        <f>VLOOKUP(H1559,[1]products!$B:$D,3,0)</f>
        <v>4</v>
      </c>
      <c r="J1559" t="str">
        <f>VLOOKUP(I1559,[2]categories!$A$2:$B$8,2,0)</f>
        <v>Cyclocross Bicycles</v>
      </c>
    </row>
    <row r="1560" spans="1:10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0.07</v>
      </c>
      <c r="G1560" s="1">
        <f t="shared" si="24"/>
        <v>3719.9907</v>
      </c>
      <c r="H1560" t="str">
        <f>VLOOKUP(C1560,[1]products!$A:$B,2,0)</f>
        <v>Trek Slash 8 27.5 - 2016</v>
      </c>
      <c r="I1560">
        <f>VLOOKUP(H1560,[1]products!$B:$D,3,0)</f>
        <v>6</v>
      </c>
      <c r="J1560" t="str">
        <f>VLOOKUP(I1560,[2]categories!$A$2:$B$8,2,0)</f>
        <v>Mountain Bikes</v>
      </c>
    </row>
    <row r="1561" spans="1:10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0.07</v>
      </c>
      <c r="G1561" s="1">
        <f t="shared" si="24"/>
        <v>557.9907</v>
      </c>
      <c r="H1561" t="str">
        <f>VLOOKUP(C1561,[1]products!$A:$B,2,0)</f>
        <v>Electra Townie Original 7D EQ - 2016</v>
      </c>
      <c r="I1561">
        <f>VLOOKUP(H1561,[1]products!$B:$D,3,0)</f>
        <v>3</v>
      </c>
      <c r="J1561" t="str">
        <f>VLOOKUP(I1561,[2]categories!$A$2:$B$8,2,0)</f>
        <v>Cruisers Bicycles</v>
      </c>
    </row>
    <row r="1562" spans="1:10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 s="1">
        <f t="shared" si="24"/>
        <v>2699.991</v>
      </c>
      <c r="H1562" t="str">
        <f>VLOOKUP(C1562,[1]products!$A:$B,2,0)</f>
        <v>Trek Conduit+ - 2016</v>
      </c>
      <c r="I1562">
        <f>VLOOKUP(H1562,[1]products!$B:$D,3,0)</f>
        <v>5</v>
      </c>
      <c r="J1562" t="str">
        <f>VLOOKUP(I1562,[2]categories!$A$2:$B$8,2,0)</f>
        <v>Electric Bikes</v>
      </c>
    </row>
    <row r="1563" spans="1:10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 s="1">
        <f t="shared" si="24"/>
        <v>512.981</v>
      </c>
      <c r="H1563" t="str">
        <f>VLOOKUP(C1563,[1]products!$A:$B,2,0)</f>
        <v>Electra Cruiser 1 (24-Inch) - 2016</v>
      </c>
      <c r="I1563">
        <f>VLOOKUP(H1563,[1]products!$B:$D,3,0)</f>
        <v>3</v>
      </c>
      <c r="J1563" t="str">
        <f>VLOOKUP(I1563,[2]categories!$A$2:$B$8,2,0)</f>
        <v>Cruisers Bicycles</v>
      </c>
    </row>
    <row r="1564" spans="1:10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0.07</v>
      </c>
      <c r="G1564" s="1">
        <f t="shared" si="24"/>
        <v>2881.14</v>
      </c>
      <c r="H1564" t="str">
        <f>VLOOKUP(C1564,[1]products!$A:$B,2,0)</f>
        <v>Surly Straggler - 2016</v>
      </c>
      <c r="I1564">
        <f>VLOOKUP(H1564,[1]products!$B:$D,3,0)</f>
        <v>4</v>
      </c>
      <c r="J1564" t="str">
        <f>VLOOKUP(I1564,[2]categories!$A$2:$B$8,2,0)</f>
        <v>Cyclocross Bicycles</v>
      </c>
    </row>
    <row r="1565" spans="1:10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 s="1">
        <f t="shared" si="24"/>
        <v>953.982</v>
      </c>
      <c r="H1565" t="str">
        <f>VLOOKUP(C1565,[1]products!$A:$B,2,0)</f>
        <v>Electra Moto 1 - 2016</v>
      </c>
      <c r="I1565">
        <f>VLOOKUP(H1565,[1]products!$B:$D,3,0)</f>
        <v>3</v>
      </c>
      <c r="J1565" t="str">
        <f>VLOOKUP(I1565,[2]categories!$A$2:$B$8,2,0)</f>
        <v>Cruisers Bicycles</v>
      </c>
    </row>
    <row r="1566" spans="1:10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 s="1">
        <f t="shared" si="24"/>
        <v>422.991</v>
      </c>
      <c r="H1566" t="str">
        <f>VLOOKUP(C1566,[1]products!$A:$B,2,0)</f>
        <v>Surly Ice Cream Truck Frameset - 2016</v>
      </c>
      <c r="I1566">
        <f>VLOOKUP(H1566,[1]products!$B:$D,3,0)</f>
        <v>6</v>
      </c>
      <c r="J1566" t="str">
        <f>VLOOKUP(I1566,[2]categories!$A$2:$B$8,2,0)</f>
        <v>Mountain Bikes</v>
      </c>
    </row>
    <row r="1567" spans="1:10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0.07</v>
      </c>
      <c r="G1567" s="1">
        <f t="shared" si="24"/>
        <v>7439.9814</v>
      </c>
      <c r="H1567" t="str">
        <f>VLOOKUP(C1567,[1]products!$A:$B,2,0)</f>
        <v>Trek Slash 8 27.5 - 2016</v>
      </c>
      <c r="I1567">
        <f>VLOOKUP(H1567,[1]products!$B:$D,3,0)</f>
        <v>6</v>
      </c>
      <c r="J1567" t="str">
        <f>VLOOKUP(I1567,[2]categories!$A$2:$B$8,2,0)</f>
        <v>Mountain Bikes</v>
      </c>
    </row>
    <row r="1568" spans="1:10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 s="1">
        <f t="shared" si="24"/>
        <v>569.9905</v>
      </c>
      <c r="H1568" t="str">
        <f>VLOOKUP(C1568,[1]products!$A:$B,2,0)</f>
        <v>Electra Townie Original 7D EQ - 2016</v>
      </c>
      <c r="I1568">
        <f>VLOOKUP(H1568,[1]products!$B:$D,3,0)</f>
        <v>3</v>
      </c>
      <c r="J1568" t="str">
        <f>VLOOKUP(I1568,[2]categories!$A$2:$B$8,2,0)</f>
        <v>Cruisers Bicycles</v>
      </c>
    </row>
    <row r="1569" spans="1:10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 s="1">
        <f t="shared" si="24"/>
        <v>1079.982</v>
      </c>
      <c r="H1569" t="str">
        <f>VLOOKUP(C1569,[1]products!$A:$B,2,0)</f>
        <v>Electra Townie Original 7D EQ - 2016</v>
      </c>
      <c r="I1569">
        <f>VLOOKUP(H1569,[1]products!$B:$D,3,0)</f>
        <v>3</v>
      </c>
      <c r="J1569" t="str">
        <f>VLOOKUP(I1569,[2]categories!$A$2:$B$8,2,0)</f>
        <v>Cruisers Bicycles</v>
      </c>
    </row>
    <row r="1570" spans="1:10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 s="1">
        <f t="shared" si="24"/>
        <v>1006.981</v>
      </c>
      <c r="H1570" t="str">
        <f>VLOOKUP(C1570,[1]products!$A:$B,2,0)</f>
        <v>Electra Moto 1 - 2016</v>
      </c>
      <c r="I1570">
        <f>VLOOKUP(H1570,[1]products!$B:$D,3,0)</f>
        <v>3</v>
      </c>
      <c r="J1570" t="str">
        <f>VLOOKUP(I1570,[2]categories!$A$2:$B$8,2,0)</f>
        <v>Cruisers Bicycles</v>
      </c>
    </row>
    <row r="1571" spans="1:10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 s="1">
        <f t="shared" si="24"/>
        <v>426.55</v>
      </c>
      <c r="H1571" t="str">
        <f>VLOOKUP(C1571,[1]products!$A:$B,2,0)</f>
        <v>Pure Cycles Western 3-Speed - Women's - 2015/2016</v>
      </c>
      <c r="I1571">
        <f>VLOOKUP(H1571,[1]products!$B:$D,3,0)</f>
        <v>3</v>
      </c>
      <c r="J1571" t="str">
        <f>VLOOKUP(I1571,[2]categories!$A$2:$B$8,2,0)</f>
        <v>Cruisers Bicycles</v>
      </c>
    </row>
    <row r="1572" spans="1:10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 s="1">
        <f t="shared" si="24"/>
        <v>1254.9405</v>
      </c>
      <c r="H1572" t="str">
        <f>VLOOKUP(C1572,[1]products!$A:$B,2,0)</f>
        <v>Heller Shagamaw Frame - 2016</v>
      </c>
      <c r="I1572">
        <f>VLOOKUP(H1572,[1]products!$B:$D,3,0)</f>
        <v>6</v>
      </c>
      <c r="J1572" t="str">
        <f>VLOOKUP(I1572,[2]categories!$A$2:$B$8,2,0)</f>
        <v>Mountain Bikes</v>
      </c>
    </row>
    <row r="1573" spans="1:10">
      <c r="A1573">
        <v>561</v>
      </c>
      <c r="B1573">
        <v>4</v>
      </c>
      <c r="C1573">
        <v>17</v>
      </c>
      <c r="D1573">
        <v>2</v>
      </c>
      <c r="E1573">
        <v>429</v>
      </c>
      <c r="F1573">
        <v>0.07</v>
      </c>
      <c r="G1573" s="1">
        <f t="shared" si="24"/>
        <v>797.94</v>
      </c>
      <c r="H1573" t="str">
        <f>VLOOKUP(C1573,[1]products!$A:$B,2,0)</f>
        <v>Pure Cycles Vine 8-Speed - 2016</v>
      </c>
      <c r="I1573">
        <f>VLOOKUP(H1573,[1]products!$B:$D,3,0)</f>
        <v>3</v>
      </c>
      <c r="J1573" t="str">
        <f>VLOOKUP(I1573,[2]categories!$A$2:$B$8,2,0)</f>
        <v>Cruisers Bicycles</v>
      </c>
    </row>
    <row r="1574" spans="1:10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0.07</v>
      </c>
      <c r="G1574" s="1">
        <f t="shared" si="24"/>
        <v>929.9814</v>
      </c>
      <c r="H1574" t="str">
        <f>VLOOKUP(C1574,[1]products!$A:$B,2,0)</f>
        <v>Electra Townie Original 7D - 2015/2016</v>
      </c>
      <c r="I1574">
        <f>VLOOKUP(H1574,[1]products!$B:$D,3,0)</f>
        <v>2</v>
      </c>
      <c r="J1574" t="str">
        <f>VLOOKUP(I1574,[2]categories!$A$2:$B$8,2,0)</f>
        <v>Comfort Bicycles</v>
      </c>
    </row>
    <row r="1575" spans="1:10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 s="1">
        <f t="shared" si="24"/>
        <v>569.9905</v>
      </c>
      <c r="H1575" t="str">
        <f>VLOOKUP(C1575,[1]products!$A:$B,2,0)</f>
        <v>Electra Townie Original 7D EQ - 2016</v>
      </c>
      <c r="I1575">
        <f>VLOOKUP(H1575,[1]products!$B:$D,3,0)</f>
        <v>3</v>
      </c>
      <c r="J1575" t="str">
        <f>VLOOKUP(I1575,[2]categories!$A$2:$B$8,2,0)</f>
        <v>Cruisers Bicycles</v>
      </c>
    </row>
    <row r="1576" spans="1:10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 s="1">
        <f t="shared" si="24"/>
        <v>845.982</v>
      </c>
      <c r="H1576" t="str">
        <f>VLOOKUP(C1576,[1]products!$A:$B,2,0)</f>
        <v>Surly Ice Cream Truck Frameset - 2016</v>
      </c>
      <c r="I1576">
        <f>VLOOKUP(H1576,[1]products!$B:$D,3,0)</f>
        <v>6</v>
      </c>
      <c r="J1576" t="str">
        <f>VLOOKUP(I1576,[2]categories!$A$2:$B$8,2,0)</f>
        <v>Mountain Bikes</v>
      </c>
    </row>
    <row r="1577" spans="1:10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 s="1">
        <f t="shared" si="24"/>
        <v>426.55</v>
      </c>
      <c r="H1577" t="str">
        <f>VLOOKUP(C1577,[1]products!$A:$B,2,0)</f>
        <v>Pure Cycles William 3-Speed - 2016</v>
      </c>
      <c r="I1577">
        <f>VLOOKUP(H1577,[1]products!$B:$D,3,0)</f>
        <v>3</v>
      </c>
      <c r="J1577" t="str">
        <f>VLOOKUP(I1577,[2]categories!$A$2:$B$8,2,0)</f>
        <v>Cruisers Bicycles</v>
      </c>
    </row>
    <row r="1578" spans="1:10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 s="1">
        <f t="shared" si="24"/>
        <v>485.982</v>
      </c>
      <c r="H1578" t="str">
        <f>VLOOKUP(C1578,[1]products!$A:$B,2,0)</f>
        <v>Electra Cruiser 1 (24-Inch) - 2016</v>
      </c>
      <c r="I1578">
        <f>VLOOKUP(H1578,[1]products!$B:$D,3,0)</f>
        <v>3</v>
      </c>
      <c r="J1578" t="str">
        <f>VLOOKUP(I1578,[2]categories!$A$2:$B$8,2,0)</f>
        <v>Cruisers Bicycles</v>
      </c>
    </row>
    <row r="1579" spans="1:10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 s="1">
        <f t="shared" si="24"/>
        <v>2319.992</v>
      </c>
      <c r="H1579" t="str">
        <f>VLOOKUP(C1579,[1]products!$A:$B,2,0)</f>
        <v>Trek Fuel EX 8 29 - 2016</v>
      </c>
      <c r="I1579">
        <f>VLOOKUP(H1579,[1]products!$B:$D,3,0)</f>
        <v>6</v>
      </c>
      <c r="J1579" t="str">
        <f>VLOOKUP(I1579,[2]categories!$A$2:$B$8,2,0)</f>
        <v>Mountain Bikes</v>
      </c>
    </row>
    <row r="1580" spans="1:10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 s="1">
        <f t="shared" si="24"/>
        <v>423.992</v>
      </c>
      <c r="H1580" t="str">
        <f>VLOOKUP(C1580,[1]products!$A:$B,2,0)</f>
        <v>Electra Moto 1 - 2016</v>
      </c>
      <c r="I1580">
        <f>VLOOKUP(H1580,[1]products!$B:$D,3,0)</f>
        <v>3</v>
      </c>
      <c r="J1580" t="str">
        <f>VLOOKUP(I1580,[2]categories!$A$2:$B$8,2,0)</f>
        <v>Cruisers Bicycles</v>
      </c>
    </row>
    <row r="1581" spans="1:10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 s="1">
        <f t="shared" si="24"/>
        <v>359.2</v>
      </c>
      <c r="H1581" t="str">
        <f>VLOOKUP(C1581,[1]products!$A:$B,2,0)</f>
        <v>Pure Cycles Western 3-Speed - Women's - 2015/2016</v>
      </c>
      <c r="I1581">
        <f>VLOOKUP(H1581,[1]products!$B:$D,3,0)</f>
        <v>3</v>
      </c>
      <c r="J1581" t="str">
        <f>VLOOKUP(I1581,[2]categories!$A$2:$B$8,2,0)</f>
        <v>Cruisers Bicycles</v>
      </c>
    </row>
    <row r="1582" spans="1:10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 s="1">
        <f t="shared" si="24"/>
        <v>899.982</v>
      </c>
      <c r="H1582" t="str">
        <f>VLOOKUP(C1582,[1]products!$A:$B,2,0)</f>
        <v>Electra Townie Original 7D - 2015/2016</v>
      </c>
      <c r="I1582">
        <f>VLOOKUP(H1582,[1]products!$B:$D,3,0)</f>
        <v>2</v>
      </c>
      <c r="J1582" t="str">
        <f>VLOOKUP(I1582,[2]categories!$A$2:$B$8,2,0)</f>
        <v>Comfort Bicycles</v>
      </c>
    </row>
    <row r="1583" spans="1:10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 s="1">
        <f t="shared" si="24"/>
        <v>2849.9905</v>
      </c>
      <c r="H1583" t="str">
        <f>VLOOKUP(C1583,[1]products!$A:$B,2,0)</f>
        <v>Trek Conduit+ - 2016</v>
      </c>
      <c r="I1583">
        <f>VLOOKUP(H1583,[1]products!$B:$D,3,0)</f>
        <v>5</v>
      </c>
      <c r="J1583" t="str">
        <f>VLOOKUP(I1583,[2]categories!$A$2:$B$8,2,0)</f>
        <v>Electric Bikes</v>
      </c>
    </row>
    <row r="1584" spans="1:10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 s="1">
        <f t="shared" si="24"/>
        <v>386.1</v>
      </c>
      <c r="H1584" t="str">
        <f>VLOOKUP(C1584,[1]products!$A:$B,2,0)</f>
        <v>Pure Cycles Vine 8-Speed - 2016</v>
      </c>
      <c r="I1584">
        <f>VLOOKUP(H1584,[1]products!$B:$D,3,0)</f>
        <v>3</v>
      </c>
      <c r="J1584" t="str">
        <f>VLOOKUP(I1584,[2]categories!$A$2:$B$8,2,0)</f>
        <v>Cruisers Bicycles</v>
      </c>
    </row>
    <row r="1585" spans="1:10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0.07</v>
      </c>
      <c r="G1585" s="1">
        <f t="shared" si="24"/>
        <v>1022.9814</v>
      </c>
      <c r="H1585" t="str">
        <f>VLOOKUP(C1585,[1]products!$A:$B,2,0)</f>
        <v>Electra Townie Original 21D - 2016</v>
      </c>
      <c r="I1585">
        <f>VLOOKUP(H1585,[1]products!$B:$D,3,0)</f>
        <v>3</v>
      </c>
      <c r="J1585" t="str">
        <f>VLOOKUP(I1585,[2]categories!$A$2:$B$8,2,0)</f>
        <v>Cruisers Bicycles</v>
      </c>
    </row>
    <row r="1586" spans="1:10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 s="1">
        <f t="shared" si="24"/>
        <v>6399.984</v>
      </c>
      <c r="H1586" t="str">
        <f>VLOOKUP(C1586,[1]products!$A:$B,2,0)</f>
        <v>Trek Slash 8 27.5 - 2016</v>
      </c>
      <c r="I1586">
        <f>VLOOKUP(H1586,[1]products!$B:$D,3,0)</f>
        <v>6</v>
      </c>
      <c r="J1586" t="str">
        <f>VLOOKUP(I1586,[2]categories!$A$2:$B$8,2,0)</f>
        <v>Mountain Bikes</v>
      </c>
    </row>
    <row r="1587" spans="1:10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 s="1">
        <f t="shared" si="24"/>
        <v>1619.991</v>
      </c>
      <c r="H1587" t="str">
        <f>VLOOKUP(C1587,[1]products!$A:$B,2,0)</f>
        <v>Trek Remedy 29 Carbon Frameset - 2016</v>
      </c>
      <c r="I1587">
        <f>VLOOKUP(H1587,[1]products!$B:$D,3,0)</f>
        <v>6</v>
      </c>
      <c r="J1587" t="str">
        <f>VLOOKUP(I1587,[2]categories!$A$2:$B$8,2,0)</f>
        <v>Mountain Bikes</v>
      </c>
    </row>
    <row r="1588" spans="1:10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 s="1">
        <f t="shared" si="24"/>
        <v>431.984</v>
      </c>
      <c r="H1588" t="str">
        <f>VLOOKUP(C1588,[1]products!$A:$B,2,0)</f>
        <v>Electra Cruiser 1 (24-Inch) - 2016</v>
      </c>
      <c r="I1588">
        <f>VLOOKUP(H1588,[1]products!$B:$D,3,0)</f>
        <v>3</v>
      </c>
      <c r="J1588" t="str">
        <f>VLOOKUP(I1588,[2]categories!$A$2:$B$8,2,0)</f>
        <v>Cruisers Bicycles</v>
      </c>
    </row>
    <row r="1589" spans="1:10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 s="1">
        <f t="shared" si="24"/>
        <v>2399.992</v>
      </c>
      <c r="H1589" t="str">
        <f>VLOOKUP(C1589,[1]products!$A:$B,2,0)</f>
        <v>Trek Conduit+ - 2016</v>
      </c>
      <c r="I1589">
        <f>VLOOKUP(H1589,[1]products!$B:$D,3,0)</f>
        <v>5</v>
      </c>
      <c r="J1589" t="str">
        <f>VLOOKUP(I1589,[2]categories!$A$2:$B$8,2,0)</f>
        <v>Electric Bikes</v>
      </c>
    </row>
    <row r="1590" spans="1:10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0.07</v>
      </c>
      <c r="G1590" s="1">
        <f t="shared" si="24"/>
        <v>1228.5207</v>
      </c>
      <c r="H1590" t="str">
        <f>VLOOKUP(C1590,[1]products!$A:$B,2,0)</f>
        <v>Heller Shagamaw Frame - 2016</v>
      </c>
      <c r="I1590">
        <f>VLOOKUP(H1590,[1]products!$B:$D,3,0)</f>
        <v>6</v>
      </c>
      <c r="J1590" t="str">
        <f>VLOOKUP(I1590,[2]categories!$A$2:$B$8,2,0)</f>
        <v>Mountain Bikes</v>
      </c>
    </row>
    <row r="1591" spans="1:10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 s="1">
        <f t="shared" si="24"/>
        <v>1254.9405</v>
      </c>
      <c r="H1591" t="str">
        <f>VLOOKUP(C1591,[1]products!$A:$B,2,0)</f>
        <v>Heller Shagamaw Frame - 2016</v>
      </c>
      <c r="I1591">
        <f>VLOOKUP(H1591,[1]products!$B:$D,3,0)</f>
        <v>6</v>
      </c>
      <c r="J1591" t="str">
        <f>VLOOKUP(I1591,[2]categories!$A$2:$B$8,2,0)</f>
        <v>Mountain Bikes</v>
      </c>
    </row>
    <row r="1592" spans="1:10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 s="1">
        <f t="shared" si="24"/>
        <v>1471.55</v>
      </c>
      <c r="H1592" t="str">
        <f>VLOOKUP(C1592,[1]products!$A:$B,2,0)</f>
        <v>Surly Straggler - 2016</v>
      </c>
      <c r="I1592">
        <f>VLOOKUP(H1592,[1]products!$B:$D,3,0)</f>
        <v>4</v>
      </c>
      <c r="J1592" t="str">
        <f>VLOOKUP(I1592,[2]categories!$A$2:$B$8,2,0)</f>
        <v>Cyclocross Bicycles</v>
      </c>
    </row>
    <row r="1593" spans="1:10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 s="1">
        <f t="shared" si="24"/>
        <v>569.9905</v>
      </c>
      <c r="H1593" t="str">
        <f>VLOOKUP(C1593,[1]products!$A:$B,2,0)</f>
        <v>Electra Townie Original 7D EQ - 2016</v>
      </c>
      <c r="I1593">
        <f>VLOOKUP(H1593,[1]products!$B:$D,3,0)</f>
        <v>3</v>
      </c>
      <c r="J1593" t="str">
        <f>VLOOKUP(I1593,[2]categories!$A$2:$B$8,2,0)</f>
        <v>Cruisers Bicycles</v>
      </c>
    </row>
    <row r="1594" spans="1:10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 s="1">
        <f t="shared" si="24"/>
        <v>989.982</v>
      </c>
      <c r="H1594" t="str">
        <f>VLOOKUP(C1594,[1]products!$A:$B,2,0)</f>
        <v>Electra Townie Original 21D - 2016</v>
      </c>
      <c r="I1594">
        <f>VLOOKUP(H1594,[1]products!$B:$D,3,0)</f>
        <v>3</v>
      </c>
      <c r="J1594" t="str">
        <f>VLOOKUP(I1594,[2]categories!$A$2:$B$8,2,0)</f>
        <v>Cruisers Bicycles</v>
      </c>
    </row>
    <row r="1595" spans="1:10">
      <c r="A1595">
        <v>570</v>
      </c>
      <c r="B1595">
        <v>1</v>
      </c>
      <c r="C1595">
        <v>18</v>
      </c>
      <c r="D1595">
        <v>1</v>
      </c>
      <c r="E1595">
        <v>449</v>
      </c>
      <c r="F1595">
        <v>0.07</v>
      </c>
      <c r="G1595" s="1">
        <f t="shared" si="24"/>
        <v>417.57</v>
      </c>
      <c r="H1595" t="str">
        <f>VLOOKUP(C1595,[1]products!$A:$B,2,0)</f>
        <v>Pure Cycles Western 3-Speed - Women's - 2015/2016</v>
      </c>
      <c r="I1595">
        <f>VLOOKUP(H1595,[1]products!$B:$D,3,0)</f>
        <v>3</v>
      </c>
      <c r="J1595" t="str">
        <f>VLOOKUP(I1595,[2]categories!$A$2:$B$8,2,0)</f>
        <v>Cruisers Bicycles</v>
      </c>
    </row>
    <row r="1596" spans="1:10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 s="1">
        <f t="shared" si="24"/>
        <v>989.982</v>
      </c>
      <c r="H1596" t="str">
        <f>VLOOKUP(C1596,[1]products!$A:$B,2,0)</f>
        <v>Electra Townie Original 21D - 2016</v>
      </c>
      <c r="I1596">
        <f>VLOOKUP(H1596,[1]products!$B:$D,3,0)</f>
        <v>3</v>
      </c>
      <c r="J1596" t="str">
        <f>VLOOKUP(I1596,[2]categories!$A$2:$B$8,2,0)</f>
        <v>Cruisers Bicycles</v>
      </c>
    </row>
    <row r="1597" spans="1:10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 s="1">
        <f t="shared" si="24"/>
        <v>1599.984</v>
      </c>
      <c r="H1597" t="str">
        <f>VLOOKUP(C1597,[1]products!$A:$B,2,0)</f>
        <v>Surly Wednesday Frameset - 2016</v>
      </c>
      <c r="I1597">
        <f>VLOOKUP(H1597,[1]products!$B:$D,3,0)</f>
        <v>6</v>
      </c>
      <c r="J1597" t="str">
        <f>VLOOKUP(I1597,[2]categories!$A$2:$B$8,2,0)</f>
        <v>Mountain Bikes</v>
      </c>
    </row>
    <row r="1598" spans="1:10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 s="1">
        <f t="shared" si="24"/>
        <v>1512.891</v>
      </c>
      <c r="H1598" t="str">
        <f>VLOOKUP(C1598,[1]products!$A:$B,2,0)</f>
        <v>Surly Straggler 650b - 2016</v>
      </c>
      <c r="I1598">
        <f>VLOOKUP(H1598,[1]products!$B:$D,3,0)</f>
        <v>4</v>
      </c>
      <c r="J1598" t="str">
        <f>VLOOKUP(I1598,[2]categories!$A$2:$B$8,2,0)</f>
        <v>Cyclocross Bicycles</v>
      </c>
    </row>
    <row r="1599" spans="1:10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 s="1">
        <f t="shared" si="24"/>
        <v>569.9905</v>
      </c>
      <c r="H1599" t="str">
        <f>VLOOKUP(C1599,[1]products!$A:$B,2,0)</f>
        <v>Electra Townie Original 7D EQ - 2016</v>
      </c>
      <c r="I1599">
        <f>VLOOKUP(H1599,[1]products!$B:$D,3,0)</f>
        <v>3</v>
      </c>
      <c r="J1599" t="str">
        <f>VLOOKUP(I1599,[2]categories!$A$2:$B$8,2,0)</f>
        <v>Cruisers Bicycles</v>
      </c>
    </row>
    <row r="1600" spans="1:10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 s="1">
        <f t="shared" si="24"/>
        <v>2754.9905</v>
      </c>
      <c r="H1600" t="str">
        <f>VLOOKUP(C1600,[1]products!$A:$B,2,0)</f>
        <v>Trek Fuel EX 8 29 - 2016</v>
      </c>
      <c r="I1600">
        <f>VLOOKUP(H1600,[1]products!$B:$D,3,0)</f>
        <v>6</v>
      </c>
      <c r="J1600" t="str">
        <f>VLOOKUP(I1600,[2]categories!$A$2:$B$8,2,0)</f>
        <v>Mountain Bikes</v>
      </c>
    </row>
    <row r="1601" spans="1:10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 s="1">
        <f t="shared" si="24"/>
        <v>2699.991</v>
      </c>
      <c r="H1601" t="str">
        <f>VLOOKUP(C1601,[1]products!$A:$B,2,0)</f>
        <v>Trek Conduit+ - 2016</v>
      </c>
      <c r="I1601">
        <f>VLOOKUP(H1601,[1]products!$B:$D,3,0)</f>
        <v>5</v>
      </c>
      <c r="J1601" t="str">
        <f>VLOOKUP(I1601,[2]categories!$A$2:$B$8,2,0)</f>
        <v>Electric Bikes</v>
      </c>
    </row>
    <row r="1602" spans="1:10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 s="1">
        <f t="shared" ref="G1602:G1665" si="25">D1602*E1602*(1-F1602)</f>
        <v>949.9905</v>
      </c>
      <c r="H1602" t="str">
        <f>VLOOKUP(C1602,[1]products!$A:$B,2,0)</f>
        <v>Surly Wednesday Frameset - 2016</v>
      </c>
      <c r="I1602">
        <f>VLOOKUP(H1602,[1]products!$B:$D,3,0)</f>
        <v>6</v>
      </c>
      <c r="J1602" t="str">
        <f>VLOOKUP(I1602,[2]categories!$A$2:$B$8,2,0)</f>
        <v>Mountain Bikes</v>
      </c>
    </row>
    <row r="1603" spans="1:10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 s="1">
        <f t="shared" si="25"/>
        <v>485.982</v>
      </c>
      <c r="H1603" t="str">
        <f>VLOOKUP(C1603,[1]products!$A:$B,2,0)</f>
        <v>Electra Cruiser 1 (24-Inch) - 2016</v>
      </c>
      <c r="I1603">
        <f>VLOOKUP(H1603,[1]products!$B:$D,3,0)</f>
        <v>3</v>
      </c>
      <c r="J1603" t="str">
        <f>VLOOKUP(I1603,[2]categories!$A$2:$B$8,2,0)</f>
        <v>Cruisers Bicycles</v>
      </c>
    </row>
    <row r="1604" spans="1:10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 s="1">
        <f t="shared" si="25"/>
        <v>2689.584</v>
      </c>
      <c r="H1604" t="str">
        <f>VLOOKUP(C1604,[1]products!$A:$B,2,0)</f>
        <v>Surly Straggler 650b - 2016</v>
      </c>
      <c r="I1604">
        <f>VLOOKUP(H1604,[1]products!$B:$D,3,0)</f>
        <v>4</v>
      </c>
      <c r="J1604" t="str">
        <f>VLOOKUP(I1604,[2]categories!$A$2:$B$8,2,0)</f>
        <v>Cyclocross Bicycles</v>
      </c>
    </row>
    <row r="1605" spans="1:10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 s="1">
        <f t="shared" si="25"/>
        <v>599.992</v>
      </c>
      <c r="H1605" t="str">
        <f>VLOOKUP(C1605,[1]products!$A:$B,2,0)</f>
        <v>Ritchey Timberwolf Frameset - 2016</v>
      </c>
      <c r="I1605">
        <f>VLOOKUP(H1605,[1]products!$B:$D,3,0)</f>
        <v>6</v>
      </c>
      <c r="J1605" t="str">
        <f>VLOOKUP(I1605,[2]categories!$A$2:$B$8,2,0)</f>
        <v>Mountain Bikes</v>
      </c>
    </row>
    <row r="1606" spans="1:10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 s="1">
        <f t="shared" si="25"/>
        <v>569.9905</v>
      </c>
      <c r="H1606" t="str">
        <f>VLOOKUP(C1606,[1]products!$A:$B,2,0)</f>
        <v>Electra Townie Original 7D EQ - 2016</v>
      </c>
      <c r="I1606">
        <f>VLOOKUP(H1606,[1]products!$B:$D,3,0)</f>
        <v>3</v>
      </c>
      <c r="J1606" t="str">
        <f>VLOOKUP(I1606,[2]categories!$A$2:$B$8,2,0)</f>
        <v>Cruisers Bicycles</v>
      </c>
    </row>
    <row r="1607" spans="1:10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 s="1">
        <f t="shared" si="25"/>
        <v>485.982</v>
      </c>
      <c r="H1607" t="str">
        <f>VLOOKUP(C1607,[1]products!$A:$B,2,0)</f>
        <v>Electra Cruiser 1 (24-Inch) - 2016</v>
      </c>
      <c r="I1607">
        <f>VLOOKUP(H1607,[1]products!$B:$D,3,0)</f>
        <v>3</v>
      </c>
      <c r="J1607" t="str">
        <f>VLOOKUP(I1607,[2]categories!$A$2:$B$8,2,0)</f>
        <v>Cruisers Bicycles</v>
      </c>
    </row>
    <row r="1608" spans="1:10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 s="1">
        <f t="shared" si="25"/>
        <v>989.982</v>
      </c>
      <c r="H1608" t="str">
        <f>VLOOKUP(C1608,[1]products!$A:$B,2,0)</f>
        <v>Electra Townie Original 21D - 2016</v>
      </c>
      <c r="I1608">
        <f>VLOOKUP(H1608,[1]products!$B:$D,3,0)</f>
        <v>3</v>
      </c>
      <c r="J1608" t="str">
        <f>VLOOKUP(I1608,[2]categories!$A$2:$B$8,2,0)</f>
        <v>Cruisers Bicycles</v>
      </c>
    </row>
    <row r="1609" spans="1:10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 s="1">
        <f t="shared" si="25"/>
        <v>539.982</v>
      </c>
      <c r="H1609" t="str">
        <f>VLOOKUP(C1609,[1]products!$A:$B,2,0)</f>
        <v>Electra Girl's Hawaii 1 (20-inch) - 2015/2016</v>
      </c>
      <c r="I1609">
        <f>VLOOKUP(H1609,[1]products!$B:$D,3,0)</f>
        <v>1</v>
      </c>
      <c r="J1609" t="str">
        <f>VLOOKUP(I1609,[2]categories!$A$2:$B$8,2,0)</f>
        <v>Children Bicycles</v>
      </c>
    </row>
    <row r="1610" spans="1:10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 s="1">
        <f t="shared" si="25"/>
        <v>3193.881</v>
      </c>
      <c r="H1610" t="str">
        <f>VLOOKUP(C1610,[1]products!$A:$B,2,0)</f>
        <v>Surly Straggler 650b - 2016</v>
      </c>
      <c r="I1610">
        <f>VLOOKUP(H1610,[1]products!$B:$D,3,0)</f>
        <v>4</v>
      </c>
      <c r="J1610" t="str">
        <f>VLOOKUP(I1610,[2]categories!$A$2:$B$8,2,0)</f>
        <v>Cyclocross Bicycles</v>
      </c>
    </row>
    <row r="1611" spans="1:10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0.07</v>
      </c>
      <c r="G1611" s="1">
        <f t="shared" si="25"/>
        <v>5393.9814</v>
      </c>
      <c r="H1611" t="str">
        <f>VLOOKUP(C1611,[1]products!$A:$B,2,0)</f>
        <v>Trek Fuel EX 8 29 - 2016</v>
      </c>
      <c r="I1611">
        <f>VLOOKUP(H1611,[1]products!$B:$D,3,0)</f>
        <v>6</v>
      </c>
      <c r="J1611" t="str">
        <f>VLOOKUP(I1611,[2]categories!$A$2:$B$8,2,0)</f>
        <v>Mountain Bikes</v>
      </c>
    </row>
    <row r="1612" spans="1:10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 s="1">
        <f t="shared" si="25"/>
        <v>439.992</v>
      </c>
      <c r="H1612" t="str">
        <f>VLOOKUP(C1612,[1]products!$A:$B,2,0)</f>
        <v>Electra Townie Original 21D - 2016</v>
      </c>
      <c r="I1612">
        <f>VLOOKUP(H1612,[1]products!$B:$D,3,0)</f>
        <v>3</v>
      </c>
      <c r="J1612" t="str">
        <f>VLOOKUP(I1612,[2]categories!$A$2:$B$8,2,0)</f>
        <v>Cruisers Bicycles</v>
      </c>
    </row>
    <row r="1613" spans="1:10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 s="1">
        <f t="shared" si="25"/>
        <v>2699.991</v>
      </c>
      <c r="H1613" t="str">
        <f>VLOOKUP(C1613,[1]products!$A:$B,2,0)</f>
        <v>Trek Conduit+ - 2016</v>
      </c>
      <c r="I1613">
        <f>VLOOKUP(H1613,[1]products!$B:$D,3,0)</f>
        <v>5</v>
      </c>
      <c r="J1613" t="str">
        <f>VLOOKUP(I1613,[2]categories!$A$2:$B$8,2,0)</f>
        <v>Electric Bikes</v>
      </c>
    </row>
    <row r="1614" spans="1:10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 s="1">
        <f t="shared" si="25"/>
        <v>1599.984</v>
      </c>
      <c r="H1614" t="str">
        <f>VLOOKUP(C1614,[1]products!$A:$B,2,0)</f>
        <v>Surly Wednesday Frameset - 2016</v>
      </c>
      <c r="I1614">
        <f>VLOOKUP(H1614,[1]products!$B:$D,3,0)</f>
        <v>6</v>
      </c>
      <c r="J1614" t="str">
        <f>VLOOKUP(I1614,[2]categories!$A$2:$B$8,2,0)</f>
        <v>Mountain Bikes</v>
      </c>
    </row>
    <row r="1615" spans="1:10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0.07</v>
      </c>
      <c r="G1615" s="1">
        <f t="shared" si="25"/>
        <v>251.0907</v>
      </c>
      <c r="H1615" t="str">
        <f>VLOOKUP(C1615,[1]products!$A:$B,2,0)</f>
        <v>Electra Cruiser 1 (24-Inch) - 2016</v>
      </c>
      <c r="I1615">
        <f>VLOOKUP(H1615,[1]products!$B:$D,3,0)</f>
        <v>3</v>
      </c>
      <c r="J1615" t="str">
        <f>VLOOKUP(I1615,[2]categories!$A$2:$B$8,2,0)</f>
        <v>Cruisers Bicycles</v>
      </c>
    </row>
    <row r="1616" spans="1:10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 s="1">
        <f t="shared" si="25"/>
        <v>799.984</v>
      </c>
      <c r="H1616" t="str">
        <f>VLOOKUP(C1616,[1]products!$A:$B,2,0)</f>
        <v>Electra Townie Original 7D - 2015/2016</v>
      </c>
      <c r="I1616">
        <f>VLOOKUP(H1616,[1]products!$B:$D,3,0)</f>
        <v>2</v>
      </c>
      <c r="J1616" t="str">
        <f>VLOOKUP(I1616,[2]categories!$A$2:$B$8,2,0)</f>
        <v>Comfort Bicycles</v>
      </c>
    </row>
    <row r="1617" spans="1:10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 s="1">
        <f t="shared" si="25"/>
        <v>853.1</v>
      </c>
      <c r="H1617" t="str">
        <f>VLOOKUP(C1617,[1]products!$A:$B,2,0)</f>
        <v>Pure Cycles Western 3-Speed - Women's - 2015/2016</v>
      </c>
      <c r="I1617">
        <f>VLOOKUP(H1617,[1]products!$B:$D,3,0)</f>
        <v>3</v>
      </c>
      <c r="J1617" t="str">
        <f>VLOOKUP(I1617,[2]categories!$A$2:$B$8,2,0)</f>
        <v>Cruisers Bicycles</v>
      </c>
    </row>
    <row r="1618" spans="1:10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 s="1">
        <f t="shared" si="25"/>
        <v>2879.984</v>
      </c>
      <c r="H1618" t="str">
        <f>VLOOKUP(C1618,[1]products!$A:$B,2,0)</f>
        <v>Trek Remedy 29 Carbon Frameset - 2016</v>
      </c>
      <c r="I1618">
        <f>VLOOKUP(H1618,[1]products!$B:$D,3,0)</f>
        <v>6</v>
      </c>
      <c r="J1618" t="str">
        <f>VLOOKUP(I1618,[2]categories!$A$2:$B$8,2,0)</f>
        <v>Mountain Bikes</v>
      </c>
    </row>
    <row r="1619" spans="1:10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 s="1">
        <f t="shared" si="25"/>
        <v>7599.981</v>
      </c>
      <c r="H1619" t="str">
        <f>VLOOKUP(C1619,[1]products!$A:$B,2,0)</f>
        <v>Trek Slash 8 27.5 - 2016</v>
      </c>
      <c r="I1619">
        <f>VLOOKUP(H1619,[1]products!$B:$D,3,0)</f>
        <v>6</v>
      </c>
      <c r="J1619" t="str">
        <f>VLOOKUP(I1619,[2]categories!$A$2:$B$8,2,0)</f>
        <v>Mountain Bikes</v>
      </c>
    </row>
    <row r="1620" spans="1:10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 s="1">
        <f t="shared" si="25"/>
        <v>375.992</v>
      </c>
      <c r="H1620" t="str">
        <f>VLOOKUP(C1620,[1]products!$A:$B,2,0)</f>
        <v>Surly Ice Cream Truck Frameset - 2016</v>
      </c>
      <c r="I1620">
        <f>VLOOKUP(H1620,[1]products!$B:$D,3,0)</f>
        <v>6</v>
      </c>
      <c r="J1620" t="str">
        <f>VLOOKUP(I1620,[2]categories!$A$2:$B$8,2,0)</f>
        <v>Mountain Bikes</v>
      </c>
    </row>
    <row r="1621" spans="1:10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 s="1">
        <f t="shared" si="25"/>
        <v>959.984</v>
      </c>
      <c r="H1621" t="str">
        <f>VLOOKUP(C1621,[1]products!$A:$B,2,0)</f>
        <v>Electra Townie Original 7D EQ - 2016</v>
      </c>
      <c r="I1621">
        <f>VLOOKUP(H1621,[1]products!$B:$D,3,0)</f>
        <v>3</v>
      </c>
      <c r="J1621" t="str">
        <f>VLOOKUP(I1621,[2]categories!$A$2:$B$8,2,0)</f>
        <v>Cruisers Bicycles</v>
      </c>
    </row>
    <row r="1622" spans="1:10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0.07</v>
      </c>
      <c r="G1622" s="1">
        <f t="shared" si="25"/>
        <v>492.8907</v>
      </c>
      <c r="H1622" t="str">
        <f>VLOOKUP(C1622,[1]products!$A:$B,2,0)</f>
        <v>Electra Moto 1 - 2016</v>
      </c>
      <c r="I1622">
        <f>VLOOKUP(H1622,[1]products!$B:$D,3,0)</f>
        <v>3</v>
      </c>
      <c r="J1622" t="str">
        <f>VLOOKUP(I1622,[2]categories!$A$2:$B$8,2,0)</f>
        <v>Cruisers Bicycles</v>
      </c>
    </row>
    <row r="1623" spans="1:10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 s="1">
        <f t="shared" si="25"/>
        <v>431.984</v>
      </c>
      <c r="H1623" t="str">
        <f>VLOOKUP(C1623,[1]products!$A:$B,2,0)</f>
        <v>Electra Cruiser 1 (24-Inch) - 2016</v>
      </c>
      <c r="I1623">
        <f>VLOOKUP(H1623,[1]products!$B:$D,3,0)</f>
        <v>3</v>
      </c>
      <c r="J1623" t="str">
        <f>VLOOKUP(I1623,[2]categories!$A$2:$B$8,2,0)</f>
        <v>Cruisers Bicycles</v>
      </c>
    </row>
    <row r="1624" spans="1:10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0.07</v>
      </c>
      <c r="G1624" s="1">
        <f t="shared" si="25"/>
        <v>5579.9814</v>
      </c>
      <c r="H1624" t="str">
        <f>VLOOKUP(C1624,[1]products!$A:$B,2,0)</f>
        <v>Trek Conduit+ - 2016</v>
      </c>
      <c r="I1624">
        <f>VLOOKUP(H1624,[1]products!$B:$D,3,0)</f>
        <v>5</v>
      </c>
      <c r="J1624" t="str">
        <f>VLOOKUP(I1624,[2]categories!$A$2:$B$8,2,0)</f>
        <v>Electric Bikes</v>
      </c>
    </row>
    <row r="1625" spans="1:10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 s="1">
        <f t="shared" si="25"/>
        <v>359.2</v>
      </c>
      <c r="H1625" t="str">
        <f>VLOOKUP(C1625,[1]products!$A:$B,2,0)</f>
        <v>Pure Cycles William 3-Speed - 2016</v>
      </c>
      <c r="I1625">
        <f>VLOOKUP(H1625,[1]products!$B:$D,3,0)</f>
        <v>3</v>
      </c>
      <c r="J1625" t="str">
        <f>VLOOKUP(I1625,[2]categories!$A$2:$B$8,2,0)</f>
        <v>Cruisers Bicycles</v>
      </c>
    </row>
    <row r="1626" spans="1:10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0.07</v>
      </c>
      <c r="G1626" s="1">
        <f t="shared" si="25"/>
        <v>3347.9814</v>
      </c>
      <c r="H1626" t="str">
        <f>VLOOKUP(C1626,[1]products!$A:$B,2,0)</f>
        <v>Trek Remedy 29 Carbon Frameset - 2016</v>
      </c>
      <c r="I1626">
        <f>VLOOKUP(H1626,[1]products!$B:$D,3,0)</f>
        <v>6</v>
      </c>
      <c r="J1626" t="str">
        <f>VLOOKUP(I1626,[2]categories!$A$2:$B$8,2,0)</f>
        <v>Mountain Bikes</v>
      </c>
    </row>
    <row r="1627" spans="1:10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 s="1">
        <f t="shared" si="25"/>
        <v>2478.4</v>
      </c>
      <c r="H1627" t="str">
        <f>VLOOKUP(C1627,[1]products!$A:$B,2,0)</f>
        <v>Surly Straggler - 2016</v>
      </c>
      <c r="I1627">
        <f>VLOOKUP(H1627,[1]products!$B:$D,3,0)</f>
        <v>4</v>
      </c>
      <c r="J1627" t="str">
        <f>VLOOKUP(I1627,[2]categories!$A$2:$B$8,2,0)</f>
        <v>Cyclocross Bicycles</v>
      </c>
    </row>
    <row r="1628" spans="1:10">
      <c r="A1628">
        <v>582</v>
      </c>
      <c r="B1628">
        <v>2</v>
      </c>
      <c r="C1628">
        <v>17</v>
      </c>
      <c r="D1628">
        <v>2</v>
      </c>
      <c r="E1628">
        <v>429</v>
      </c>
      <c r="F1628">
        <v>0.07</v>
      </c>
      <c r="G1628" s="1">
        <f t="shared" si="25"/>
        <v>797.94</v>
      </c>
      <c r="H1628" t="str">
        <f>VLOOKUP(C1628,[1]products!$A:$B,2,0)</f>
        <v>Pure Cycles Vine 8-Speed - 2016</v>
      </c>
      <c r="I1628">
        <f>VLOOKUP(H1628,[1]products!$B:$D,3,0)</f>
        <v>3</v>
      </c>
      <c r="J1628" t="str">
        <f>VLOOKUP(I1628,[2]categories!$A$2:$B$8,2,0)</f>
        <v>Cruisers Bicycles</v>
      </c>
    </row>
    <row r="1629" spans="1:10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 s="1">
        <f t="shared" si="25"/>
        <v>847.984</v>
      </c>
      <c r="H1629" t="str">
        <f>VLOOKUP(C1629,[1]products!$A:$B,2,0)</f>
        <v>Electra Moto 1 - 2016</v>
      </c>
      <c r="I1629">
        <f>VLOOKUP(H1629,[1]products!$B:$D,3,0)</f>
        <v>3</v>
      </c>
      <c r="J1629" t="str">
        <f>VLOOKUP(I1629,[2]categories!$A$2:$B$8,2,0)</f>
        <v>Cruisers Bicycles</v>
      </c>
    </row>
    <row r="1630" spans="1:10">
      <c r="A1630">
        <v>584</v>
      </c>
      <c r="B1630">
        <v>1</v>
      </c>
      <c r="C1630">
        <v>19</v>
      </c>
      <c r="D1630">
        <v>1</v>
      </c>
      <c r="E1630">
        <v>449</v>
      </c>
      <c r="F1630">
        <v>0.07</v>
      </c>
      <c r="G1630" s="1">
        <f t="shared" si="25"/>
        <v>417.57</v>
      </c>
      <c r="H1630" t="str">
        <f>VLOOKUP(C1630,[1]products!$A:$B,2,0)</f>
        <v>Pure Cycles William 3-Speed - 2016</v>
      </c>
      <c r="I1630">
        <f>VLOOKUP(H1630,[1]products!$B:$D,3,0)</f>
        <v>3</v>
      </c>
      <c r="J1630" t="str">
        <f>VLOOKUP(I1630,[2]categories!$A$2:$B$8,2,0)</f>
        <v>Cruisers Bicycles</v>
      </c>
    </row>
    <row r="1631" spans="1:10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0.07</v>
      </c>
      <c r="G1631" s="1">
        <f t="shared" si="25"/>
        <v>278.9907</v>
      </c>
      <c r="H1631" t="str">
        <f>VLOOKUP(C1631,[1]products!$A:$B,2,0)</f>
        <v>Electra Girl's Hawaii 1 (20-inch) - 2015/2016</v>
      </c>
      <c r="I1631">
        <f>VLOOKUP(H1631,[1]products!$B:$D,3,0)</f>
        <v>1</v>
      </c>
      <c r="J1631" t="str">
        <f>VLOOKUP(I1631,[2]categories!$A$2:$B$8,2,0)</f>
        <v>Children Bicycles</v>
      </c>
    </row>
    <row r="1632" spans="1:10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 s="1">
        <f t="shared" si="25"/>
        <v>476.991</v>
      </c>
      <c r="H1632" t="str">
        <f>VLOOKUP(C1632,[1]products!$A:$B,2,0)</f>
        <v>Electra Moto 1 - 2016</v>
      </c>
      <c r="I1632">
        <f>VLOOKUP(H1632,[1]products!$B:$D,3,0)</f>
        <v>3</v>
      </c>
      <c r="J1632" t="str">
        <f>VLOOKUP(I1632,[2]categories!$A$2:$B$8,2,0)</f>
        <v>Cruisers Bicycles</v>
      </c>
    </row>
    <row r="1633" spans="1:10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 s="1">
        <f t="shared" si="25"/>
        <v>256.4905</v>
      </c>
      <c r="H1633" t="str">
        <f>VLOOKUP(C1633,[1]products!$A:$B,2,0)</f>
        <v>Electra Girl's Hawaii 1 (16-inch) - 2015/2016</v>
      </c>
      <c r="I1633">
        <f>VLOOKUP(H1633,[1]products!$B:$D,3,0)</f>
        <v>3</v>
      </c>
      <c r="J1633" t="str">
        <f>VLOOKUP(I1633,[2]categories!$A$2:$B$8,2,0)</f>
        <v>Cruisers Bicycles</v>
      </c>
    </row>
    <row r="1634" spans="1:10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0.07</v>
      </c>
      <c r="G1634" s="1">
        <f t="shared" si="25"/>
        <v>3347.9814</v>
      </c>
      <c r="H1634" t="str">
        <f>VLOOKUP(C1634,[1]products!$A:$B,2,0)</f>
        <v>Trek Remedy 29 Carbon Frameset - 2016</v>
      </c>
      <c r="I1634">
        <f>VLOOKUP(H1634,[1]products!$B:$D,3,0)</f>
        <v>6</v>
      </c>
      <c r="J1634" t="str">
        <f>VLOOKUP(I1634,[2]categories!$A$2:$B$8,2,0)</f>
        <v>Mountain Bikes</v>
      </c>
    </row>
    <row r="1635" spans="1:10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 s="1">
        <f t="shared" si="25"/>
        <v>1239.2</v>
      </c>
      <c r="H1635" t="str">
        <f>VLOOKUP(C1635,[1]products!$A:$B,2,0)</f>
        <v>Surly Straggler - 2016</v>
      </c>
      <c r="I1635">
        <f>VLOOKUP(H1635,[1]products!$B:$D,3,0)</f>
        <v>4</v>
      </c>
      <c r="J1635" t="str">
        <f>VLOOKUP(I1635,[2]categories!$A$2:$B$8,2,0)</f>
        <v>Cyclocross Bicycles</v>
      </c>
    </row>
    <row r="1636" spans="1:10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 s="1">
        <f t="shared" si="25"/>
        <v>718.4</v>
      </c>
      <c r="H1636" t="str">
        <f>VLOOKUP(C1636,[1]products!$A:$B,2,0)</f>
        <v>Pure Cycles Western 3-Speed - Women's - 2015/2016</v>
      </c>
      <c r="I1636">
        <f>VLOOKUP(H1636,[1]products!$B:$D,3,0)</f>
        <v>3</v>
      </c>
      <c r="J1636" t="str">
        <f>VLOOKUP(I1636,[2]categories!$A$2:$B$8,2,0)</f>
        <v>Cruisers Bicycles</v>
      </c>
    </row>
    <row r="1637" spans="1:10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 s="1">
        <f t="shared" si="25"/>
        <v>503.4905</v>
      </c>
      <c r="H1637" t="str">
        <f>VLOOKUP(C1637,[1]products!$A:$B,2,0)</f>
        <v>Electra Moto 1 - 2016</v>
      </c>
      <c r="I1637">
        <f>VLOOKUP(H1637,[1]products!$B:$D,3,0)</f>
        <v>3</v>
      </c>
      <c r="J1637" t="str">
        <f>VLOOKUP(I1637,[2]categories!$A$2:$B$8,2,0)</f>
        <v>Cruisers Bicycles</v>
      </c>
    </row>
    <row r="1638" spans="1:10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0.07</v>
      </c>
      <c r="G1638" s="1">
        <f t="shared" si="25"/>
        <v>1022.9814</v>
      </c>
      <c r="H1638" t="str">
        <f>VLOOKUP(C1638,[1]products!$A:$B,2,0)</f>
        <v>Electra Townie Original 21D - 2016</v>
      </c>
      <c r="I1638">
        <f>VLOOKUP(H1638,[1]products!$B:$D,3,0)</f>
        <v>3</v>
      </c>
      <c r="J1638" t="str">
        <f>VLOOKUP(I1638,[2]categories!$A$2:$B$8,2,0)</f>
        <v>Cruisers Bicycles</v>
      </c>
    </row>
    <row r="1639" spans="1:10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 s="1">
        <f t="shared" si="25"/>
        <v>3025.782</v>
      </c>
      <c r="H1639" t="str">
        <f>VLOOKUP(C1639,[1]products!$A:$B,2,0)</f>
        <v>Surly Straggler 650b - 2016</v>
      </c>
      <c r="I1639">
        <f>VLOOKUP(H1639,[1]products!$B:$D,3,0)</f>
        <v>4</v>
      </c>
      <c r="J1639" t="str">
        <f>VLOOKUP(I1639,[2]categories!$A$2:$B$8,2,0)</f>
        <v>Cyclocross Bicycles</v>
      </c>
    </row>
    <row r="1640" spans="1:10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 s="1">
        <f t="shared" si="25"/>
        <v>479.984</v>
      </c>
      <c r="H1640" t="str">
        <f>VLOOKUP(C1640,[1]products!$A:$B,2,0)</f>
        <v>Electra Girl's Hawaii 1 (20-inch) - 2015/2016</v>
      </c>
      <c r="I1640">
        <f>VLOOKUP(H1640,[1]products!$B:$D,3,0)</f>
        <v>1</v>
      </c>
      <c r="J1640" t="str">
        <f>VLOOKUP(I1640,[2]categories!$A$2:$B$8,2,0)</f>
        <v>Children Bicycles</v>
      </c>
    </row>
    <row r="1641" spans="1:10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 s="1">
        <f t="shared" si="25"/>
        <v>522.4905</v>
      </c>
      <c r="H1641" t="str">
        <f>VLOOKUP(C1641,[1]products!$A:$B,2,0)</f>
        <v>Electra Townie Original 21D - 2016</v>
      </c>
      <c r="I1641">
        <f>VLOOKUP(H1641,[1]products!$B:$D,3,0)</f>
        <v>3</v>
      </c>
      <c r="J1641" t="str">
        <f>VLOOKUP(I1641,[2]categories!$A$2:$B$8,2,0)</f>
        <v>Cruisers Bicycles</v>
      </c>
    </row>
    <row r="1642" spans="1:10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 s="1">
        <f t="shared" si="25"/>
        <v>284.9905</v>
      </c>
      <c r="H1642" t="str">
        <f>VLOOKUP(C1642,[1]products!$A:$B,2,0)</f>
        <v>Electra Girl's Hawaii 1 (20-inch) - 2015/2016</v>
      </c>
      <c r="I1642">
        <f>VLOOKUP(H1642,[1]products!$B:$D,3,0)</f>
        <v>1</v>
      </c>
      <c r="J1642" t="str">
        <f>VLOOKUP(I1642,[2]categories!$A$2:$B$8,2,0)</f>
        <v>Children Bicycles</v>
      </c>
    </row>
    <row r="1643" spans="1:10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 s="1">
        <f t="shared" si="25"/>
        <v>426.55</v>
      </c>
      <c r="H1643" t="str">
        <f>VLOOKUP(C1643,[1]products!$A:$B,2,0)</f>
        <v>Pure Cycles Western 3-Speed - Women's - 2015/2016</v>
      </c>
      <c r="I1643">
        <f>VLOOKUP(H1643,[1]products!$B:$D,3,0)</f>
        <v>3</v>
      </c>
      <c r="J1643" t="str">
        <f>VLOOKUP(I1643,[2]categories!$A$2:$B$8,2,0)</f>
        <v>Cruisers Bicycles</v>
      </c>
    </row>
    <row r="1644" spans="1:10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 s="1">
        <f t="shared" si="25"/>
        <v>215.992</v>
      </c>
      <c r="H1644" t="str">
        <f>VLOOKUP(C1644,[1]products!$A:$B,2,0)</f>
        <v>Electra Cruiser 1 (24-Inch) - 2016</v>
      </c>
      <c r="I1644">
        <f>VLOOKUP(H1644,[1]products!$B:$D,3,0)</f>
        <v>3</v>
      </c>
      <c r="J1644" t="str">
        <f>VLOOKUP(I1644,[2]categories!$A$2:$B$8,2,0)</f>
        <v>Cruisers Bicycles</v>
      </c>
    </row>
    <row r="1645" spans="1:10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0.07</v>
      </c>
      <c r="G1645" s="1">
        <f t="shared" si="25"/>
        <v>2881.14</v>
      </c>
      <c r="H1645" t="str">
        <f>VLOOKUP(C1645,[1]products!$A:$B,2,0)</f>
        <v>Surly Straggler - 2016</v>
      </c>
      <c r="I1645">
        <f>VLOOKUP(H1645,[1]products!$B:$D,3,0)</f>
        <v>4</v>
      </c>
      <c r="J1645" t="str">
        <f>VLOOKUP(I1645,[2]categories!$A$2:$B$8,2,0)</f>
        <v>Cyclocross Bicycles</v>
      </c>
    </row>
    <row r="1646" spans="1:10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 s="1">
        <f t="shared" si="25"/>
        <v>239.992</v>
      </c>
      <c r="H1646" t="str">
        <f>VLOOKUP(C1646,[1]products!$A:$B,2,0)</f>
        <v>Electra Girl's Hawaii 1 (20-inch) - 2015/2016</v>
      </c>
      <c r="I1646">
        <f>VLOOKUP(H1646,[1]products!$B:$D,3,0)</f>
        <v>1</v>
      </c>
      <c r="J1646" t="str">
        <f>VLOOKUP(I1646,[2]categories!$A$2:$B$8,2,0)</f>
        <v>Children Bicycles</v>
      </c>
    </row>
    <row r="1647" spans="1:10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 s="1">
        <f t="shared" si="25"/>
        <v>1006.981</v>
      </c>
      <c r="H1647" t="str">
        <f>VLOOKUP(C1647,[1]products!$A:$B,2,0)</f>
        <v>Electra Moto 1 - 2016</v>
      </c>
      <c r="I1647">
        <f>VLOOKUP(H1647,[1]products!$B:$D,3,0)</f>
        <v>3</v>
      </c>
      <c r="J1647" t="str">
        <f>VLOOKUP(I1647,[2]categories!$A$2:$B$8,2,0)</f>
        <v>Cruisers Bicycles</v>
      </c>
    </row>
    <row r="1648" spans="1:10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 s="1">
        <f t="shared" si="25"/>
        <v>1349.982</v>
      </c>
      <c r="H1648" t="str">
        <f>VLOOKUP(C1648,[1]products!$A:$B,2,0)</f>
        <v>Ritchey Timberwolf Frameset - 2016</v>
      </c>
      <c r="I1648">
        <f>VLOOKUP(H1648,[1]products!$B:$D,3,0)</f>
        <v>6</v>
      </c>
      <c r="J1648" t="str">
        <f>VLOOKUP(I1648,[2]categories!$A$2:$B$8,2,0)</f>
        <v>Mountain Bikes</v>
      </c>
    </row>
    <row r="1649" spans="1:10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0.07</v>
      </c>
      <c r="G1649" s="1">
        <f t="shared" si="25"/>
        <v>557.9907</v>
      </c>
      <c r="H1649" t="str">
        <f>VLOOKUP(C1649,[1]products!$A:$B,2,0)</f>
        <v>Electra Townie Original 7D EQ - Women's - 2016</v>
      </c>
      <c r="I1649">
        <f>VLOOKUP(H1649,[1]products!$B:$D,3,0)</f>
        <v>3</v>
      </c>
      <c r="J1649" t="str">
        <f>VLOOKUP(I1649,[2]categories!$A$2:$B$8,2,0)</f>
        <v>Cruisers Bicycles</v>
      </c>
    </row>
    <row r="1650" spans="1:10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 s="1">
        <f t="shared" si="25"/>
        <v>3419.981</v>
      </c>
      <c r="H1650" t="str">
        <f>VLOOKUP(C1650,[1]products!$A:$B,2,0)</f>
        <v>Trek Remedy 29 Carbon Frameset - 2016</v>
      </c>
      <c r="I1650">
        <f>VLOOKUP(H1650,[1]products!$B:$D,3,0)</f>
        <v>6</v>
      </c>
      <c r="J1650" t="str">
        <f>VLOOKUP(I1650,[2]categories!$A$2:$B$8,2,0)</f>
        <v>Mountain Bikes</v>
      </c>
    </row>
    <row r="1651" spans="1:10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 s="1">
        <f t="shared" si="25"/>
        <v>2377.782</v>
      </c>
      <c r="H1651" t="str">
        <f>VLOOKUP(C1651,[1]products!$A:$B,2,0)</f>
        <v>Heller Shagamaw Frame - 2016</v>
      </c>
      <c r="I1651">
        <f>VLOOKUP(H1651,[1]products!$B:$D,3,0)</f>
        <v>6</v>
      </c>
      <c r="J1651" t="str">
        <f>VLOOKUP(I1651,[2]categories!$A$2:$B$8,2,0)</f>
        <v>Mountain Bikes</v>
      </c>
    </row>
    <row r="1652" spans="1:10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 s="1">
        <f t="shared" si="25"/>
        <v>494.991</v>
      </c>
      <c r="H1652" t="str">
        <f>VLOOKUP(C1652,[1]products!$A:$B,2,0)</f>
        <v>Electra Townie Original 21D - 2016</v>
      </c>
      <c r="I1652">
        <f>VLOOKUP(H1652,[1]products!$B:$D,3,0)</f>
        <v>3</v>
      </c>
      <c r="J1652" t="str">
        <f>VLOOKUP(I1652,[2]categories!$A$2:$B$8,2,0)</f>
        <v>Cruisers Bicycles</v>
      </c>
    </row>
    <row r="1653" spans="1:10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 s="1">
        <f t="shared" si="25"/>
        <v>1139.981</v>
      </c>
      <c r="H1653" t="str">
        <f>VLOOKUP(C1653,[1]products!$A:$B,2,0)</f>
        <v>Electra Townie Original 7D EQ - 2016</v>
      </c>
      <c r="I1653">
        <f>VLOOKUP(H1653,[1]products!$B:$D,3,0)</f>
        <v>3</v>
      </c>
      <c r="J1653" t="str">
        <f>VLOOKUP(I1653,[2]categories!$A$2:$B$8,2,0)</f>
        <v>Cruisers Bicycles</v>
      </c>
    </row>
    <row r="1654" spans="1:10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 s="1">
        <f t="shared" si="25"/>
        <v>949.981</v>
      </c>
      <c r="H1654" t="str">
        <f>VLOOKUP(C1654,[1]products!$A:$B,2,0)</f>
        <v>Electra Townie Original 7D - 2015/2016</v>
      </c>
      <c r="I1654">
        <f>VLOOKUP(H1654,[1]products!$B:$D,3,0)</f>
        <v>2</v>
      </c>
      <c r="J1654" t="str">
        <f>VLOOKUP(I1654,[2]categories!$A$2:$B$8,2,0)</f>
        <v>Comfort Bicycles</v>
      </c>
    </row>
    <row r="1655" spans="1:10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 s="1">
        <f t="shared" si="25"/>
        <v>1349.982</v>
      </c>
      <c r="H1655" t="str">
        <f>VLOOKUP(C1655,[1]products!$A:$B,2,0)</f>
        <v>Ritchey Timberwolf Frameset - 2016</v>
      </c>
      <c r="I1655">
        <f>VLOOKUP(H1655,[1]products!$B:$D,3,0)</f>
        <v>6</v>
      </c>
      <c r="J1655" t="str">
        <f>VLOOKUP(I1655,[2]categories!$A$2:$B$8,2,0)</f>
        <v>Mountain Bikes</v>
      </c>
    </row>
    <row r="1656" spans="1:10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 s="1">
        <f t="shared" si="25"/>
        <v>485.982</v>
      </c>
      <c r="H1656" t="str">
        <f>VLOOKUP(C1656,[1]products!$A:$B,2,0)</f>
        <v>Electra Cruiser 1 (24-Inch) - 2016</v>
      </c>
      <c r="I1656">
        <f>VLOOKUP(H1656,[1]products!$B:$D,3,0)</f>
        <v>3</v>
      </c>
      <c r="J1656" t="str">
        <f>VLOOKUP(I1656,[2]categories!$A$2:$B$8,2,0)</f>
        <v>Cruisers Bicycles</v>
      </c>
    </row>
    <row r="1657" spans="1:10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 s="1">
        <f t="shared" si="25"/>
        <v>569.9905</v>
      </c>
      <c r="H1657" t="str">
        <f>VLOOKUP(C1657,[1]products!$A:$B,2,0)</f>
        <v>Electra Townie Original 7D EQ - 2016</v>
      </c>
      <c r="I1657">
        <f>VLOOKUP(H1657,[1]products!$B:$D,3,0)</f>
        <v>3</v>
      </c>
      <c r="J1657" t="str">
        <f>VLOOKUP(I1657,[2]categories!$A$2:$B$8,2,0)</f>
        <v>Cruisers Bicycles</v>
      </c>
    </row>
    <row r="1658" spans="1:10">
      <c r="A1658">
        <v>592</v>
      </c>
      <c r="B1658">
        <v>3</v>
      </c>
      <c r="C1658">
        <v>18</v>
      </c>
      <c r="D1658">
        <v>2</v>
      </c>
      <c r="E1658">
        <v>449</v>
      </c>
      <c r="F1658">
        <v>0.07</v>
      </c>
      <c r="G1658" s="1">
        <f t="shared" si="25"/>
        <v>835.14</v>
      </c>
      <c r="H1658" t="str">
        <f>VLOOKUP(C1658,[1]products!$A:$B,2,0)</f>
        <v>Pure Cycles Western 3-Speed - Women's - 2015/2016</v>
      </c>
      <c r="I1658">
        <f>VLOOKUP(H1658,[1]products!$B:$D,3,0)</f>
        <v>3</v>
      </c>
      <c r="J1658" t="str">
        <f>VLOOKUP(I1658,[2]categories!$A$2:$B$8,2,0)</f>
        <v>Cruisers Bicycles</v>
      </c>
    </row>
    <row r="1659" spans="1:10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 s="1">
        <f t="shared" si="25"/>
        <v>1799.982</v>
      </c>
      <c r="H1659" t="str">
        <f>VLOOKUP(C1659,[1]products!$A:$B,2,0)</f>
        <v>Surly Wednesday Frameset - 2016</v>
      </c>
      <c r="I1659">
        <f>VLOOKUP(H1659,[1]products!$B:$D,3,0)</f>
        <v>6</v>
      </c>
      <c r="J1659" t="str">
        <f>VLOOKUP(I1659,[2]categories!$A$2:$B$8,2,0)</f>
        <v>Mountain Bikes</v>
      </c>
    </row>
    <row r="1660" spans="1:10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0.07</v>
      </c>
      <c r="G1660" s="1">
        <f t="shared" si="25"/>
        <v>464.9907</v>
      </c>
      <c r="H1660" t="str">
        <f>VLOOKUP(C1660,[1]products!$A:$B,2,0)</f>
        <v>Electra Townie Original 7D - 2015/2016</v>
      </c>
      <c r="I1660">
        <f>VLOOKUP(H1660,[1]products!$B:$D,3,0)</f>
        <v>2</v>
      </c>
      <c r="J1660" t="str">
        <f>VLOOKUP(I1660,[2]categories!$A$2:$B$8,2,0)</f>
        <v>Comfort Bicycles</v>
      </c>
    </row>
    <row r="1661" spans="1:10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 s="1">
        <f t="shared" si="25"/>
        <v>539.991</v>
      </c>
      <c r="H1661" t="str">
        <f>VLOOKUP(C1661,[1]products!$A:$B,2,0)</f>
        <v>Electra Townie Original 7D EQ - 2016</v>
      </c>
      <c r="I1661">
        <f>VLOOKUP(H1661,[1]products!$B:$D,3,0)</f>
        <v>3</v>
      </c>
      <c r="J1661" t="str">
        <f>VLOOKUP(I1661,[2]categories!$A$2:$B$8,2,0)</f>
        <v>Cruisers Bicycles</v>
      </c>
    </row>
    <row r="1662" spans="1:10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 s="1">
        <f t="shared" si="25"/>
        <v>512.981</v>
      </c>
      <c r="H1662" t="str">
        <f>VLOOKUP(C1662,[1]products!$A:$B,2,0)</f>
        <v>Electra Cruiser 1 (24-Inch) - 2016</v>
      </c>
      <c r="I1662">
        <f>VLOOKUP(H1662,[1]products!$B:$D,3,0)</f>
        <v>3</v>
      </c>
      <c r="J1662" t="str">
        <f>VLOOKUP(I1662,[2]categories!$A$2:$B$8,2,0)</f>
        <v>Cruisers Bicycles</v>
      </c>
    </row>
    <row r="1663" spans="1:10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0.07</v>
      </c>
      <c r="G1663" s="1">
        <f t="shared" si="25"/>
        <v>2696.9907</v>
      </c>
      <c r="H1663" t="str">
        <f>VLOOKUP(C1663,[1]products!$A:$B,2,0)</f>
        <v>Trek Fuel EX 8 29 - 2016</v>
      </c>
      <c r="I1663">
        <f>VLOOKUP(H1663,[1]products!$B:$D,3,0)</f>
        <v>6</v>
      </c>
      <c r="J1663" t="str">
        <f>VLOOKUP(I1663,[2]categories!$A$2:$B$8,2,0)</f>
        <v>Mountain Bikes</v>
      </c>
    </row>
    <row r="1664" spans="1:10">
      <c r="A1664">
        <v>595</v>
      </c>
      <c r="B1664">
        <v>2</v>
      </c>
      <c r="C1664">
        <v>19</v>
      </c>
      <c r="D1664">
        <v>2</v>
      </c>
      <c r="E1664">
        <v>449</v>
      </c>
      <c r="F1664">
        <v>0.07</v>
      </c>
      <c r="G1664" s="1">
        <f t="shared" si="25"/>
        <v>835.14</v>
      </c>
      <c r="H1664" t="str">
        <f>VLOOKUP(C1664,[1]products!$A:$B,2,0)</f>
        <v>Pure Cycles William 3-Speed - 2016</v>
      </c>
      <c r="I1664">
        <f>VLOOKUP(H1664,[1]products!$B:$D,3,0)</f>
        <v>3</v>
      </c>
      <c r="J1664" t="str">
        <f>VLOOKUP(I1664,[2]categories!$A$2:$B$8,2,0)</f>
        <v>Cruisers Bicycles</v>
      </c>
    </row>
    <row r="1665" spans="1:10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0.07</v>
      </c>
      <c r="G1665" s="1">
        <f t="shared" si="25"/>
        <v>929.9907</v>
      </c>
      <c r="H1665" t="str">
        <f>VLOOKUP(C1665,[1]products!$A:$B,2,0)</f>
        <v>Surly Wednesday Frameset - 2016</v>
      </c>
      <c r="I1665">
        <f>VLOOKUP(H1665,[1]products!$B:$D,3,0)</f>
        <v>6</v>
      </c>
      <c r="J1665" t="str">
        <f>VLOOKUP(I1665,[2]categories!$A$2:$B$8,2,0)</f>
        <v>Mountain Bikes</v>
      </c>
    </row>
    <row r="1666" spans="1:10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0.07</v>
      </c>
      <c r="G1666" s="1">
        <f t="shared" ref="G1666:G1729" si="26">D1666*E1666*(1-F1666)</f>
        <v>1440.57</v>
      </c>
      <c r="H1666" t="str">
        <f>VLOOKUP(C1666,[1]products!$A:$B,2,0)</f>
        <v>Surly Straggler - 2016</v>
      </c>
      <c r="I1666">
        <f>VLOOKUP(H1666,[1]products!$B:$D,3,0)</f>
        <v>4</v>
      </c>
      <c r="J1666" t="str">
        <f>VLOOKUP(I1666,[2]categories!$A$2:$B$8,2,0)</f>
        <v>Cyclocross Bicycles</v>
      </c>
    </row>
    <row r="1667" spans="1:10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 s="1">
        <f t="shared" si="26"/>
        <v>1139.981</v>
      </c>
      <c r="H1667" t="str">
        <f>VLOOKUP(C1667,[1]products!$A:$B,2,0)</f>
        <v>Electra Townie Original 7D EQ - 2016</v>
      </c>
      <c r="I1667">
        <f>VLOOKUP(H1667,[1]products!$B:$D,3,0)</f>
        <v>3</v>
      </c>
      <c r="J1667" t="str">
        <f>VLOOKUP(I1667,[2]categories!$A$2:$B$8,2,0)</f>
        <v>Cruisers Bicycles</v>
      </c>
    </row>
    <row r="1668" spans="1:10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 s="1">
        <f t="shared" si="26"/>
        <v>1254.9405</v>
      </c>
      <c r="H1668" t="str">
        <f>VLOOKUP(C1668,[1]products!$A:$B,2,0)</f>
        <v>Heller Shagamaw Frame - 2016</v>
      </c>
      <c r="I1668">
        <f>VLOOKUP(H1668,[1]products!$B:$D,3,0)</f>
        <v>6</v>
      </c>
      <c r="J1668" t="str">
        <f>VLOOKUP(I1668,[2]categories!$A$2:$B$8,2,0)</f>
        <v>Mountain Bikes</v>
      </c>
    </row>
    <row r="1669" spans="1:10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 s="1">
        <f t="shared" si="26"/>
        <v>539.982</v>
      </c>
      <c r="H1669" t="str">
        <f>VLOOKUP(C1669,[1]products!$A:$B,2,0)</f>
        <v>Electra Girl's Hawaii 1 (20-inch) - 2015/2016</v>
      </c>
      <c r="I1669">
        <f>VLOOKUP(H1669,[1]products!$B:$D,3,0)</f>
        <v>1</v>
      </c>
      <c r="J1669" t="str">
        <f>VLOOKUP(I1669,[2]categories!$A$2:$B$8,2,0)</f>
        <v>Children Bicycles</v>
      </c>
    </row>
    <row r="1670" spans="1:10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 s="1">
        <f t="shared" si="26"/>
        <v>2849.9905</v>
      </c>
      <c r="H1670" t="str">
        <f>VLOOKUP(C1670,[1]products!$A:$B,2,0)</f>
        <v>Trek Conduit+ - 2016</v>
      </c>
      <c r="I1670">
        <f>VLOOKUP(H1670,[1]products!$B:$D,3,0)</f>
        <v>5</v>
      </c>
      <c r="J1670" t="str">
        <f>VLOOKUP(I1670,[2]categories!$A$2:$B$8,2,0)</f>
        <v>Electric Bikes</v>
      </c>
    </row>
    <row r="1671" spans="1:10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 s="1">
        <f t="shared" si="26"/>
        <v>686.4</v>
      </c>
      <c r="H1671" t="str">
        <f>VLOOKUP(C1671,[1]products!$A:$B,2,0)</f>
        <v>Pure Cycles Vine 8-Speed - 2016</v>
      </c>
      <c r="I1671">
        <f>VLOOKUP(H1671,[1]products!$B:$D,3,0)</f>
        <v>3</v>
      </c>
      <c r="J1671" t="str">
        <f>VLOOKUP(I1671,[2]categories!$A$2:$B$8,2,0)</f>
        <v>Cruisers Bicycles</v>
      </c>
    </row>
    <row r="1672" spans="1:10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0.07</v>
      </c>
      <c r="G1672" s="1">
        <f t="shared" si="26"/>
        <v>1673.9907</v>
      </c>
      <c r="H1672" t="str">
        <f>VLOOKUP(C1672,[1]products!$A:$B,2,0)</f>
        <v>Trek Remedy 29 Carbon Frameset - 2016</v>
      </c>
      <c r="I1672">
        <f>VLOOKUP(H1672,[1]products!$B:$D,3,0)</f>
        <v>6</v>
      </c>
      <c r="J1672" t="str">
        <f>VLOOKUP(I1672,[2]categories!$A$2:$B$8,2,0)</f>
        <v>Mountain Bikes</v>
      </c>
    </row>
    <row r="1673" spans="1:10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 s="1">
        <f t="shared" si="26"/>
        <v>5509.981</v>
      </c>
      <c r="H1673" t="str">
        <f>VLOOKUP(C1673,[1]products!$A:$B,2,0)</f>
        <v>Trek Fuel EX 8 29 - 2016</v>
      </c>
      <c r="I1673">
        <f>VLOOKUP(H1673,[1]products!$B:$D,3,0)</f>
        <v>6</v>
      </c>
      <c r="J1673" t="str">
        <f>VLOOKUP(I1673,[2]categories!$A$2:$B$8,2,0)</f>
        <v>Mountain Bikes</v>
      </c>
    </row>
    <row r="1674" spans="1:10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0.07</v>
      </c>
      <c r="G1674" s="1">
        <f t="shared" si="26"/>
        <v>1115.9814</v>
      </c>
      <c r="H1674" t="str">
        <f>VLOOKUP(C1674,[1]products!$A:$B,2,0)</f>
        <v>Electra Townie Original 7D EQ - 2016</v>
      </c>
      <c r="I1674">
        <f>VLOOKUP(H1674,[1]products!$B:$D,3,0)</f>
        <v>3</v>
      </c>
      <c r="J1674" t="str">
        <f>VLOOKUP(I1674,[2]categories!$A$2:$B$8,2,0)</f>
        <v>Cruisers Bicycles</v>
      </c>
    </row>
    <row r="1675" spans="1:10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 s="1">
        <f t="shared" si="26"/>
        <v>242.991</v>
      </c>
      <c r="H1675" t="str">
        <f>VLOOKUP(C1675,[1]products!$A:$B,2,0)</f>
        <v>Electra Girl's Hawaii 1 (16-inch) - 2015/2016</v>
      </c>
      <c r="I1675">
        <f>VLOOKUP(H1675,[1]products!$B:$D,3,0)</f>
        <v>3</v>
      </c>
      <c r="J1675" t="str">
        <f>VLOOKUP(I1675,[2]categories!$A$2:$B$8,2,0)</f>
        <v>Cruisers Bicycles</v>
      </c>
    </row>
    <row r="1676" spans="1:10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 s="1">
        <f t="shared" si="26"/>
        <v>5699.981</v>
      </c>
      <c r="H1676" t="str">
        <f>VLOOKUP(C1676,[1]products!$A:$B,2,0)</f>
        <v>Trek Conduit+ - 2016</v>
      </c>
      <c r="I1676">
        <f>VLOOKUP(H1676,[1]products!$B:$D,3,0)</f>
        <v>5</v>
      </c>
      <c r="J1676" t="str">
        <f>VLOOKUP(I1676,[2]categories!$A$2:$B$8,2,0)</f>
        <v>Electric Bikes</v>
      </c>
    </row>
    <row r="1677" spans="1:10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 s="1">
        <f t="shared" si="26"/>
        <v>431.984</v>
      </c>
      <c r="H1677" t="str">
        <f>VLOOKUP(C1677,[1]products!$A:$B,2,0)</f>
        <v>Electra Girl's Hawaii 1 (16-inch) - 2015/2016</v>
      </c>
      <c r="I1677">
        <f>VLOOKUP(H1677,[1]products!$B:$D,3,0)</f>
        <v>3</v>
      </c>
      <c r="J1677" t="str">
        <f>VLOOKUP(I1677,[2]categories!$A$2:$B$8,2,0)</f>
        <v>Cruisers Bicycles</v>
      </c>
    </row>
    <row r="1678" spans="1:10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0.07</v>
      </c>
      <c r="G1678" s="1">
        <f t="shared" si="26"/>
        <v>278.9907</v>
      </c>
      <c r="H1678" t="str">
        <f>VLOOKUP(C1678,[1]products!$A:$B,2,0)</f>
        <v>Electra Girl's Hawaii 1 (20-inch) - 2015/2016</v>
      </c>
      <c r="I1678">
        <f>VLOOKUP(H1678,[1]products!$B:$D,3,0)</f>
        <v>1</v>
      </c>
      <c r="J1678" t="str">
        <f>VLOOKUP(I1678,[2]categories!$A$2:$B$8,2,0)</f>
        <v>Children Bicycles</v>
      </c>
    </row>
    <row r="1679" spans="1:10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 s="1">
        <f t="shared" si="26"/>
        <v>2788.2</v>
      </c>
      <c r="H1679" t="str">
        <f>VLOOKUP(C1679,[1]products!$A:$B,2,0)</f>
        <v>Surly Straggler - 2016</v>
      </c>
      <c r="I1679">
        <f>VLOOKUP(H1679,[1]products!$B:$D,3,0)</f>
        <v>4</v>
      </c>
      <c r="J1679" t="str">
        <f>VLOOKUP(I1679,[2]categories!$A$2:$B$8,2,0)</f>
        <v>Cyclocross Bicycles</v>
      </c>
    </row>
    <row r="1680" spans="1:10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0.07</v>
      </c>
      <c r="G1680" s="1">
        <f t="shared" si="26"/>
        <v>1115.9814</v>
      </c>
      <c r="H1680" t="str">
        <f>VLOOKUP(C1680,[1]products!$A:$B,2,0)</f>
        <v>Electra Townie Original 7D EQ - 2016</v>
      </c>
      <c r="I1680">
        <f>VLOOKUP(H1680,[1]products!$B:$D,3,0)</f>
        <v>3</v>
      </c>
      <c r="J1680" t="str">
        <f>VLOOKUP(I1680,[2]categories!$A$2:$B$8,2,0)</f>
        <v>Cruisers Bicycles</v>
      </c>
    </row>
    <row r="1681" spans="1:10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 s="1">
        <f t="shared" si="26"/>
        <v>2319.992</v>
      </c>
      <c r="H1681" t="str">
        <f>VLOOKUP(C1681,[1]products!$A:$B,2,0)</f>
        <v>Trek Fuel EX 8 29 - 2016</v>
      </c>
      <c r="I1681">
        <f>VLOOKUP(H1681,[1]products!$B:$D,3,0)</f>
        <v>6</v>
      </c>
      <c r="J1681" t="str">
        <f>VLOOKUP(I1681,[2]categories!$A$2:$B$8,2,0)</f>
        <v>Mountain Bikes</v>
      </c>
    </row>
    <row r="1682" spans="1:10">
      <c r="A1682">
        <v>600</v>
      </c>
      <c r="B1682">
        <v>3</v>
      </c>
      <c r="C1682">
        <v>18</v>
      </c>
      <c r="D1682">
        <v>2</v>
      </c>
      <c r="E1682">
        <v>449</v>
      </c>
      <c r="F1682">
        <v>0.07</v>
      </c>
      <c r="G1682" s="1">
        <f t="shared" si="26"/>
        <v>835.14</v>
      </c>
      <c r="H1682" t="str">
        <f>VLOOKUP(C1682,[1]products!$A:$B,2,0)</f>
        <v>Pure Cycles Western 3-Speed - Women's - 2015/2016</v>
      </c>
      <c r="I1682">
        <f>VLOOKUP(H1682,[1]products!$B:$D,3,0)</f>
        <v>3</v>
      </c>
      <c r="J1682" t="str">
        <f>VLOOKUP(I1682,[2]categories!$A$2:$B$8,2,0)</f>
        <v>Cruisers Bicycles</v>
      </c>
    </row>
    <row r="1683" spans="1:10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 s="1">
        <f t="shared" si="26"/>
        <v>879.984</v>
      </c>
      <c r="H1683" t="str">
        <f>VLOOKUP(C1683,[1]products!$A:$B,2,0)</f>
        <v>Electra Townie Original 21D - 2016</v>
      </c>
      <c r="I1683">
        <f>VLOOKUP(H1683,[1]products!$B:$D,3,0)</f>
        <v>3</v>
      </c>
      <c r="J1683" t="str">
        <f>VLOOKUP(I1683,[2]categories!$A$2:$B$8,2,0)</f>
        <v>Cruisers Bicycles</v>
      </c>
    </row>
    <row r="1684" spans="1:10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 s="1">
        <f t="shared" si="26"/>
        <v>1006.981</v>
      </c>
      <c r="H1684" t="str">
        <f>VLOOKUP(C1684,[1]products!$A:$B,2,0)</f>
        <v>Electra Moto 1 - 2016</v>
      </c>
      <c r="I1684">
        <f>VLOOKUP(H1684,[1]products!$B:$D,3,0)</f>
        <v>3</v>
      </c>
      <c r="J1684" t="str">
        <f>VLOOKUP(I1684,[2]categories!$A$2:$B$8,2,0)</f>
        <v>Cruisers Bicycles</v>
      </c>
    </row>
    <row r="1685" spans="1:10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0.07</v>
      </c>
      <c r="G1685" s="1">
        <f t="shared" si="26"/>
        <v>2457.0414</v>
      </c>
      <c r="H1685" t="str">
        <f>VLOOKUP(C1685,[1]products!$A:$B,2,0)</f>
        <v>Heller Shagamaw Frame - 2016</v>
      </c>
      <c r="I1685">
        <f>VLOOKUP(H1685,[1]products!$B:$D,3,0)</f>
        <v>6</v>
      </c>
      <c r="J1685" t="str">
        <f>VLOOKUP(I1685,[2]categories!$A$2:$B$8,2,0)</f>
        <v>Mountain Bikes</v>
      </c>
    </row>
    <row r="1686" spans="1:10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0.07</v>
      </c>
      <c r="G1686" s="1">
        <f t="shared" si="26"/>
        <v>511.4907</v>
      </c>
      <c r="H1686" t="str">
        <f>VLOOKUP(C1686,[1]products!$A:$B,2,0)</f>
        <v>Electra Townie Original 21D - 2016</v>
      </c>
      <c r="I1686">
        <f>VLOOKUP(H1686,[1]products!$B:$D,3,0)</f>
        <v>3</v>
      </c>
      <c r="J1686" t="str">
        <f>VLOOKUP(I1686,[2]categories!$A$2:$B$8,2,0)</f>
        <v>Cruisers Bicycles</v>
      </c>
    </row>
    <row r="1687" spans="1:10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 s="1">
        <f t="shared" si="26"/>
        <v>2609.991</v>
      </c>
      <c r="H1687" t="str">
        <f>VLOOKUP(C1687,[1]products!$A:$B,2,0)</f>
        <v>Trek Fuel EX 8 29 - 2016</v>
      </c>
      <c r="I1687">
        <f>VLOOKUP(H1687,[1]products!$B:$D,3,0)</f>
        <v>6</v>
      </c>
      <c r="J1687" t="str">
        <f>VLOOKUP(I1687,[2]categories!$A$2:$B$8,2,0)</f>
        <v>Mountain Bikes</v>
      </c>
    </row>
    <row r="1688" spans="1:10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0.07</v>
      </c>
      <c r="G1688" s="1">
        <f t="shared" si="26"/>
        <v>2881.14</v>
      </c>
      <c r="H1688" t="str">
        <f>VLOOKUP(C1688,[1]products!$A:$B,2,0)</f>
        <v>Surly Straggler - 2016</v>
      </c>
      <c r="I1688">
        <f>VLOOKUP(H1688,[1]products!$B:$D,3,0)</f>
        <v>4</v>
      </c>
      <c r="J1688" t="str">
        <f>VLOOKUP(I1688,[2]categories!$A$2:$B$8,2,0)</f>
        <v>Cyclocross Bicycles</v>
      </c>
    </row>
    <row r="1689" spans="1:10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 s="1">
        <f t="shared" si="26"/>
        <v>4799.984</v>
      </c>
      <c r="H1689" t="str">
        <f>VLOOKUP(C1689,[1]products!$A:$B,2,0)</f>
        <v>Trek Conduit+ - 2016</v>
      </c>
      <c r="I1689">
        <f>VLOOKUP(H1689,[1]products!$B:$D,3,0)</f>
        <v>5</v>
      </c>
      <c r="J1689" t="str">
        <f>VLOOKUP(I1689,[2]categories!$A$2:$B$8,2,0)</f>
        <v>Electric Bikes</v>
      </c>
    </row>
    <row r="1690" spans="1:10">
      <c r="A1690">
        <v>605</v>
      </c>
      <c r="B1690">
        <v>1</v>
      </c>
      <c r="C1690">
        <v>19</v>
      </c>
      <c r="D1690">
        <v>1</v>
      </c>
      <c r="E1690">
        <v>449</v>
      </c>
      <c r="F1690">
        <v>0.07</v>
      </c>
      <c r="G1690" s="1">
        <f t="shared" si="26"/>
        <v>417.57</v>
      </c>
      <c r="H1690" t="str">
        <f>VLOOKUP(C1690,[1]products!$A:$B,2,0)</f>
        <v>Pure Cycles William 3-Speed - 2016</v>
      </c>
      <c r="I1690">
        <f>VLOOKUP(H1690,[1]products!$B:$D,3,0)</f>
        <v>3</v>
      </c>
      <c r="J1690" t="str">
        <f>VLOOKUP(I1690,[2]categories!$A$2:$B$8,2,0)</f>
        <v>Cruisers Bicycles</v>
      </c>
    </row>
    <row r="1691" spans="1:10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 s="1">
        <f t="shared" si="26"/>
        <v>949.981</v>
      </c>
      <c r="H1691" t="str">
        <f>VLOOKUP(C1691,[1]products!$A:$B,2,0)</f>
        <v>Electra Townie Original 7D - 2015/2016</v>
      </c>
      <c r="I1691">
        <f>VLOOKUP(H1691,[1]products!$B:$D,3,0)</f>
        <v>2</v>
      </c>
      <c r="J1691" t="str">
        <f>VLOOKUP(I1691,[2]categories!$A$2:$B$8,2,0)</f>
        <v>Comfort Bicycles</v>
      </c>
    </row>
    <row r="1692" spans="1:10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 s="1">
        <f t="shared" si="26"/>
        <v>431.984</v>
      </c>
      <c r="H1692" t="str">
        <f>VLOOKUP(C1692,[1]products!$A:$B,2,0)</f>
        <v>Electra Cruiser 1 (24-Inch) - 2016</v>
      </c>
      <c r="I1692">
        <f>VLOOKUP(H1692,[1]products!$B:$D,3,0)</f>
        <v>3</v>
      </c>
      <c r="J1692" t="str">
        <f>VLOOKUP(I1692,[2]categories!$A$2:$B$8,2,0)</f>
        <v>Cruisers Bicycles</v>
      </c>
    </row>
    <row r="1693" spans="1:10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 s="1">
        <f t="shared" si="26"/>
        <v>1344.792</v>
      </c>
      <c r="H1693" t="str">
        <f>VLOOKUP(C1693,[1]products!$A:$B,2,0)</f>
        <v>Surly Straggler 650b - 2016</v>
      </c>
      <c r="I1693">
        <f>VLOOKUP(H1693,[1]products!$B:$D,3,0)</f>
        <v>4</v>
      </c>
      <c r="J1693" t="str">
        <f>VLOOKUP(I1693,[2]categories!$A$2:$B$8,2,0)</f>
        <v>Cyclocross Bicycles</v>
      </c>
    </row>
    <row r="1694" spans="1:10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 s="1">
        <f t="shared" si="26"/>
        <v>751.984</v>
      </c>
      <c r="H1694" t="str">
        <f>VLOOKUP(C1694,[1]products!$A:$B,2,0)</f>
        <v>Surly Ice Cream Truck Frameset - 2016</v>
      </c>
      <c r="I1694">
        <f>VLOOKUP(H1694,[1]products!$B:$D,3,0)</f>
        <v>6</v>
      </c>
      <c r="J1694" t="str">
        <f>VLOOKUP(I1694,[2]categories!$A$2:$B$8,2,0)</f>
        <v>Mountain Bikes</v>
      </c>
    </row>
    <row r="1695" spans="1:10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 s="1">
        <f t="shared" si="26"/>
        <v>853.1</v>
      </c>
      <c r="H1695" t="str">
        <f>VLOOKUP(C1695,[1]products!$A:$B,2,0)</f>
        <v>Pure Cycles Western 3-Speed - Women's - 2015/2016</v>
      </c>
      <c r="I1695">
        <f>VLOOKUP(H1695,[1]products!$B:$D,3,0)</f>
        <v>3</v>
      </c>
      <c r="J1695" t="str">
        <f>VLOOKUP(I1695,[2]categories!$A$2:$B$8,2,0)</f>
        <v>Cruisers Bicycles</v>
      </c>
    </row>
    <row r="1696" spans="1:10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 s="1">
        <f t="shared" si="26"/>
        <v>2689.584</v>
      </c>
      <c r="H1696" t="str">
        <f>VLOOKUP(C1696,[1]products!$A:$B,2,0)</f>
        <v>Surly Straggler 650b - 2016</v>
      </c>
      <c r="I1696">
        <f>VLOOKUP(H1696,[1]products!$B:$D,3,0)</f>
        <v>4</v>
      </c>
      <c r="J1696" t="str">
        <f>VLOOKUP(I1696,[2]categories!$A$2:$B$8,2,0)</f>
        <v>Cyclocross Bicycles</v>
      </c>
    </row>
    <row r="1697" spans="1:10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 s="1">
        <f t="shared" si="26"/>
        <v>959.984</v>
      </c>
      <c r="H1697" t="str">
        <f>VLOOKUP(C1697,[1]products!$A:$B,2,0)</f>
        <v>Electra Townie Original 7D EQ - 2016</v>
      </c>
      <c r="I1697">
        <f>VLOOKUP(H1697,[1]products!$B:$D,3,0)</f>
        <v>3</v>
      </c>
      <c r="J1697" t="str">
        <f>VLOOKUP(I1697,[2]categories!$A$2:$B$8,2,0)</f>
        <v>Cruisers Bicycles</v>
      </c>
    </row>
    <row r="1698" spans="1:10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0.07</v>
      </c>
      <c r="G1698" s="1">
        <f t="shared" si="26"/>
        <v>251.0907</v>
      </c>
      <c r="H1698" t="str">
        <f>VLOOKUP(C1698,[1]products!$A:$B,2,0)</f>
        <v>Electra Girl's Hawaii 1 (16-inch) - 2015/2016</v>
      </c>
      <c r="I1698">
        <f>VLOOKUP(H1698,[1]products!$B:$D,3,0)</f>
        <v>3</v>
      </c>
      <c r="J1698" t="str">
        <f>VLOOKUP(I1698,[2]categories!$A$2:$B$8,2,0)</f>
        <v>Cruisers Bicycles</v>
      </c>
    </row>
    <row r="1699" spans="1:10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 s="1">
        <f t="shared" si="26"/>
        <v>4639.984</v>
      </c>
      <c r="H1699" t="str">
        <f>VLOOKUP(C1699,[1]products!$A:$B,2,0)</f>
        <v>Trek Fuel EX 8 29 - 2016</v>
      </c>
      <c r="I1699">
        <f>VLOOKUP(H1699,[1]products!$B:$D,3,0)</f>
        <v>6</v>
      </c>
      <c r="J1699" t="str">
        <f>VLOOKUP(I1699,[2]categories!$A$2:$B$8,2,0)</f>
        <v>Mountain Bikes</v>
      </c>
    </row>
    <row r="1700" spans="1:10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 s="1">
        <f t="shared" si="26"/>
        <v>7199.982</v>
      </c>
      <c r="H1700" t="str">
        <f>VLOOKUP(C1700,[1]products!$A:$B,2,0)</f>
        <v>Trek Slash 8 27.5 - 2016</v>
      </c>
      <c r="I1700">
        <f>VLOOKUP(H1700,[1]products!$B:$D,3,0)</f>
        <v>6</v>
      </c>
      <c r="J1700" t="str">
        <f>VLOOKUP(I1700,[2]categories!$A$2:$B$8,2,0)</f>
        <v>Mountain Bikes</v>
      </c>
    </row>
    <row r="1701" spans="1:10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 s="1">
        <f t="shared" si="26"/>
        <v>494.991</v>
      </c>
      <c r="H1701" t="str">
        <f>VLOOKUP(C1701,[1]products!$A:$B,2,0)</f>
        <v>Electra Townie Original 21D - 2016</v>
      </c>
      <c r="I1701">
        <f>VLOOKUP(H1701,[1]products!$B:$D,3,0)</f>
        <v>3</v>
      </c>
      <c r="J1701" t="str">
        <f>VLOOKUP(I1701,[2]categories!$A$2:$B$8,2,0)</f>
        <v>Cruisers Bicycles</v>
      </c>
    </row>
    <row r="1702" spans="1:10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0.07</v>
      </c>
      <c r="G1702" s="1">
        <f t="shared" si="26"/>
        <v>1440.57</v>
      </c>
      <c r="H1702" t="str">
        <f>VLOOKUP(C1702,[1]products!$A:$B,2,0)</f>
        <v>Surly Straggler - 2016</v>
      </c>
      <c r="I1702">
        <f>VLOOKUP(H1702,[1]products!$B:$D,3,0)</f>
        <v>4</v>
      </c>
      <c r="J1702" t="str">
        <f>VLOOKUP(I1702,[2]categories!$A$2:$B$8,2,0)</f>
        <v>Cyclocross Bicycles</v>
      </c>
    </row>
    <row r="1703" spans="1:10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 s="1">
        <f t="shared" si="26"/>
        <v>3599.991</v>
      </c>
      <c r="H1703" t="str">
        <f>VLOOKUP(C1703,[1]products!$A:$B,2,0)</f>
        <v>Trek Slash 8 27.5 - 2016</v>
      </c>
      <c r="I1703">
        <f>VLOOKUP(H1703,[1]products!$B:$D,3,0)</f>
        <v>6</v>
      </c>
      <c r="J1703" t="str">
        <f>VLOOKUP(I1703,[2]categories!$A$2:$B$8,2,0)</f>
        <v>Mountain Bikes</v>
      </c>
    </row>
    <row r="1704" spans="1:10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 s="1">
        <f t="shared" si="26"/>
        <v>485.982</v>
      </c>
      <c r="H1704" t="str">
        <f>VLOOKUP(C1704,[1]products!$A:$B,2,0)</f>
        <v>Electra Girl's Hawaii 1 (16-inch) - 2015/2016</v>
      </c>
      <c r="I1704">
        <f>VLOOKUP(H1704,[1]products!$B:$D,3,0)</f>
        <v>3</v>
      </c>
      <c r="J1704" t="str">
        <f>VLOOKUP(I1704,[2]categories!$A$2:$B$8,2,0)</f>
        <v>Cruisers Bicycles</v>
      </c>
    </row>
    <row r="1705" spans="1:10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 s="1">
        <f t="shared" si="26"/>
        <v>1188.891</v>
      </c>
      <c r="H1705" t="str">
        <f>VLOOKUP(C1705,[1]products!$A:$B,2,0)</f>
        <v>Heller Shagamaw Frame - 2016</v>
      </c>
      <c r="I1705">
        <f>VLOOKUP(H1705,[1]products!$B:$D,3,0)</f>
        <v>6</v>
      </c>
      <c r="J1705" t="str">
        <f>VLOOKUP(I1705,[2]categories!$A$2:$B$8,2,0)</f>
        <v>Mountain Bikes</v>
      </c>
    </row>
    <row r="1706" spans="1:10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 s="1">
        <f t="shared" si="26"/>
        <v>539.991</v>
      </c>
      <c r="H1706" t="str">
        <f>VLOOKUP(C1706,[1]products!$A:$B,2,0)</f>
        <v>Electra Townie Original 7D EQ - 2016</v>
      </c>
      <c r="I1706">
        <f>VLOOKUP(H1706,[1]products!$B:$D,3,0)</f>
        <v>3</v>
      </c>
      <c r="J1706" t="str">
        <f>VLOOKUP(I1706,[2]categories!$A$2:$B$8,2,0)</f>
        <v>Cruisers Bicycles</v>
      </c>
    </row>
    <row r="1707" spans="1:10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0.07</v>
      </c>
      <c r="G1707" s="1">
        <f t="shared" si="26"/>
        <v>511.4907</v>
      </c>
      <c r="H1707" t="str">
        <f>VLOOKUP(C1707,[1]products!$A:$B,2,0)</f>
        <v>Electra Townie Original 21D - 2016</v>
      </c>
      <c r="I1707">
        <f>VLOOKUP(H1707,[1]products!$B:$D,3,0)</f>
        <v>3</v>
      </c>
      <c r="J1707" t="str">
        <f>VLOOKUP(I1707,[2]categories!$A$2:$B$8,2,0)</f>
        <v>Cruisers Bicycles</v>
      </c>
    </row>
    <row r="1708" spans="1:10">
      <c r="A1708">
        <v>610</v>
      </c>
      <c r="B1708">
        <v>3</v>
      </c>
      <c r="C1708">
        <v>18</v>
      </c>
      <c r="D1708">
        <v>2</v>
      </c>
      <c r="E1708">
        <v>449</v>
      </c>
      <c r="F1708">
        <v>0.07</v>
      </c>
      <c r="G1708" s="1">
        <f t="shared" si="26"/>
        <v>835.14</v>
      </c>
      <c r="H1708" t="str">
        <f>VLOOKUP(C1708,[1]products!$A:$B,2,0)</f>
        <v>Pure Cycles Western 3-Speed - Women's - 2015/2016</v>
      </c>
      <c r="I1708">
        <f>VLOOKUP(H1708,[1]products!$B:$D,3,0)</f>
        <v>3</v>
      </c>
      <c r="J1708" t="str">
        <f>VLOOKUP(I1708,[2]categories!$A$2:$B$8,2,0)</f>
        <v>Cruisers Bicycles</v>
      </c>
    </row>
    <row r="1709" spans="1:10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0.07</v>
      </c>
      <c r="G1709" s="1">
        <f t="shared" si="26"/>
        <v>929.9907</v>
      </c>
      <c r="H1709" t="str">
        <f>VLOOKUP(C1709,[1]products!$A:$B,2,0)</f>
        <v>Surly Wednesday Frameset - 2016</v>
      </c>
      <c r="I1709">
        <f>VLOOKUP(H1709,[1]products!$B:$D,3,0)</f>
        <v>6</v>
      </c>
      <c r="J1709" t="str">
        <f>VLOOKUP(I1709,[2]categories!$A$2:$B$8,2,0)</f>
        <v>Mountain Bikes</v>
      </c>
    </row>
    <row r="1710" spans="1:10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 s="1">
        <f t="shared" si="26"/>
        <v>1619.991</v>
      </c>
      <c r="H1710" t="str">
        <f>VLOOKUP(C1710,[1]products!$A:$B,2,0)</f>
        <v>Trek Remedy 29 Carbon Frameset - 2016</v>
      </c>
      <c r="I1710">
        <f>VLOOKUP(H1710,[1]products!$B:$D,3,0)</f>
        <v>6</v>
      </c>
      <c r="J1710" t="str">
        <f>VLOOKUP(I1710,[2]categories!$A$2:$B$8,2,0)</f>
        <v>Mountain Bikes</v>
      </c>
    </row>
    <row r="1711" spans="1:10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0.07</v>
      </c>
      <c r="G1711" s="1">
        <f t="shared" si="26"/>
        <v>1115.9814</v>
      </c>
      <c r="H1711" t="str">
        <f>VLOOKUP(C1711,[1]products!$A:$B,2,0)</f>
        <v>Electra Townie Original 7D EQ - 2016</v>
      </c>
      <c r="I1711">
        <f>VLOOKUP(H1711,[1]products!$B:$D,3,0)</f>
        <v>3</v>
      </c>
      <c r="J1711" t="str">
        <f>VLOOKUP(I1711,[2]categories!$A$2:$B$8,2,0)</f>
        <v>Cruisers Bicycles</v>
      </c>
    </row>
    <row r="1712" spans="1:10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 s="1">
        <f t="shared" si="26"/>
        <v>242.991</v>
      </c>
      <c r="H1712" t="str">
        <f>VLOOKUP(C1712,[1]products!$A:$B,2,0)</f>
        <v>Electra Cruiser 1 (24-Inch) - 2016</v>
      </c>
      <c r="I1712">
        <f>VLOOKUP(H1712,[1]products!$B:$D,3,0)</f>
        <v>3</v>
      </c>
      <c r="J1712" t="str">
        <f>VLOOKUP(I1712,[2]categories!$A$2:$B$8,2,0)</f>
        <v>Cruisers Bicycles</v>
      </c>
    </row>
    <row r="1713" spans="1:10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 s="1">
        <f t="shared" si="26"/>
        <v>242.991</v>
      </c>
      <c r="H1713" t="str">
        <f>VLOOKUP(C1713,[1]products!$A:$B,2,0)</f>
        <v>Electra Girl's Hawaii 1 (16-inch) - 2015/2016</v>
      </c>
      <c r="I1713">
        <f>VLOOKUP(H1713,[1]products!$B:$D,3,0)</f>
        <v>3</v>
      </c>
      <c r="J1713" t="str">
        <f>VLOOKUP(I1713,[2]categories!$A$2:$B$8,2,0)</f>
        <v>Cruisers Bicycles</v>
      </c>
    </row>
    <row r="1714" spans="1:10">
      <c r="A1714">
        <v>612</v>
      </c>
      <c r="B1714">
        <v>3</v>
      </c>
      <c r="C1714">
        <v>17</v>
      </c>
      <c r="D1714">
        <v>1</v>
      </c>
      <c r="E1714">
        <v>429</v>
      </c>
      <c r="F1714">
        <v>0.07</v>
      </c>
      <c r="G1714" s="1">
        <f t="shared" si="26"/>
        <v>398.97</v>
      </c>
      <c r="H1714" t="str">
        <f>VLOOKUP(C1714,[1]products!$A:$B,2,0)</f>
        <v>Pure Cycles Vine 8-Speed - 2016</v>
      </c>
      <c r="I1714">
        <f>VLOOKUP(H1714,[1]products!$B:$D,3,0)</f>
        <v>3</v>
      </c>
      <c r="J1714" t="str">
        <f>VLOOKUP(I1714,[2]categories!$A$2:$B$8,2,0)</f>
        <v>Cruisers Bicycles</v>
      </c>
    </row>
    <row r="1715" spans="1:10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 s="1">
        <f t="shared" si="26"/>
        <v>479.992</v>
      </c>
      <c r="H1715" t="str">
        <f>VLOOKUP(C1715,[1]products!$A:$B,2,0)</f>
        <v>Electra Townie Original 7D EQ - Women's - 2016</v>
      </c>
      <c r="I1715">
        <f>VLOOKUP(H1715,[1]products!$B:$D,3,0)</f>
        <v>3</v>
      </c>
      <c r="J1715" t="str">
        <f>VLOOKUP(I1715,[2]categories!$A$2:$B$8,2,0)</f>
        <v>Cruisers Bicycles</v>
      </c>
    </row>
    <row r="1716" spans="1:10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 s="1">
        <f t="shared" si="26"/>
        <v>5399.982</v>
      </c>
      <c r="H1716" t="str">
        <f>VLOOKUP(C1716,[1]products!$A:$B,2,0)</f>
        <v>Trek Conduit+ - 2016</v>
      </c>
      <c r="I1716">
        <f>VLOOKUP(H1716,[1]products!$B:$D,3,0)</f>
        <v>5</v>
      </c>
      <c r="J1716" t="str">
        <f>VLOOKUP(I1716,[2]categories!$A$2:$B$8,2,0)</f>
        <v>Electric Bikes</v>
      </c>
    </row>
    <row r="1717" spans="1:10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 s="1">
        <f t="shared" si="26"/>
        <v>853.1</v>
      </c>
      <c r="H1717" t="str">
        <f>VLOOKUP(C1717,[1]products!$A:$B,2,0)</f>
        <v>Pure Cycles Western 3-Speed - Women's - 2015/2016</v>
      </c>
      <c r="I1717">
        <f>VLOOKUP(H1717,[1]products!$B:$D,3,0)</f>
        <v>3</v>
      </c>
      <c r="J1717" t="str">
        <f>VLOOKUP(I1717,[2]categories!$A$2:$B$8,2,0)</f>
        <v>Cruisers Bicycles</v>
      </c>
    </row>
    <row r="1718" spans="1:10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0.07</v>
      </c>
      <c r="G1718" s="1">
        <f t="shared" si="26"/>
        <v>511.4907</v>
      </c>
      <c r="H1718" t="str">
        <f>VLOOKUP(C1718,[1]products!$A:$B,2,0)</f>
        <v>Electra Townie Original 21D - 2016</v>
      </c>
      <c r="I1718">
        <f>VLOOKUP(H1718,[1]products!$B:$D,3,0)</f>
        <v>3</v>
      </c>
      <c r="J1718" t="str">
        <f>VLOOKUP(I1718,[2]categories!$A$2:$B$8,2,0)</f>
        <v>Cruisers Bicycles</v>
      </c>
    </row>
    <row r="1719" spans="1:10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 s="1">
        <f t="shared" si="26"/>
        <v>404.1</v>
      </c>
      <c r="H1719" t="str">
        <f>VLOOKUP(C1719,[1]products!$A:$B,2,0)</f>
        <v>Pure Cycles Western 3-Speed - Women's - 2015/2016</v>
      </c>
      <c r="I1719">
        <f>VLOOKUP(H1719,[1]products!$B:$D,3,0)</f>
        <v>3</v>
      </c>
      <c r="J1719" t="str">
        <f>VLOOKUP(I1719,[2]categories!$A$2:$B$8,2,0)</f>
        <v>Cruisers Bicycles</v>
      </c>
    </row>
    <row r="1720" spans="1:10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 s="1">
        <f t="shared" si="26"/>
        <v>256.4905</v>
      </c>
      <c r="H1720" t="str">
        <f>VLOOKUP(C1720,[1]products!$A:$B,2,0)</f>
        <v>Electra Cruiser 1 (24-Inch) - 2016</v>
      </c>
      <c r="I1720">
        <f>VLOOKUP(H1720,[1]products!$B:$D,3,0)</f>
        <v>3</v>
      </c>
      <c r="J1720" t="str">
        <f>VLOOKUP(I1720,[2]categories!$A$2:$B$8,2,0)</f>
        <v>Cruisers Bicycles</v>
      </c>
    </row>
    <row r="1721" spans="1:10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0.07</v>
      </c>
      <c r="G1721" s="1">
        <f t="shared" si="26"/>
        <v>1563.3207</v>
      </c>
      <c r="H1721" t="str">
        <f>VLOOKUP(C1721,[1]products!$A:$B,2,0)</f>
        <v>Surly Straggler 650b - 2016</v>
      </c>
      <c r="I1721">
        <f>VLOOKUP(H1721,[1]products!$B:$D,3,0)</f>
        <v>4</v>
      </c>
      <c r="J1721" t="str">
        <f>VLOOKUP(I1721,[2]categories!$A$2:$B$8,2,0)</f>
        <v>Cyclocross Bicycles</v>
      </c>
    </row>
    <row r="1722" spans="1:10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 s="1">
        <f t="shared" si="26"/>
        <v>284.9905</v>
      </c>
      <c r="H1722" t="str">
        <f>VLOOKUP(C1722,[1]products!$A:$B,2,0)</f>
        <v>Electra Girl's Hawaii 1 (20-inch) - 2015/2016</v>
      </c>
      <c r="I1722">
        <f>VLOOKUP(H1722,[1]products!$B:$D,3,0)</f>
        <v>1</v>
      </c>
      <c r="J1722" t="str">
        <f>VLOOKUP(I1722,[2]categories!$A$2:$B$8,2,0)</f>
        <v>Children Bicycles</v>
      </c>
    </row>
    <row r="1723" spans="1:10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 s="1">
        <f t="shared" si="26"/>
        <v>845.982</v>
      </c>
      <c r="H1723" t="str">
        <f>VLOOKUP(C1723,[1]products!$A:$B,2,0)</f>
        <v>Surly Ice Cream Truck Frameset - 2016</v>
      </c>
      <c r="I1723">
        <f>VLOOKUP(H1723,[1]products!$B:$D,3,0)</f>
        <v>6</v>
      </c>
      <c r="J1723" t="str">
        <f>VLOOKUP(I1723,[2]categories!$A$2:$B$8,2,0)</f>
        <v>Mountain Bikes</v>
      </c>
    </row>
    <row r="1724" spans="1:10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 s="1">
        <f t="shared" si="26"/>
        <v>808.2</v>
      </c>
      <c r="H1724" t="str">
        <f>VLOOKUP(C1724,[1]products!$A:$B,2,0)</f>
        <v>Pure Cycles William 3-Speed - 2016</v>
      </c>
      <c r="I1724">
        <f>VLOOKUP(H1724,[1]products!$B:$D,3,0)</f>
        <v>3</v>
      </c>
      <c r="J1724" t="str">
        <f>VLOOKUP(I1724,[2]categories!$A$2:$B$8,2,0)</f>
        <v>Cruisers Bicycles</v>
      </c>
    </row>
    <row r="1725" spans="1:10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 s="1">
        <f t="shared" si="26"/>
        <v>439.992</v>
      </c>
      <c r="H1725" t="str">
        <f>VLOOKUP(C1725,[1]products!$A:$B,2,0)</f>
        <v>Electra Townie Original 21D - 2016</v>
      </c>
      <c r="I1725">
        <f>VLOOKUP(H1725,[1]products!$B:$D,3,0)</f>
        <v>3</v>
      </c>
      <c r="J1725" t="str">
        <f>VLOOKUP(I1725,[2]categories!$A$2:$B$8,2,0)</f>
        <v>Cruisers Bicycles</v>
      </c>
    </row>
    <row r="1726" spans="1:10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 s="1">
        <f t="shared" si="26"/>
        <v>959.984</v>
      </c>
      <c r="H1726" t="str">
        <f>VLOOKUP(C1726,[1]products!$A:$B,2,0)</f>
        <v>Electra Townie Original 7D EQ - 2016</v>
      </c>
      <c r="I1726">
        <f>VLOOKUP(H1726,[1]products!$B:$D,3,0)</f>
        <v>3</v>
      </c>
      <c r="J1726" t="str">
        <f>VLOOKUP(I1726,[2]categories!$A$2:$B$8,2,0)</f>
        <v>Cruisers Bicycles</v>
      </c>
    </row>
    <row r="1727" spans="1:10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 s="1">
        <f t="shared" si="26"/>
        <v>847.984</v>
      </c>
      <c r="H1727" t="str">
        <f>VLOOKUP(C1727,[1]products!$A:$B,2,0)</f>
        <v>Electra Moto 1 - 2016</v>
      </c>
      <c r="I1727">
        <f>VLOOKUP(H1727,[1]products!$B:$D,3,0)</f>
        <v>3</v>
      </c>
      <c r="J1727" t="str">
        <f>VLOOKUP(I1727,[2]categories!$A$2:$B$8,2,0)</f>
        <v>Cruisers Bicycles</v>
      </c>
    </row>
    <row r="1728" spans="1:10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0.07</v>
      </c>
      <c r="G1728" s="1">
        <f t="shared" si="26"/>
        <v>3126.6414</v>
      </c>
      <c r="H1728" t="str">
        <f>VLOOKUP(C1728,[1]products!$A:$B,2,0)</f>
        <v>Surly Straggler 650b - 2016</v>
      </c>
      <c r="I1728">
        <f>VLOOKUP(H1728,[1]products!$B:$D,3,0)</f>
        <v>4</v>
      </c>
      <c r="J1728" t="str">
        <f>VLOOKUP(I1728,[2]categories!$A$2:$B$8,2,0)</f>
        <v>Cyclocross Bicycles</v>
      </c>
    </row>
    <row r="1729" spans="1:10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 s="1">
        <f t="shared" si="26"/>
        <v>772.2</v>
      </c>
      <c r="H1729" t="str">
        <f>VLOOKUP(C1729,[1]products!$A:$B,2,0)</f>
        <v>Pure Cycles Vine 8-Speed - 2016</v>
      </c>
      <c r="I1729">
        <f>VLOOKUP(H1729,[1]products!$B:$D,3,0)</f>
        <v>3</v>
      </c>
      <c r="J1729" t="str">
        <f>VLOOKUP(I1729,[2]categories!$A$2:$B$8,2,0)</f>
        <v>Cruisers Bicycles</v>
      </c>
    </row>
    <row r="1730" spans="1:10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0.07</v>
      </c>
      <c r="G1730" s="1">
        <f t="shared" ref="G1730:G1793" si="27">D1730*E1730*(1-F1730)</f>
        <v>1563.3207</v>
      </c>
      <c r="H1730" t="str">
        <f>VLOOKUP(C1730,[1]products!$A:$B,2,0)</f>
        <v>Surly Straggler 650b - 2016</v>
      </c>
      <c r="I1730">
        <f>VLOOKUP(H1730,[1]products!$B:$D,3,0)</f>
        <v>4</v>
      </c>
      <c r="J1730" t="str">
        <f>VLOOKUP(I1730,[2]categories!$A$2:$B$8,2,0)</f>
        <v>Cyclocross Bicycles</v>
      </c>
    </row>
    <row r="1731" spans="1:10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0.07</v>
      </c>
      <c r="G1731" s="1">
        <f t="shared" si="27"/>
        <v>464.9907</v>
      </c>
      <c r="H1731" t="str">
        <f>VLOOKUP(C1731,[1]products!$A:$B,2,0)</f>
        <v>Electra Townie Original 7D - 2015/2016</v>
      </c>
      <c r="I1731">
        <f>VLOOKUP(H1731,[1]products!$B:$D,3,0)</f>
        <v>2</v>
      </c>
      <c r="J1731" t="str">
        <f>VLOOKUP(I1731,[2]categories!$A$2:$B$8,2,0)</f>
        <v>Comfort Bicycles</v>
      </c>
    </row>
    <row r="1732" spans="1:10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 s="1">
        <f t="shared" si="27"/>
        <v>2113.584</v>
      </c>
      <c r="H1732" t="str">
        <f>VLOOKUP(C1732,[1]products!$A:$B,2,0)</f>
        <v>Heller Shagamaw Frame - 2016</v>
      </c>
      <c r="I1732">
        <f>VLOOKUP(H1732,[1]products!$B:$D,3,0)</f>
        <v>6</v>
      </c>
      <c r="J1732" t="str">
        <f>VLOOKUP(I1732,[2]categories!$A$2:$B$8,2,0)</f>
        <v>Mountain Bikes</v>
      </c>
    </row>
    <row r="1733" spans="1:10">
      <c r="A1733">
        <v>621</v>
      </c>
      <c r="B1733">
        <v>1</v>
      </c>
      <c r="C1733">
        <v>17</v>
      </c>
      <c r="D1733">
        <v>2</v>
      </c>
      <c r="E1733">
        <v>429</v>
      </c>
      <c r="F1733">
        <v>0.07</v>
      </c>
      <c r="G1733" s="1">
        <f t="shared" si="27"/>
        <v>797.94</v>
      </c>
      <c r="H1733" t="str">
        <f>VLOOKUP(C1733,[1]products!$A:$B,2,0)</f>
        <v>Pure Cycles Vine 8-Speed - 2016</v>
      </c>
      <c r="I1733">
        <f>VLOOKUP(H1733,[1]products!$B:$D,3,0)</f>
        <v>3</v>
      </c>
      <c r="J1733" t="str">
        <f>VLOOKUP(I1733,[2]categories!$A$2:$B$8,2,0)</f>
        <v>Cruisers Bicycles</v>
      </c>
    </row>
    <row r="1734" spans="1:10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0.07</v>
      </c>
      <c r="G1734" s="1">
        <f t="shared" si="27"/>
        <v>5579.9814</v>
      </c>
      <c r="H1734" t="str">
        <f>VLOOKUP(C1734,[1]products!$A:$B,2,0)</f>
        <v>Trek Conduit+ - 2016</v>
      </c>
      <c r="I1734">
        <f>VLOOKUP(H1734,[1]products!$B:$D,3,0)</f>
        <v>5</v>
      </c>
      <c r="J1734" t="str">
        <f>VLOOKUP(I1734,[2]categories!$A$2:$B$8,2,0)</f>
        <v>Electric Bikes</v>
      </c>
    </row>
    <row r="1735" spans="1:10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 s="1">
        <f t="shared" si="27"/>
        <v>404.1</v>
      </c>
      <c r="H1735" t="str">
        <f>VLOOKUP(C1735,[1]products!$A:$B,2,0)</f>
        <v>Pure Cycles Western 3-Speed - Women's - 2015/2016</v>
      </c>
      <c r="I1735">
        <f>VLOOKUP(H1735,[1]products!$B:$D,3,0)</f>
        <v>3</v>
      </c>
      <c r="J1735" t="str">
        <f>VLOOKUP(I1735,[2]categories!$A$2:$B$8,2,0)</f>
        <v>Cruisers Bicycles</v>
      </c>
    </row>
    <row r="1736" spans="1:10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 s="1">
        <f t="shared" si="27"/>
        <v>1239.2</v>
      </c>
      <c r="H1736" t="str">
        <f>VLOOKUP(C1736,[1]products!$A:$B,2,0)</f>
        <v>Surly Straggler - 2016</v>
      </c>
      <c r="I1736">
        <f>VLOOKUP(H1736,[1]products!$B:$D,3,0)</f>
        <v>4</v>
      </c>
      <c r="J1736" t="str">
        <f>VLOOKUP(I1736,[2]categories!$A$2:$B$8,2,0)</f>
        <v>Cyclocross Bicycles</v>
      </c>
    </row>
    <row r="1737" spans="1:10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0.07</v>
      </c>
      <c r="G1737" s="1">
        <f t="shared" si="27"/>
        <v>464.9907</v>
      </c>
      <c r="H1737" t="str">
        <f>VLOOKUP(C1737,[1]products!$A:$B,2,0)</f>
        <v>Electra Townie Original 7D - 2015/2016</v>
      </c>
      <c r="I1737">
        <f>VLOOKUP(H1737,[1]products!$B:$D,3,0)</f>
        <v>2</v>
      </c>
      <c r="J1737" t="str">
        <f>VLOOKUP(I1737,[2]categories!$A$2:$B$8,2,0)</f>
        <v>Comfort Bicycles</v>
      </c>
    </row>
    <row r="1738" spans="1:10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0.07</v>
      </c>
      <c r="G1738" s="1">
        <f t="shared" si="27"/>
        <v>1673.9907</v>
      </c>
      <c r="H1738" t="str">
        <f>VLOOKUP(C1738,[1]products!$A:$B,2,0)</f>
        <v>Trek Remedy 29 Carbon Frameset - 2016</v>
      </c>
      <c r="I1738">
        <f>VLOOKUP(H1738,[1]products!$B:$D,3,0)</f>
        <v>6</v>
      </c>
      <c r="J1738" t="str">
        <f>VLOOKUP(I1738,[2]categories!$A$2:$B$8,2,0)</f>
        <v>Mountain Bikes</v>
      </c>
    </row>
    <row r="1739" spans="1:10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 s="1">
        <f t="shared" si="27"/>
        <v>512.981</v>
      </c>
      <c r="H1739" t="str">
        <f>VLOOKUP(C1739,[1]products!$A:$B,2,0)</f>
        <v>Electra Cruiser 1 (24-Inch) - 2016</v>
      </c>
      <c r="I1739">
        <f>VLOOKUP(H1739,[1]products!$B:$D,3,0)</f>
        <v>3</v>
      </c>
      <c r="J1739" t="str">
        <f>VLOOKUP(I1739,[2]categories!$A$2:$B$8,2,0)</f>
        <v>Cruisers Bicycles</v>
      </c>
    </row>
    <row r="1740" spans="1:10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0.07</v>
      </c>
      <c r="G1740" s="1">
        <f t="shared" si="27"/>
        <v>557.9907</v>
      </c>
      <c r="H1740" t="str">
        <f>VLOOKUP(C1740,[1]products!$A:$B,2,0)</f>
        <v>Electra Townie Original 7D EQ - 2016</v>
      </c>
      <c r="I1740">
        <f>VLOOKUP(H1740,[1]products!$B:$D,3,0)</f>
        <v>3</v>
      </c>
      <c r="J1740" t="str">
        <f>VLOOKUP(I1740,[2]categories!$A$2:$B$8,2,0)</f>
        <v>Cruisers Bicycles</v>
      </c>
    </row>
    <row r="1741" spans="1:10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0.07</v>
      </c>
      <c r="G1741" s="1">
        <f t="shared" si="27"/>
        <v>251.0907</v>
      </c>
      <c r="H1741" t="str">
        <f>VLOOKUP(C1741,[1]products!$A:$B,2,0)</f>
        <v>Electra Girl's Hawaii 1 (16-inch) - 2015/2016</v>
      </c>
      <c r="I1741">
        <f>VLOOKUP(H1741,[1]products!$B:$D,3,0)</f>
        <v>3</v>
      </c>
      <c r="J1741" t="str">
        <f>VLOOKUP(I1741,[2]categories!$A$2:$B$8,2,0)</f>
        <v>Cruisers Bicycles</v>
      </c>
    </row>
    <row r="1742" spans="1:10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 s="1">
        <f t="shared" si="27"/>
        <v>431.984</v>
      </c>
      <c r="H1742" t="str">
        <f>VLOOKUP(C1742,[1]products!$A:$B,2,0)</f>
        <v>Electra Girl's Hawaii 1 (16-inch) - 2015/2016</v>
      </c>
      <c r="I1742">
        <f>VLOOKUP(H1742,[1]products!$B:$D,3,0)</f>
        <v>3</v>
      </c>
      <c r="J1742" t="str">
        <f>VLOOKUP(I1742,[2]categories!$A$2:$B$8,2,0)</f>
        <v>Cruisers Bicycles</v>
      </c>
    </row>
    <row r="1743" spans="1:10">
      <c r="A1743">
        <v>625</v>
      </c>
      <c r="B1743">
        <v>1</v>
      </c>
      <c r="C1743">
        <v>17</v>
      </c>
      <c r="D1743">
        <v>1</v>
      </c>
      <c r="E1743">
        <v>429</v>
      </c>
      <c r="F1743">
        <v>0.07</v>
      </c>
      <c r="G1743" s="1">
        <f t="shared" si="27"/>
        <v>398.97</v>
      </c>
      <c r="H1743" t="str">
        <f>VLOOKUP(C1743,[1]products!$A:$B,2,0)</f>
        <v>Pure Cycles Vine 8-Speed - 2016</v>
      </c>
      <c r="I1743">
        <f>VLOOKUP(H1743,[1]products!$B:$D,3,0)</f>
        <v>3</v>
      </c>
      <c r="J1743" t="str">
        <f>VLOOKUP(I1743,[2]categories!$A$2:$B$8,2,0)</f>
        <v>Cruisers Bicycles</v>
      </c>
    </row>
    <row r="1744" spans="1:10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 s="1">
        <f t="shared" si="27"/>
        <v>2689.584</v>
      </c>
      <c r="H1744" t="str">
        <f>VLOOKUP(C1744,[1]products!$A:$B,2,0)</f>
        <v>Surly Straggler 650b - 2016</v>
      </c>
      <c r="I1744">
        <f>VLOOKUP(H1744,[1]products!$B:$D,3,0)</f>
        <v>4</v>
      </c>
      <c r="J1744" t="str">
        <f>VLOOKUP(I1744,[2]categories!$A$2:$B$8,2,0)</f>
        <v>Cyclocross Bicycles</v>
      </c>
    </row>
    <row r="1745" spans="1:10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0.07</v>
      </c>
      <c r="G1745" s="1">
        <f t="shared" si="27"/>
        <v>557.9907</v>
      </c>
      <c r="H1745" t="str">
        <f>VLOOKUP(C1745,[1]products!$A:$B,2,0)</f>
        <v>Electra Townie Original 7D EQ - 2016</v>
      </c>
      <c r="I1745">
        <f>VLOOKUP(H1745,[1]products!$B:$D,3,0)</f>
        <v>3</v>
      </c>
      <c r="J1745" t="str">
        <f>VLOOKUP(I1745,[2]categories!$A$2:$B$8,2,0)</f>
        <v>Cruisers Bicycles</v>
      </c>
    </row>
    <row r="1746" spans="1:10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 s="1">
        <f t="shared" si="27"/>
        <v>539.982</v>
      </c>
      <c r="H1746" t="str">
        <f>VLOOKUP(C1746,[1]products!$A:$B,2,0)</f>
        <v>Electra Girl's Hawaii 1 (20-inch) - 2015/2016</v>
      </c>
      <c r="I1746">
        <f>VLOOKUP(H1746,[1]products!$B:$D,3,0)</f>
        <v>1</v>
      </c>
      <c r="J1746" t="str">
        <f>VLOOKUP(I1746,[2]categories!$A$2:$B$8,2,0)</f>
        <v>Children Bicycles</v>
      </c>
    </row>
    <row r="1747" spans="1:10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 s="1">
        <f t="shared" si="27"/>
        <v>423.992</v>
      </c>
      <c r="H1747" t="str">
        <f>VLOOKUP(C1747,[1]products!$A:$B,2,0)</f>
        <v>Electra Moto 1 - 2016</v>
      </c>
      <c r="I1747">
        <f>VLOOKUP(H1747,[1]products!$B:$D,3,0)</f>
        <v>3</v>
      </c>
      <c r="J1747" t="str">
        <f>VLOOKUP(I1747,[2]categories!$A$2:$B$8,2,0)</f>
        <v>Cruisers Bicycles</v>
      </c>
    </row>
    <row r="1748" spans="1:10">
      <c r="A1748">
        <v>627</v>
      </c>
      <c r="B1748">
        <v>1</v>
      </c>
      <c r="C1748">
        <v>19</v>
      </c>
      <c r="D1748">
        <v>1</v>
      </c>
      <c r="E1748">
        <v>449</v>
      </c>
      <c r="F1748">
        <v>0.07</v>
      </c>
      <c r="G1748" s="1">
        <f t="shared" si="27"/>
        <v>417.57</v>
      </c>
      <c r="H1748" t="str">
        <f>VLOOKUP(C1748,[1]products!$A:$B,2,0)</f>
        <v>Pure Cycles William 3-Speed - 2016</v>
      </c>
      <c r="I1748">
        <f>VLOOKUP(H1748,[1]products!$B:$D,3,0)</f>
        <v>3</v>
      </c>
      <c r="J1748" t="str">
        <f>VLOOKUP(I1748,[2]categories!$A$2:$B$8,2,0)</f>
        <v>Cruisers Bicycles</v>
      </c>
    </row>
    <row r="1749" spans="1:10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 s="1">
        <f t="shared" si="27"/>
        <v>4799.984</v>
      </c>
      <c r="H1749" t="str">
        <f>VLOOKUP(C1749,[1]products!$A:$B,2,0)</f>
        <v>Trek Conduit+ - 2016</v>
      </c>
      <c r="I1749">
        <f>VLOOKUP(H1749,[1]products!$B:$D,3,0)</f>
        <v>5</v>
      </c>
      <c r="J1749" t="str">
        <f>VLOOKUP(I1749,[2]categories!$A$2:$B$8,2,0)</f>
        <v>Electric Bikes</v>
      </c>
    </row>
    <row r="1750" spans="1:10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0.07</v>
      </c>
      <c r="G1750" s="1">
        <f t="shared" si="27"/>
        <v>557.9907</v>
      </c>
      <c r="H1750" t="str">
        <f>VLOOKUP(C1750,[1]products!$A:$B,2,0)</f>
        <v>Electra Townie Original 7D EQ - 2016</v>
      </c>
      <c r="I1750">
        <f>VLOOKUP(H1750,[1]products!$B:$D,3,0)</f>
        <v>3</v>
      </c>
      <c r="J1750" t="str">
        <f>VLOOKUP(I1750,[2]categories!$A$2:$B$8,2,0)</f>
        <v>Cruisers Bicycles</v>
      </c>
    </row>
    <row r="1751" spans="1:10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 s="1">
        <f t="shared" si="27"/>
        <v>953.982</v>
      </c>
      <c r="H1751" t="str">
        <f>VLOOKUP(C1751,[1]products!$A:$B,2,0)</f>
        <v>Electra Moto 1 - 2016</v>
      </c>
      <c r="I1751">
        <f>VLOOKUP(H1751,[1]products!$B:$D,3,0)</f>
        <v>3</v>
      </c>
      <c r="J1751" t="str">
        <f>VLOOKUP(I1751,[2]categories!$A$2:$B$8,2,0)</f>
        <v>Cruisers Bicycles</v>
      </c>
    </row>
    <row r="1752" spans="1:10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 s="1">
        <f t="shared" si="27"/>
        <v>426.55</v>
      </c>
      <c r="H1752" t="str">
        <f>VLOOKUP(C1752,[1]products!$A:$B,2,0)</f>
        <v>Pure Cycles William 3-Speed - 2016</v>
      </c>
      <c r="I1752">
        <f>VLOOKUP(H1752,[1]products!$B:$D,3,0)</f>
        <v>3</v>
      </c>
      <c r="J1752" t="str">
        <f>VLOOKUP(I1752,[2]categories!$A$2:$B$8,2,0)</f>
        <v>Cruisers Bicycles</v>
      </c>
    </row>
    <row r="1753" spans="1:10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 s="1">
        <f t="shared" si="27"/>
        <v>2509.881</v>
      </c>
      <c r="H1753" t="str">
        <f>VLOOKUP(C1753,[1]products!$A:$B,2,0)</f>
        <v>Heller Shagamaw Frame - 2016</v>
      </c>
      <c r="I1753">
        <f>VLOOKUP(H1753,[1]products!$B:$D,3,0)</f>
        <v>6</v>
      </c>
      <c r="J1753" t="str">
        <f>VLOOKUP(I1753,[2]categories!$A$2:$B$8,2,0)</f>
        <v>Mountain Bikes</v>
      </c>
    </row>
    <row r="1754" spans="1:10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 s="1">
        <f t="shared" si="27"/>
        <v>539.982</v>
      </c>
      <c r="H1754" t="str">
        <f>VLOOKUP(C1754,[1]products!$A:$B,2,0)</f>
        <v>Electra Girl's Hawaii 1 (20-inch) - 2015/2016</v>
      </c>
      <c r="I1754">
        <f>VLOOKUP(H1754,[1]products!$B:$D,3,0)</f>
        <v>1</v>
      </c>
      <c r="J1754" t="str">
        <f>VLOOKUP(I1754,[2]categories!$A$2:$B$8,2,0)</f>
        <v>Children Bicycles</v>
      </c>
    </row>
    <row r="1755" spans="1:10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 s="1">
        <f t="shared" si="27"/>
        <v>512.981</v>
      </c>
      <c r="H1755" t="str">
        <f>VLOOKUP(C1755,[1]products!$A:$B,2,0)</f>
        <v>Electra Girl's Hawaii 1 (16-inch) - 2015/2016</v>
      </c>
      <c r="I1755">
        <f>VLOOKUP(H1755,[1]products!$B:$D,3,0)</f>
        <v>3</v>
      </c>
      <c r="J1755" t="str">
        <f>VLOOKUP(I1755,[2]categories!$A$2:$B$8,2,0)</f>
        <v>Cruisers Bicycles</v>
      </c>
    </row>
    <row r="1756" spans="1:10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 s="1">
        <f t="shared" si="27"/>
        <v>845.982</v>
      </c>
      <c r="H1756" t="str">
        <f>VLOOKUP(C1756,[1]products!$A:$B,2,0)</f>
        <v>Surly Ice Cream Truck Frameset - 2016</v>
      </c>
      <c r="I1756">
        <f>VLOOKUP(H1756,[1]products!$B:$D,3,0)</f>
        <v>6</v>
      </c>
      <c r="J1756" t="str">
        <f>VLOOKUP(I1756,[2]categories!$A$2:$B$8,2,0)</f>
        <v>Mountain Bikes</v>
      </c>
    </row>
    <row r="1757" spans="1:10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 s="1">
        <f t="shared" si="27"/>
        <v>1254.9405</v>
      </c>
      <c r="H1757" t="str">
        <f>VLOOKUP(C1757,[1]products!$A:$B,2,0)</f>
        <v>Heller Shagamaw Frame - 2016</v>
      </c>
      <c r="I1757">
        <f>VLOOKUP(H1757,[1]products!$B:$D,3,0)</f>
        <v>6</v>
      </c>
      <c r="J1757" t="str">
        <f>VLOOKUP(I1757,[2]categories!$A$2:$B$8,2,0)</f>
        <v>Mountain Bikes</v>
      </c>
    </row>
    <row r="1758" spans="1:10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 s="1">
        <f t="shared" si="27"/>
        <v>449.991</v>
      </c>
      <c r="H1758" t="str">
        <f>VLOOKUP(C1758,[1]products!$A:$B,2,0)</f>
        <v>Electra Townie Original 7D - 2015/2016</v>
      </c>
      <c r="I1758">
        <f>VLOOKUP(H1758,[1]products!$B:$D,3,0)</f>
        <v>2</v>
      </c>
      <c r="J1758" t="str">
        <f>VLOOKUP(I1758,[2]categories!$A$2:$B$8,2,0)</f>
        <v>Comfort Bicycles</v>
      </c>
    </row>
    <row r="1759" spans="1:10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 s="1">
        <f t="shared" si="27"/>
        <v>808.2</v>
      </c>
      <c r="H1759" t="str">
        <f>VLOOKUP(C1759,[1]products!$A:$B,2,0)</f>
        <v>Pure Cycles Western 3-Speed - Women's - 2015/2016</v>
      </c>
      <c r="I1759">
        <f>VLOOKUP(H1759,[1]products!$B:$D,3,0)</f>
        <v>3</v>
      </c>
      <c r="J1759" t="str">
        <f>VLOOKUP(I1759,[2]categories!$A$2:$B$8,2,0)</f>
        <v>Cruisers Bicycles</v>
      </c>
    </row>
    <row r="1760" spans="1:10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0.07</v>
      </c>
      <c r="G1760" s="1">
        <f t="shared" si="27"/>
        <v>502.1814</v>
      </c>
      <c r="H1760" t="str">
        <f>VLOOKUP(C1760,[1]products!$A:$B,2,0)</f>
        <v>Electra Cruiser 1 (24-Inch) - 2016</v>
      </c>
      <c r="I1760">
        <f>VLOOKUP(H1760,[1]products!$B:$D,3,0)</f>
        <v>3</v>
      </c>
      <c r="J1760" t="str">
        <f>VLOOKUP(I1760,[2]categories!$A$2:$B$8,2,0)</f>
        <v>Cruisers Bicycles</v>
      </c>
    </row>
    <row r="1761" spans="1:10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0.07</v>
      </c>
      <c r="G1761" s="1">
        <f t="shared" si="27"/>
        <v>1022.9814</v>
      </c>
      <c r="H1761" t="str">
        <f>VLOOKUP(C1761,[1]products!$A:$B,2,0)</f>
        <v>Electra Townie Original 21D - 2016</v>
      </c>
      <c r="I1761">
        <f>VLOOKUP(H1761,[1]products!$B:$D,3,0)</f>
        <v>3</v>
      </c>
      <c r="J1761" t="str">
        <f>VLOOKUP(I1761,[2]categories!$A$2:$B$8,2,0)</f>
        <v>Cruisers Bicycles</v>
      </c>
    </row>
    <row r="1762" spans="1:10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0.07</v>
      </c>
      <c r="G1762" s="1">
        <f t="shared" si="27"/>
        <v>985.7814</v>
      </c>
      <c r="H1762" t="str">
        <f>VLOOKUP(C1762,[1]products!$A:$B,2,0)</f>
        <v>Electra Moto 1 - 2016</v>
      </c>
      <c r="I1762">
        <f>VLOOKUP(H1762,[1]products!$B:$D,3,0)</f>
        <v>3</v>
      </c>
      <c r="J1762" t="str">
        <f>VLOOKUP(I1762,[2]categories!$A$2:$B$8,2,0)</f>
        <v>Cruisers Bicycles</v>
      </c>
    </row>
    <row r="1763" spans="1:10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 s="1">
        <f t="shared" si="27"/>
        <v>399.992</v>
      </c>
      <c r="H1763" t="str">
        <f>VLOOKUP(C1763,[1]products!$A:$B,2,0)</f>
        <v>Electra Townie Original 7D - 2015/2016</v>
      </c>
      <c r="I1763">
        <f>VLOOKUP(H1763,[1]products!$B:$D,3,0)</f>
        <v>2</v>
      </c>
      <c r="J1763" t="str">
        <f>VLOOKUP(I1763,[2]categories!$A$2:$B$8,2,0)</f>
        <v>Comfort Bicycles</v>
      </c>
    </row>
    <row r="1764" spans="1:10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 s="1">
        <f t="shared" si="27"/>
        <v>3025.782</v>
      </c>
      <c r="H1764" t="str">
        <f>VLOOKUP(C1764,[1]products!$A:$B,2,0)</f>
        <v>Surly Straggler 650b - 2016</v>
      </c>
      <c r="I1764">
        <f>VLOOKUP(H1764,[1]products!$B:$D,3,0)</f>
        <v>4</v>
      </c>
      <c r="J1764" t="str">
        <f>VLOOKUP(I1764,[2]categories!$A$2:$B$8,2,0)</f>
        <v>Cyclocross Bicycles</v>
      </c>
    </row>
    <row r="1765" spans="1:10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0.07</v>
      </c>
      <c r="G1765" s="1">
        <f t="shared" si="27"/>
        <v>492.8907</v>
      </c>
      <c r="H1765" t="str">
        <f>VLOOKUP(C1765,[1]products!$A:$B,2,0)</f>
        <v>Electra Moto 1 - 2016</v>
      </c>
      <c r="I1765">
        <f>VLOOKUP(H1765,[1]products!$B:$D,3,0)</f>
        <v>3</v>
      </c>
      <c r="J1765" t="str">
        <f>VLOOKUP(I1765,[2]categories!$A$2:$B$8,2,0)</f>
        <v>Cruisers Bicycles</v>
      </c>
    </row>
    <row r="1766" spans="1:10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 s="1">
        <f t="shared" si="27"/>
        <v>446.4905</v>
      </c>
      <c r="H1766" t="str">
        <f>VLOOKUP(C1766,[1]products!$A:$B,2,0)</f>
        <v>Surly Ice Cream Truck Frameset - 2016</v>
      </c>
      <c r="I1766">
        <f>VLOOKUP(H1766,[1]products!$B:$D,3,0)</f>
        <v>6</v>
      </c>
      <c r="J1766" t="str">
        <f>VLOOKUP(I1766,[2]categories!$A$2:$B$8,2,0)</f>
        <v>Mountain Bikes</v>
      </c>
    </row>
    <row r="1767" spans="1:10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 s="1">
        <f t="shared" si="27"/>
        <v>485.982</v>
      </c>
      <c r="H1767" t="str">
        <f>VLOOKUP(C1767,[1]products!$A:$B,2,0)</f>
        <v>Electra Girl's Hawaii 1 (16-inch) - 2015/2016</v>
      </c>
      <c r="I1767">
        <f>VLOOKUP(H1767,[1]products!$B:$D,3,0)</f>
        <v>3</v>
      </c>
      <c r="J1767" t="str">
        <f>VLOOKUP(I1767,[2]categories!$A$2:$B$8,2,0)</f>
        <v>Cruisers Bicycles</v>
      </c>
    </row>
    <row r="1768" spans="1:10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 s="1">
        <f t="shared" si="27"/>
        <v>1044.981</v>
      </c>
      <c r="H1768" t="str">
        <f>VLOOKUP(C1768,[1]products!$A:$B,2,0)</f>
        <v>Electra Townie Original 21D - 2016</v>
      </c>
      <c r="I1768">
        <f>VLOOKUP(H1768,[1]products!$B:$D,3,0)</f>
        <v>3</v>
      </c>
      <c r="J1768" t="str">
        <f>VLOOKUP(I1768,[2]categories!$A$2:$B$8,2,0)</f>
        <v>Cruisers Bicycles</v>
      </c>
    </row>
    <row r="1769" spans="1:10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 s="1">
        <f t="shared" si="27"/>
        <v>431.984</v>
      </c>
      <c r="H1769" t="str">
        <f>VLOOKUP(C1769,[1]products!$A:$B,2,0)</f>
        <v>Electra Cruiser 1 (24-Inch) - 2016</v>
      </c>
      <c r="I1769">
        <f>VLOOKUP(H1769,[1]products!$B:$D,3,0)</f>
        <v>3</v>
      </c>
      <c r="J1769" t="str">
        <f>VLOOKUP(I1769,[2]categories!$A$2:$B$8,2,0)</f>
        <v>Cruisers Bicycles</v>
      </c>
    </row>
    <row r="1770" spans="1:10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 s="1">
        <f t="shared" si="27"/>
        <v>2113.584</v>
      </c>
      <c r="H1770" t="str">
        <f>VLOOKUP(C1770,[1]products!$A:$B,2,0)</f>
        <v>Heller Shagamaw Frame - 2016</v>
      </c>
      <c r="I1770">
        <f>VLOOKUP(H1770,[1]products!$B:$D,3,0)</f>
        <v>6</v>
      </c>
      <c r="J1770" t="str">
        <f>VLOOKUP(I1770,[2]categories!$A$2:$B$8,2,0)</f>
        <v>Mountain Bikes</v>
      </c>
    </row>
    <row r="1771" spans="1:10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 s="1">
        <f t="shared" si="27"/>
        <v>2478.4</v>
      </c>
      <c r="H1771" t="str">
        <f>VLOOKUP(C1771,[1]products!$A:$B,2,0)</f>
        <v>Surly Straggler - 2016</v>
      </c>
      <c r="I1771">
        <f>VLOOKUP(H1771,[1]products!$B:$D,3,0)</f>
        <v>4</v>
      </c>
      <c r="J1771" t="str">
        <f>VLOOKUP(I1771,[2]categories!$A$2:$B$8,2,0)</f>
        <v>Cyclocross Bicycles</v>
      </c>
    </row>
    <row r="1772" spans="1:10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 s="1">
        <f t="shared" si="27"/>
        <v>5509.981</v>
      </c>
      <c r="H1772" t="str">
        <f>VLOOKUP(C1772,[1]products!$A:$B,2,0)</f>
        <v>Trek Fuel EX 8 29 - 2016</v>
      </c>
      <c r="I1772">
        <f>VLOOKUP(H1772,[1]products!$B:$D,3,0)</f>
        <v>6</v>
      </c>
      <c r="J1772" t="str">
        <f>VLOOKUP(I1772,[2]categories!$A$2:$B$8,2,0)</f>
        <v>Mountain Bikes</v>
      </c>
    </row>
    <row r="1773" spans="1:10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 s="1">
        <f t="shared" si="27"/>
        <v>494.991</v>
      </c>
      <c r="H1773" t="str">
        <f>VLOOKUP(C1773,[1]products!$A:$B,2,0)</f>
        <v>Electra Townie Original 21D - 2016</v>
      </c>
      <c r="I1773">
        <f>VLOOKUP(H1773,[1]products!$B:$D,3,0)</f>
        <v>3</v>
      </c>
      <c r="J1773" t="str">
        <f>VLOOKUP(I1773,[2]categories!$A$2:$B$8,2,0)</f>
        <v>Cruisers Bicycles</v>
      </c>
    </row>
    <row r="1774" spans="1:10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 s="1">
        <f t="shared" si="27"/>
        <v>2754.9905</v>
      </c>
      <c r="H1774" t="str">
        <f>VLOOKUP(C1774,[1]products!$A:$B,2,0)</f>
        <v>Trek Fuel EX 8 29 - 2016</v>
      </c>
      <c r="I1774">
        <f>VLOOKUP(H1774,[1]products!$B:$D,3,0)</f>
        <v>6</v>
      </c>
      <c r="J1774" t="str">
        <f>VLOOKUP(I1774,[2]categories!$A$2:$B$8,2,0)</f>
        <v>Mountain Bikes</v>
      </c>
    </row>
    <row r="1775" spans="1:10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 s="1">
        <f t="shared" si="27"/>
        <v>527.984</v>
      </c>
      <c r="H1775" t="str">
        <f>VLOOKUP(C1775,[1]products!$A:$B,2,0)</f>
        <v>Haro Downtown 16 - 2017</v>
      </c>
      <c r="I1775">
        <f>VLOOKUP(H1775,[1]products!$B:$D,3,0)</f>
        <v>1</v>
      </c>
      <c r="J1775" t="str">
        <f>VLOOKUP(I1775,[2]categories!$A$2:$B$8,2,0)</f>
        <v>Children Bicycles</v>
      </c>
    </row>
    <row r="1776" spans="1:10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 s="1">
        <f t="shared" si="27"/>
        <v>2699.991</v>
      </c>
      <c r="H1776" t="str">
        <f>VLOOKUP(C1776,[1]products!$A:$B,2,0)</f>
        <v>Trek Conduit+ - 2016</v>
      </c>
      <c r="I1776">
        <f>VLOOKUP(H1776,[1]products!$B:$D,3,0)</f>
        <v>5</v>
      </c>
      <c r="J1776" t="str">
        <f>VLOOKUP(I1776,[2]categories!$A$2:$B$8,2,0)</f>
        <v>Electric Bikes</v>
      </c>
    </row>
    <row r="1777" spans="1:10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 s="1">
        <f t="shared" si="27"/>
        <v>809.982</v>
      </c>
      <c r="H1777" t="str">
        <f>VLOOKUP(C1777,[1]products!$A:$B,2,0)</f>
        <v>Sun Bicycles Cruz 3 - 2017</v>
      </c>
      <c r="I1777">
        <f>VLOOKUP(H1777,[1]products!$B:$D,3,0)</f>
        <v>3</v>
      </c>
      <c r="J1777" t="str">
        <f>VLOOKUP(I1777,[2]categories!$A$2:$B$8,2,0)</f>
        <v>Cruisers Bicycles</v>
      </c>
    </row>
    <row r="1778" spans="1:10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 s="1">
        <f t="shared" si="27"/>
        <v>524.3905</v>
      </c>
      <c r="H1778" t="str">
        <f>VLOOKUP(C1778,[1]products!$A:$B,2,0)</f>
        <v>Sun Bicycles Streamway 3 - 2017</v>
      </c>
      <c r="I1778">
        <f>VLOOKUP(H1778,[1]products!$B:$D,3,0)</f>
        <v>2</v>
      </c>
      <c r="J1778" t="str">
        <f>VLOOKUP(I1778,[2]categories!$A$2:$B$8,2,0)</f>
        <v>Comfort Bicycles</v>
      </c>
    </row>
    <row r="1779" spans="1:10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 s="1">
        <f t="shared" si="27"/>
        <v>4399.992</v>
      </c>
      <c r="H1779" t="str">
        <f>VLOOKUP(C1779,[1]products!$A:$B,2,0)</f>
        <v>Trek Domane SLR 6 Disc - 2017</v>
      </c>
      <c r="I1779">
        <f>VLOOKUP(H1779,[1]products!$B:$D,3,0)</f>
        <v>7</v>
      </c>
      <c r="J1779" t="str">
        <f>VLOOKUP(I1779,[2]categories!$A$2:$B$8,2,0)</f>
        <v>Road Bikes</v>
      </c>
    </row>
    <row r="1780" spans="1:10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 s="1">
        <f t="shared" si="27"/>
        <v>1424.981</v>
      </c>
      <c r="H1780" t="str">
        <f>VLOOKUP(C1780,[1]products!$A:$B,2,0)</f>
        <v>Surly Ogre Frameset - 2017</v>
      </c>
      <c r="I1780">
        <f>VLOOKUP(H1780,[1]products!$B:$D,3,0)</f>
        <v>7</v>
      </c>
      <c r="J1780" t="str">
        <f>VLOOKUP(I1780,[2]categories!$A$2:$B$8,2,0)</f>
        <v>Road Bikes</v>
      </c>
    </row>
    <row r="1781" spans="1:10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0.07</v>
      </c>
      <c r="G1781" s="1">
        <f t="shared" si="27"/>
        <v>492.8907</v>
      </c>
      <c r="H1781" t="str">
        <f>VLOOKUP(C1781,[1]products!$A:$B,2,0)</f>
        <v>Electra Moto 1 - 2016</v>
      </c>
      <c r="I1781">
        <f>VLOOKUP(H1781,[1]products!$B:$D,3,0)</f>
        <v>3</v>
      </c>
      <c r="J1781" t="str">
        <f>VLOOKUP(I1781,[2]categories!$A$2:$B$8,2,0)</f>
        <v>Cruisers Bicycles</v>
      </c>
    </row>
    <row r="1782" spans="1:10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 s="1">
        <f t="shared" si="27"/>
        <v>712.4905</v>
      </c>
      <c r="H1782" t="str">
        <f>VLOOKUP(C1782,[1]products!$A:$B,2,0)</f>
        <v>Sun Bicycles Brickell Tandem 7 - 2017</v>
      </c>
      <c r="I1782">
        <f>VLOOKUP(H1782,[1]products!$B:$D,3,0)</f>
        <v>3</v>
      </c>
      <c r="J1782" t="str">
        <f>VLOOKUP(I1782,[2]categories!$A$2:$B$8,2,0)</f>
        <v>Cruisers Bicycles</v>
      </c>
    </row>
    <row r="1783" spans="1:10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 s="1">
        <f t="shared" si="27"/>
        <v>588.9905</v>
      </c>
      <c r="H1783" t="str">
        <f>VLOOKUP(C1783,[1]products!$A:$B,2,0)</f>
        <v>Sun Bicycles Biscayne Tandem 7 - 2017</v>
      </c>
      <c r="I1783">
        <f>VLOOKUP(H1783,[1]products!$B:$D,3,0)</f>
        <v>3</v>
      </c>
      <c r="J1783" t="str">
        <f>VLOOKUP(I1783,[2]categories!$A$2:$B$8,2,0)</f>
        <v>Cruisers Bicycles</v>
      </c>
    </row>
    <row r="1784" spans="1:10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 s="1">
        <f t="shared" si="27"/>
        <v>8999.982</v>
      </c>
      <c r="H1784" t="str">
        <f>VLOOKUP(C1784,[1]products!$A:$B,2,0)</f>
        <v>Trek Powerfly 8 FS Plus - 2017</v>
      </c>
      <c r="I1784">
        <f>VLOOKUP(H1784,[1]products!$B:$D,3,0)</f>
        <v>5</v>
      </c>
      <c r="J1784" t="str">
        <f>VLOOKUP(I1784,[2]categories!$A$2:$B$8,2,0)</f>
        <v>Electric Bikes</v>
      </c>
    </row>
    <row r="1785" spans="1:10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 s="1">
        <f t="shared" si="27"/>
        <v>854.981</v>
      </c>
      <c r="H1785" t="str">
        <f>VLOOKUP(C1785,[1]products!$A:$B,2,0)</f>
        <v>Sun Bicycles Cruz 3 - 2017</v>
      </c>
      <c r="I1785">
        <f>VLOOKUP(H1785,[1]products!$B:$D,3,0)</f>
        <v>3</v>
      </c>
      <c r="J1785" t="str">
        <f>VLOOKUP(I1785,[2]categories!$A$2:$B$8,2,0)</f>
        <v>Cruisers Bicycles</v>
      </c>
    </row>
    <row r="1786" spans="1:10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0.07</v>
      </c>
      <c r="G1786" s="1">
        <f t="shared" si="27"/>
        <v>437.0907</v>
      </c>
      <c r="H1786" t="str">
        <f>VLOOKUP(C1786,[1]products!$A:$B,2,0)</f>
        <v>Trek Farley Alloy Frameset - 2017</v>
      </c>
      <c r="I1786">
        <f>VLOOKUP(H1786,[1]products!$B:$D,3,0)</f>
        <v>6</v>
      </c>
      <c r="J1786" t="str">
        <f>VLOOKUP(I1786,[2]categories!$A$2:$B$8,2,0)</f>
        <v>Mountain Bikes</v>
      </c>
    </row>
    <row r="1787" spans="1:10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0.07</v>
      </c>
      <c r="G1787" s="1">
        <f t="shared" si="27"/>
        <v>929.9907</v>
      </c>
      <c r="H1787" t="str">
        <f>VLOOKUP(C1787,[1]products!$A:$B,2,0)</f>
        <v>Surly Ice Cream Truck Frameset - 2017</v>
      </c>
      <c r="I1787">
        <f>VLOOKUP(H1787,[1]products!$B:$D,3,0)</f>
        <v>6</v>
      </c>
      <c r="J1787" t="str">
        <f>VLOOKUP(I1787,[2]categories!$A$2:$B$8,2,0)</f>
        <v>Mountain Bikes</v>
      </c>
    </row>
    <row r="1788" spans="1:10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0.07</v>
      </c>
      <c r="G1788" s="1">
        <f t="shared" si="27"/>
        <v>557.9814</v>
      </c>
      <c r="H1788" t="str">
        <f>VLOOKUP(C1788,[1]products!$A:$B,2,0)</f>
        <v>Electra Girl's Hawaii 1 16" - 2017</v>
      </c>
      <c r="I1788">
        <f>VLOOKUP(H1788,[1]products!$B:$D,3,0)</f>
        <v>3</v>
      </c>
      <c r="J1788" t="str">
        <f>VLOOKUP(I1788,[2]categories!$A$2:$B$8,2,0)</f>
        <v>Cruisers Bicycles</v>
      </c>
    </row>
    <row r="1789" spans="1:10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 s="1">
        <f t="shared" si="27"/>
        <v>667.184</v>
      </c>
      <c r="H1789" t="str">
        <f>VLOOKUP(C1789,[1]products!$A:$B,2,0)</f>
        <v>Sun Bicycles Cruz 7 - Women's - 2017</v>
      </c>
      <c r="I1789">
        <f>VLOOKUP(H1789,[1]products!$B:$D,3,0)</f>
        <v>2</v>
      </c>
      <c r="J1789" t="str">
        <f>VLOOKUP(I1789,[2]categories!$A$2:$B$8,2,0)</f>
        <v>Comfort Bicycles</v>
      </c>
    </row>
    <row r="1790" spans="1:10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 s="1">
        <f t="shared" si="27"/>
        <v>503.4905</v>
      </c>
      <c r="H1790" t="str">
        <f>VLOOKUP(C1790,[1]products!$A:$B,2,0)</f>
        <v>Electra Moto 1 - 2016</v>
      </c>
      <c r="I1790">
        <f>VLOOKUP(H1790,[1]products!$B:$D,3,0)</f>
        <v>3</v>
      </c>
      <c r="J1790" t="str">
        <f>VLOOKUP(I1790,[2]categories!$A$2:$B$8,2,0)</f>
        <v>Cruisers Bicycles</v>
      </c>
    </row>
    <row r="1791" spans="1:10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 s="1">
        <f t="shared" si="27"/>
        <v>2799.992</v>
      </c>
      <c r="H1791" t="str">
        <f>VLOOKUP(C1791,[1]products!$A:$B,2,0)</f>
        <v>Trek Boone 7 - 2017</v>
      </c>
      <c r="I1791">
        <f>VLOOKUP(H1791,[1]products!$B:$D,3,0)</f>
        <v>4</v>
      </c>
      <c r="J1791" t="str">
        <f>VLOOKUP(I1791,[2]categories!$A$2:$B$8,2,0)</f>
        <v>Cyclocross Bicycles</v>
      </c>
    </row>
    <row r="1792" spans="1:10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 s="1">
        <f t="shared" si="27"/>
        <v>391.992</v>
      </c>
      <c r="H1792" t="str">
        <f>VLOOKUP(C1792,[1]products!$A:$B,2,0)</f>
        <v>Electra Townie Original 7D - 2017</v>
      </c>
      <c r="I1792">
        <f>VLOOKUP(H1792,[1]products!$B:$D,3,0)</f>
        <v>3</v>
      </c>
      <c r="J1792" t="str">
        <f>VLOOKUP(I1792,[2]categories!$A$2:$B$8,2,0)</f>
        <v>Cruisers Bicycles</v>
      </c>
    </row>
    <row r="1793" spans="1:10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0.07</v>
      </c>
      <c r="G1793" s="1">
        <f t="shared" si="27"/>
        <v>836.9814</v>
      </c>
      <c r="H1793" t="str">
        <f>VLOOKUP(C1793,[1]products!$A:$B,2,0)</f>
        <v>Sun Bicycles Cruz 3 - 2017</v>
      </c>
      <c r="I1793">
        <f>VLOOKUP(H1793,[1]products!$B:$D,3,0)</f>
        <v>3</v>
      </c>
      <c r="J1793" t="str">
        <f>VLOOKUP(I1793,[2]categories!$A$2:$B$8,2,0)</f>
        <v>Cruisers Bicycles</v>
      </c>
    </row>
    <row r="1794" spans="1:10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 s="1">
        <f t="shared" ref="G1794:G1857" si="28">D1794*E1794*(1-F1794)</f>
        <v>712.4905</v>
      </c>
      <c r="H1794" t="str">
        <f>VLOOKUP(C1794,[1]products!$A:$B,2,0)</f>
        <v>Surly Ogre Frameset - 2017</v>
      </c>
      <c r="I1794">
        <f>VLOOKUP(H1794,[1]products!$B:$D,3,0)</f>
        <v>7</v>
      </c>
      <c r="J1794" t="str">
        <f>VLOOKUP(I1794,[2]categories!$A$2:$B$8,2,0)</f>
        <v>Road Bikes</v>
      </c>
    </row>
    <row r="1795" spans="1:10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0.07</v>
      </c>
      <c r="G1795" s="1">
        <f t="shared" si="28"/>
        <v>2789.9907</v>
      </c>
      <c r="H1795" t="str">
        <f>VLOOKUP(C1795,[1]products!$A:$B,2,0)</f>
        <v>Trek Conduit+ - 2016</v>
      </c>
      <c r="I1795">
        <f>VLOOKUP(H1795,[1]products!$B:$D,3,0)</f>
        <v>5</v>
      </c>
      <c r="J1795" t="str">
        <f>VLOOKUP(I1795,[2]categories!$A$2:$B$8,2,0)</f>
        <v>Electric Bikes</v>
      </c>
    </row>
    <row r="1796" spans="1:10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0.07</v>
      </c>
      <c r="G1796" s="1">
        <f t="shared" si="28"/>
        <v>278.9907</v>
      </c>
      <c r="H1796" t="str">
        <f>VLOOKUP(C1796,[1]products!$A:$B,2,0)</f>
        <v>Electra Sugar Skulls 1 (20-inch) - Girl's - 2017</v>
      </c>
      <c r="I1796">
        <f>VLOOKUP(H1796,[1]products!$B:$D,3,0)</f>
        <v>1</v>
      </c>
      <c r="J1796" t="str">
        <f>VLOOKUP(I1796,[2]categories!$A$2:$B$8,2,0)</f>
        <v>Children Bicycles</v>
      </c>
    </row>
    <row r="1797" spans="1:10">
      <c r="A1797">
        <v>645</v>
      </c>
      <c r="B1797">
        <v>2</v>
      </c>
      <c r="C1797">
        <v>42</v>
      </c>
      <c r="D1797">
        <v>2</v>
      </c>
      <c r="E1797">
        <v>2299.99</v>
      </c>
      <c r="F1797">
        <v>0.05</v>
      </c>
      <c r="G1797" s="1">
        <f t="shared" si="28"/>
        <v>4369.981</v>
      </c>
      <c r="H1797" t="str">
        <f>VLOOKUP(C1797,[1]products!$A:$B,2,0)</f>
        <v>Trek Fuel EX 5 27.5 Plus - 2017</v>
      </c>
      <c r="I1797">
        <f>VLOOKUP(H1797,[1]products!$B:$D,3,0)</f>
        <v>6</v>
      </c>
      <c r="J1797" t="str">
        <f>VLOOKUP(I1797,[2]categories!$A$2:$B$8,2,0)</f>
        <v>Mountain Bikes</v>
      </c>
    </row>
    <row r="1798" spans="1:10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 s="1">
        <f t="shared" si="28"/>
        <v>446.4905</v>
      </c>
      <c r="H1798" t="str">
        <f>VLOOKUP(C1798,[1]products!$A:$B,2,0)</f>
        <v>Surly Ice Cream Truck Frameset - 2016</v>
      </c>
      <c r="I1798">
        <f>VLOOKUP(H1798,[1]products!$B:$D,3,0)</f>
        <v>6</v>
      </c>
      <c r="J1798" t="str">
        <f>VLOOKUP(I1798,[2]categories!$A$2:$B$8,2,0)</f>
        <v>Mountain Bikes</v>
      </c>
    </row>
    <row r="1799" spans="1:10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0.07</v>
      </c>
      <c r="G1799" s="1">
        <f t="shared" si="28"/>
        <v>9857.9814</v>
      </c>
      <c r="H1799" t="str">
        <f>VLOOKUP(C1799,[1]products!$A:$B,2,0)</f>
        <v>Trek Remedy 9.8 - 2017</v>
      </c>
      <c r="I1799">
        <f>VLOOKUP(H1799,[1]products!$B:$D,3,0)</f>
        <v>6</v>
      </c>
      <c r="J1799" t="str">
        <f>VLOOKUP(I1799,[2]categories!$A$2:$B$8,2,0)</f>
        <v>Mountain Bikes</v>
      </c>
    </row>
    <row r="1800" spans="1:10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0.07</v>
      </c>
      <c r="G1800" s="1">
        <f t="shared" si="28"/>
        <v>502.1814</v>
      </c>
      <c r="H1800" t="str">
        <f>VLOOKUP(C1800,[1]products!$A:$B,2,0)</f>
        <v>Electra Cruiser 1 (24-Inch) - 2016</v>
      </c>
      <c r="I1800">
        <f>VLOOKUP(H1800,[1]products!$B:$D,3,0)</f>
        <v>3</v>
      </c>
      <c r="J1800" t="str">
        <f>VLOOKUP(I1800,[2]categories!$A$2:$B$8,2,0)</f>
        <v>Cruisers Bicycles</v>
      </c>
    </row>
    <row r="1801" spans="1:10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 s="1">
        <f t="shared" si="28"/>
        <v>847.984</v>
      </c>
      <c r="H1801" t="str">
        <f>VLOOKUP(C1801,[1]products!$A:$B,2,0)</f>
        <v>Electra Moto 1 - 2016</v>
      </c>
      <c r="I1801">
        <f>VLOOKUP(H1801,[1]products!$B:$D,3,0)</f>
        <v>3</v>
      </c>
      <c r="J1801" t="str">
        <f>VLOOKUP(I1801,[2]categories!$A$2:$B$8,2,0)</f>
        <v>Cruisers Bicycles</v>
      </c>
    </row>
    <row r="1802" spans="1:10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0.07</v>
      </c>
      <c r="G1802" s="1">
        <f t="shared" si="28"/>
        <v>2696.9907</v>
      </c>
      <c r="H1802" t="str">
        <f>VLOOKUP(C1802,[1]products!$A:$B,2,0)</f>
        <v>Trek Fuel EX 8 29 - 2016</v>
      </c>
      <c r="I1802">
        <f>VLOOKUP(H1802,[1]products!$B:$D,3,0)</f>
        <v>6</v>
      </c>
      <c r="J1802" t="str">
        <f>VLOOKUP(I1802,[2]categories!$A$2:$B$8,2,0)</f>
        <v>Mountain Bikes</v>
      </c>
    </row>
    <row r="1803" spans="1:10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 s="1">
        <f t="shared" si="28"/>
        <v>284.9905</v>
      </c>
      <c r="H1803" t="str">
        <f>VLOOKUP(C1803,[1]products!$A:$B,2,0)</f>
        <v>Electra Girl's Hawaii 1 16" - 2017</v>
      </c>
      <c r="I1803">
        <f>VLOOKUP(H1803,[1]products!$B:$D,3,0)</f>
        <v>3</v>
      </c>
      <c r="J1803" t="str">
        <f>VLOOKUP(I1803,[2]categories!$A$2:$B$8,2,0)</f>
        <v>Cruisers Bicycles</v>
      </c>
    </row>
    <row r="1804" spans="1:10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 s="1">
        <f t="shared" si="28"/>
        <v>439.992</v>
      </c>
      <c r="H1804" t="str">
        <f>VLOOKUP(C1804,[1]products!$A:$B,2,0)</f>
        <v>Electra Townie Original 21D - 2016</v>
      </c>
      <c r="I1804">
        <f>VLOOKUP(H1804,[1]products!$B:$D,3,0)</f>
        <v>3</v>
      </c>
      <c r="J1804" t="str">
        <f>VLOOKUP(I1804,[2]categories!$A$2:$B$8,2,0)</f>
        <v>Cruisers Bicycles</v>
      </c>
    </row>
    <row r="1805" spans="1:10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0.07</v>
      </c>
      <c r="G1805" s="1">
        <f t="shared" si="28"/>
        <v>929.9814</v>
      </c>
      <c r="H1805" t="str">
        <f>VLOOKUP(C1805,[1]products!$A:$B,2,0)</f>
        <v>Electra Townie Original 7D - 2015/2016</v>
      </c>
      <c r="I1805">
        <f>VLOOKUP(H1805,[1]products!$B:$D,3,0)</f>
        <v>2</v>
      </c>
      <c r="J1805" t="str">
        <f>VLOOKUP(I1805,[2]categories!$A$2:$B$8,2,0)</f>
        <v>Comfort Bicycles</v>
      </c>
    </row>
    <row r="1806" spans="1:10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 s="1">
        <f t="shared" si="28"/>
        <v>242.991</v>
      </c>
      <c r="H1806" t="str">
        <f>VLOOKUP(C1806,[1]products!$A:$B,2,0)</f>
        <v>Electra Cruiser 1 (24-Inch) - 2016</v>
      </c>
      <c r="I1806">
        <f>VLOOKUP(H1806,[1]products!$B:$D,3,0)</f>
        <v>3</v>
      </c>
      <c r="J1806" t="str">
        <f>VLOOKUP(I1806,[2]categories!$A$2:$B$8,2,0)</f>
        <v>Cruisers Bicycles</v>
      </c>
    </row>
    <row r="1807" spans="1:10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0.07</v>
      </c>
      <c r="G1807" s="1">
        <f t="shared" si="28"/>
        <v>511.4907</v>
      </c>
      <c r="H1807" t="str">
        <f>VLOOKUP(C1807,[1]products!$A:$B,2,0)</f>
        <v>Electra Townie Original 21D - 2016</v>
      </c>
      <c r="I1807">
        <f>VLOOKUP(H1807,[1]products!$B:$D,3,0)</f>
        <v>3</v>
      </c>
      <c r="J1807" t="str">
        <f>VLOOKUP(I1807,[2]categories!$A$2:$B$8,2,0)</f>
        <v>Cruisers Bicycles</v>
      </c>
    </row>
    <row r="1808" spans="1:10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 s="1">
        <f t="shared" si="28"/>
        <v>629.982</v>
      </c>
      <c r="H1808" t="str">
        <f>VLOOKUP(C1808,[1]products!$A:$B,2,0)</f>
        <v>Electra Savannah 3i (20-inch) - Girl's - 2017</v>
      </c>
      <c r="I1808">
        <f>VLOOKUP(H1808,[1]products!$B:$D,3,0)</f>
        <v>1</v>
      </c>
      <c r="J1808" t="str">
        <f>VLOOKUP(I1808,[2]categories!$A$2:$B$8,2,0)</f>
        <v>Children Bicycles</v>
      </c>
    </row>
    <row r="1809" spans="1:10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0.07</v>
      </c>
      <c r="G1809" s="1">
        <f t="shared" si="28"/>
        <v>195.2907</v>
      </c>
      <c r="H1809" t="str">
        <f>VLOOKUP(C1809,[1]products!$A:$B,2,0)</f>
        <v>Trek Precaliber 16 Girls - 2017</v>
      </c>
      <c r="I1809">
        <f>VLOOKUP(H1809,[1]products!$B:$D,3,0)</f>
        <v>1</v>
      </c>
      <c r="J1809" t="str">
        <f>VLOOKUP(I1809,[2]categories!$A$2:$B$8,2,0)</f>
        <v>Children Bicycles</v>
      </c>
    </row>
    <row r="1810" spans="1:10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 s="1">
        <f t="shared" si="28"/>
        <v>3025.782</v>
      </c>
      <c r="H1810" t="str">
        <f>VLOOKUP(C1810,[1]products!$A:$B,2,0)</f>
        <v>Surly Straggler 650b - 2016</v>
      </c>
      <c r="I1810">
        <f>VLOOKUP(H1810,[1]products!$B:$D,3,0)</f>
        <v>4</v>
      </c>
      <c r="J1810" t="str">
        <f>VLOOKUP(I1810,[2]categories!$A$2:$B$8,2,0)</f>
        <v>Cyclocross Bicycles</v>
      </c>
    </row>
    <row r="1811" spans="1:10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 s="1">
        <f t="shared" si="28"/>
        <v>615.5905</v>
      </c>
      <c r="H1811" t="str">
        <f>VLOOKUP(C1811,[1]products!$A:$B,2,0)</f>
        <v>Sun Bicycles Biscayne Tandem CB - 2017</v>
      </c>
      <c r="I1811">
        <f>VLOOKUP(H1811,[1]products!$B:$D,3,0)</f>
        <v>3</v>
      </c>
      <c r="J1811" t="str">
        <f>VLOOKUP(I1811,[2]categories!$A$2:$B$8,2,0)</f>
        <v>Cruisers Bicycles</v>
      </c>
    </row>
    <row r="1812" spans="1:10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 s="1">
        <f t="shared" si="28"/>
        <v>799.992</v>
      </c>
      <c r="H1812" t="str">
        <f>VLOOKUP(C1812,[1]products!$A:$B,2,0)</f>
        <v>Surly Wednesday Frameset - 2016</v>
      </c>
      <c r="I1812">
        <f>VLOOKUP(H1812,[1]products!$B:$D,3,0)</f>
        <v>6</v>
      </c>
      <c r="J1812" t="str">
        <f>VLOOKUP(I1812,[2]categories!$A$2:$B$8,2,0)</f>
        <v>Mountain Bikes</v>
      </c>
    </row>
    <row r="1813" spans="1:10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 s="1">
        <f t="shared" si="28"/>
        <v>362.691</v>
      </c>
      <c r="H1813" t="str">
        <f>VLOOKUP(C1813,[1]products!$A:$B,2,0)</f>
        <v>Sun Bicycles Boardwalk (24-inch Wheels) - 2017</v>
      </c>
      <c r="I1813">
        <f>VLOOKUP(H1813,[1]products!$B:$D,3,0)</f>
        <v>3</v>
      </c>
      <c r="J1813" t="str">
        <f>VLOOKUP(I1813,[2]categories!$A$2:$B$8,2,0)</f>
        <v>Cruisers Bicycles</v>
      </c>
    </row>
    <row r="1814" spans="1:10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 s="1">
        <f t="shared" si="28"/>
        <v>313.4905</v>
      </c>
      <c r="H1814" t="str">
        <f>VLOOKUP(C1814,[1]products!$A:$B,2,0)</f>
        <v>Haro Downtown 16 - 2017</v>
      </c>
      <c r="I1814">
        <f>VLOOKUP(H1814,[1]products!$B:$D,3,0)</f>
        <v>1</v>
      </c>
      <c r="J1814" t="str">
        <f>VLOOKUP(I1814,[2]categories!$A$2:$B$8,2,0)</f>
        <v>Children Bicycles</v>
      </c>
    </row>
    <row r="1815" spans="1:10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 s="1">
        <f t="shared" si="28"/>
        <v>930.981</v>
      </c>
      <c r="H1815" t="str">
        <f>VLOOKUP(C1815,[1]products!$A:$B,2,0)</f>
        <v>Electra Townie Original 7D - 2017</v>
      </c>
      <c r="I1815">
        <f>VLOOKUP(H1815,[1]products!$B:$D,3,0)</f>
        <v>3</v>
      </c>
      <c r="J1815" t="str">
        <f>VLOOKUP(I1815,[2]categories!$A$2:$B$8,2,0)</f>
        <v>Cruisers Bicycles</v>
      </c>
    </row>
    <row r="1816" spans="1:10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 s="1">
        <f t="shared" si="28"/>
        <v>474.981</v>
      </c>
      <c r="H1816" t="str">
        <f>VLOOKUP(C1816,[1]products!$A:$B,2,0)</f>
        <v>Haro Shredder Pro 20 - 2017</v>
      </c>
      <c r="I1816">
        <f>VLOOKUP(H1816,[1]products!$B:$D,3,0)</f>
        <v>1</v>
      </c>
      <c r="J1816" t="str">
        <f>VLOOKUP(I1816,[2]categories!$A$2:$B$8,2,0)</f>
        <v>Children Bicycles</v>
      </c>
    </row>
    <row r="1817" spans="1:10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 s="1">
        <f t="shared" si="28"/>
        <v>440.991</v>
      </c>
      <c r="H1817" t="str">
        <f>VLOOKUP(C1817,[1]products!$A:$B,2,0)</f>
        <v>Electra Townie Original 7D - 2017</v>
      </c>
      <c r="I1817">
        <f>VLOOKUP(H1817,[1]products!$B:$D,3,0)</f>
        <v>3</v>
      </c>
      <c r="J1817" t="str">
        <f>VLOOKUP(I1817,[2]categories!$A$2:$B$8,2,0)</f>
        <v>Cruisers Bicycles</v>
      </c>
    </row>
    <row r="1818" spans="1:10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 s="1">
        <f t="shared" si="28"/>
        <v>5599.984</v>
      </c>
      <c r="H1818" t="str">
        <f>VLOOKUP(C1818,[1]products!$A:$B,2,0)</f>
        <v>Trek Boone 7 - 2017</v>
      </c>
      <c r="I1818">
        <f>VLOOKUP(H1818,[1]products!$B:$D,3,0)</f>
        <v>4</v>
      </c>
      <c r="J1818" t="str">
        <f>VLOOKUP(I1818,[2]categories!$A$2:$B$8,2,0)</f>
        <v>Cyclocross Bicycles</v>
      </c>
    </row>
    <row r="1819" spans="1:10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 s="1">
        <f t="shared" si="28"/>
        <v>401.584</v>
      </c>
      <c r="H1819" t="str">
        <f>VLOOKUP(C1819,[1]products!$A:$B,2,0)</f>
        <v>Sun Bicycles Revolutions 24 - Girl's - 2017</v>
      </c>
      <c r="I1819">
        <f>VLOOKUP(H1819,[1]products!$B:$D,3,0)</f>
        <v>3</v>
      </c>
      <c r="J1819" t="str">
        <f>VLOOKUP(I1819,[2]categories!$A$2:$B$8,2,0)</f>
        <v>Cruisers Bicycles</v>
      </c>
    </row>
    <row r="1820" spans="1:10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 s="1">
        <f t="shared" si="28"/>
        <v>269.991</v>
      </c>
      <c r="H1820" t="str">
        <f>VLOOKUP(C1820,[1]products!$A:$B,2,0)</f>
        <v>Electra Girl's Hawaii 1 (20-inch) - 2015/2016</v>
      </c>
      <c r="I1820">
        <f>VLOOKUP(H1820,[1]products!$B:$D,3,0)</f>
        <v>1</v>
      </c>
      <c r="J1820" t="str">
        <f>VLOOKUP(I1820,[2]categories!$A$2:$B$8,2,0)</f>
        <v>Children Bicycles</v>
      </c>
    </row>
    <row r="1821" spans="1:10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 s="1">
        <f t="shared" si="28"/>
        <v>417.9905</v>
      </c>
      <c r="H1821" t="str">
        <f>VLOOKUP(C1821,[1]products!$A:$B,2,0)</f>
        <v>Electra Cruiser Lux 1 - 2017</v>
      </c>
      <c r="I1821">
        <f>VLOOKUP(H1821,[1]products!$B:$D,3,0)</f>
        <v>3</v>
      </c>
      <c r="J1821" t="str">
        <f>VLOOKUP(I1821,[2]categories!$A$2:$B$8,2,0)</f>
        <v>Cruisers Bicycles</v>
      </c>
    </row>
    <row r="1822" spans="1:10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0.07</v>
      </c>
      <c r="G1822" s="1">
        <f t="shared" si="28"/>
        <v>437.0907</v>
      </c>
      <c r="H1822" t="str">
        <f>VLOOKUP(C1822,[1]products!$A:$B,2,0)</f>
        <v>Surly Ice Cream Truck Frameset - 2016</v>
      </c>
      <c r="I1822">
        <f>VLOOKUP(H1822,[1]products!$B:$D,3,0)</f>
        <v>6</v>
      </c>
      <c r="J1822" t="str">
        <f>VLOOKUP(I1822,[2]categories!$A$2:$B$8,2,0)</f>
        <v>Mountain Bikes</v>
      </c>
    </row>
    <row r="1823" spans="1:10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 s="1">
        <f t="shared" si="28"/>
        <v>4769.991</v>
      </c>
      <c r="H1823" t="str">
        <f>VLOOKUP(C1823,[1]products!$A:$B,2,0)</f>
        <v>Trek Fuel EX 9.8 27.5 Plus - 2017</v>
      </c>
      <c r="I1823">
        <f>VLOOKUP(H1823,[1]products!$B:$D,3,0)</f>
        <v>6</v>
      </c>
      <c r="J1823" t="str">
        <f>VLOOKUP(I1823,[2]categories!$A$2:$B$8,2,0)</f>
        <v>Mountain Bikes</v>
      </c>
    </row>
    <row r="1824" spans="1:10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 s="1">
        <f t="shared" si="28"/>
        <v>1349.982</v>
      </c>
      <c r="H1824" t="str">
        <f>VLOOKUP(C1824,[1]products!$A:$B,2,0)</f>
        <v>Ritchey Timberwolf Frameset - 2016</v>
      </c>
      <c r="I1824">
        <f>VLOOKUP(H1824,[1]products!$B:$D,3,0)</f>
        <v>6</v>
      </c>
      <c r="J1824" t="str">
        <f>VLOOKUP(I1824,[2]categories!$A$2:$B$8,2,0)</f>
        <v>Mountain Bikes</v>
      </c>
    </row>
    <row r="1825" spans="1:10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 s="1">
        <f t="shared" si="28"/>
        <v>609.592</v>
      </c>
      <c r="H1825" t="str">
        <f>VLOOKUP(C1825,[1]products!$A:$B,2,0)</f>
        <v>Sun Bicycles Brickell Tandem CB - 2017</v>
      </c>
      <c r="I1825">
        <f>VLOOKUP(H1825,[1]products!$B:$D,3,0)</f>
        <v>3</v>
      </c>
      <c r="J1825" t="str">
        <f>VLOOKUP(I1825,[2]categories!$A$2:$B$8,2,0)</f>
        <v>Cruisers Bicycles</v>
      </c>
    </row>
    <row r="1826" spans="1:10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0.07</v>
      </c>
      <c r="G1826" s="1">
        <f t="shared" si="28"/>
        <v>353.3814</v>
      </c>
      <c r="H1826" t="str">
        <f>VLOOKUP(C1826,[1]products!$A:$B,2,0)</f>
        <v>Trek Precaliber 12 Girls - 2017</v>
      </c>
      <c r="I1826">
        <f>VLOOKUP(H1826,[1]products!$B:$D,3,0)</f>
        <v>1</v>
      </c>
      <c r="J1826" t="str">
        <f>VLOOKUP(I1826,[2]categories!$A$2:$B$8,2,0)</f>
        <v>Children Bicycles</v>
      </c>
    </row>
    <row r="1827" spans="1:10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 s="1">
        <f t="shared" si="28"/>
        <v>2699.991</v>
      </c>
      <c r="H1827" t="str">
        <f>VLOOKUP(C1827,[1]products!$A:$B,2,0)</f>
        <v>Trek Conduit+ - 2016</v>
      </c>
      <c r="I1827">
        <f>VLOOKUP(H1827,[1]products!$B:$D,3,0)</f>
        <v>5</v>
      </c>
      <c r="J1827" t="str">
        <f>VLOOKUP(I1827,[2]categories!$A$2:$B$8,2,0)</f>
        <v>Electric Bikes</v>
      </c>
    </row>
    <row r="1828" spans="1:10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 s="1">
        <f t="shared" si="28"/>
        <v>269.991</v>
      </c>
      <c r="H1828" t="str">
        <f>VLOOKUP(C1828,[1]products!$A:$B,2,0)</f>
        <v>Electra Girl's Hawaii 1 16" - 2017</v>
      </c>
      <c r="I1828">
        <f>VLOOKUP(H1828,[1]products!$B:$D,3,0)</f>
        <v>3</v>
      </c>
      <c r="J1828" t="str">
        <f>VLOOKUP(I1828,[2]categories!$A$2:$B$8,2,0)</f>
        <v>Cruisers Bicycles</v>
      </c>
    </row>
    <row r="1829" spans="1:10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0.07</v>
      </c>
      <c r="G1829" s="1">
        <f t="shared" si="28"/>
        <v>876.0414</v>
      </c>
      <c r="H1829" t="str">
        <f>VLOOKUP(C1829,[1]products!$A:$B,2,0)</f>
        <v>Sun Bicycles Drifter 7 - 2017</v>
      </c>
      <c r="I1829">
        <f>VLOOKUP(H1829,[1]products!$B:$D,3,0)</f>
        <v>2</v>
      </c>
      <c r="J1829" t="str">
        <f>VLOOKUP(I1829,[2]categories!$A$2:$B$8,2,0)</f>
        <v>Comfort Bicycles</v>
      </c>
    </row>
    <row r="1830" spans="1:10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0.07</v>
      </c>
      <c r="G1830" s="1">
        <f t="shared" si="28"/>
        <v>650.9814</v>
      </c>
      <c r="H1830" t="str">
        <f>VLOOKUP(C1830,[1]products!$A:$B,2,0)</f>
        <v>Electra Savannah 3i (20-inch) - Girl's - 2017</v>
      </c>
      <c r="I1830">
        <f>VLOOKUP(H1830,[1]products!$B:$D,3,0)</f>
        <v>1</v>
      </c>
      <c r="J1830" t="str">
        <f>VLOOKUP(I1830,[2]categories!$A$2:$B$8,2,0)</f>
        <v>Children Bicycles</v>
      </c>
    </row>
    <row r="1831" spans="1:10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 s="1">
        <f t="shared" si="28"/>
        <v>225.891</v>
      </c>
      <c r="H1831" t="str">
        <f>VLOOKUP(C1831,[1]products!$A:$B,2,0)</f>
        <v>Sun Bicycles Revolutions 24 - Girl's - 2017</v>
      </c>
      <c r="I1831">
        <f>VLOOKUP(H1831,[1]products!$B:$D,3,0)</f>
        <v>3</v>
      </c>
      <c r="J1831" t="str">
        <f>VLOOKUP(I1831,[2]categories!$A$2:$B$8,2,0)</f>
        <v>Cruisers Bicycles</v>
      </c>
    </row>
    <row r="1832" spans="1:10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 s="1">
        <f t="shared" si="28"/>
        <v>134.991</v>
      </c>
      <c r="H1832" t="str">
        <f>VLOOKUP(C1832,[1]products!$A:$B,2,0)</f>
        <v>Trek Boy's Kickster - 2015/2017</v>
      </c>
      <c r="I1832">
        <f>VLOOKUP(H1832,[1]products!$B:$D,3,0)</f>
        <v>1</v>
      </c>
      <c r="J1832" t="str">
        <f>VLOOKUP(I1832,[2]categories!$A$2:$B$8,2,0)</f>
        <v>Children Bicycles</v>
      </c>
    </row>
    <row r="1833" spans="1:10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0.07</v>
      </c>
      <c r="G1833" s="1">
        <f t="shared" si="28"/>
        <v>251.0907</v>
      </c>
      <c r="H1833" t="str">
        <f>VLOOKUP(C1833,[1]products!$A:$B,2,0)</f>
        <v>Electra Girl's Hawaii 1 (16-inch) - 2015/2016</v>
      </c>
      <c r="I1833">
        <f>VLOOKUP(H1833,[1]products!$B:$D,3,0)</f>
        <v>3</v>
      </c>
      <c r="J1833" t="str">
        <f>VLOOKUP(I1833,[2]categories!$A$2:$B$8,2,0)</f>
        <v>Cruisers Bicycles</v>
      </c>
    </row>
    <row r="1834" spans="1:10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 s="1">
        <f t="shared" si="28"/>
        <v>892.981</v>
      </c>
      <c r="H1834" t="str">
        <f>VLOOKUP(C1834,[1]products!$A:$B,2,0)</f>
        <v>Surly Wednesday Frameset - 2017</v>
      </c>
      <c r="I1834">
        <f>VLOOKUP(H1834,[1]products!$B:$D,3,0)</f>
        <v>6</v>
      </c>
      <c r="J1834" t="str">
        <f>VLOOKUP(I1834,[2]categories!$A$2:$B$8,2,0)</f>
        <v>Mountain Bikes</v>
      </c>
    </row>
    <row r="1835" spans="1:10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 s="1">
        <f t="shared" si="28"/>
        <v>832.1905</v>
      </c>
      <c r="H1835" t="str">
        <f>VLOOKUP(C1835,[1]products!$A:$B,2,0)</f>
        <v>Surly Steamroller - 2017</v>
      </c>
      <c r="I1835">
        <f>VLOOKUP(H1835,[1]products!$B:$D,3,0)</f>
        <v>7</v>
      </c>
      <c r="J1835" t="str">
        <f>VLOOKUP(I1835,[2]categories!$A$2:$B$8,2,0)</f>
        <v>Road Bikes</v>
      </c>
    </row>
    <row r="1836" spans="1:10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 s="1">
        <f t="shared" si="28"/>
        <v>6079.981</v>
      </c>
      <c r="H1836" t="str">
        <f>VLOOKUP(C1836,[1]products!$A:$B,2,0)</f>
        <v>Trek Domane SL Disc Frameset - 2017</v>
      </c>
      <c r="I1836">
        <f>VLOOKUP(H1836,[1]products!$B:$D,3,0)</f>
        <v>7</v>
      </c>
      <c r="J1836" t="str">
        <f>VLOOKUP(I1836,[2]categories!$A$2:$B$8,2,0)</f>
        <v>Road Bikes</v>
      </c>
    </row>
    <row r="1837" spans="1:10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 s="1">
        <f t="shared" si="28"/>
        <v>5599.984</v>
      </c>
      <c r="H1837" t="str">
        <f>VLOOKUP(C1837,[1]products!$A:$B,2,0)</f>
        <v>Trek Domane SL 6 - 2017</v>
      </c>
      <c r="I1837">
        <f>VLOOKUP(H1837,[1]products!$B:$D,3,0)</f>
        <v>7</v>
      </c>
      <c r="J1837" t="str">
        <f>VLOOKUP(I1837,[2]categories!$A$2:$B$8,2,0)</f>
        <v>Road Bikes</v>
      </c>
    </row>
    <row r="1838" spans="1:10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 s="1">
        <f t="shared" si="28"/>
        <v>949.9905</v>
      </c>
      <c r="H1838" t="str">
        <f>VLOOKUP(C1838,[1]products!$A:$B,2,0)</f>
        <v>Trek X-Caliber 8 - 2017</v>
      </c>
      <c r="I1838">
        <f>VLOOKUP(H1838,[1]products!$B:$D,3,0)</f>
        <v>6</v>
      </c>
      <c r="J1838" t="str">
        <f>VLOOKUP(I1838,[2]categories!$A$2:$B$8,2,0)</f>
        <v>Mountain Bikes</v>
      </c>
    </row>
    <row r="1839" spans="1:10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 s="1">
        <f t="shared" si="28"/>
        <v>2849.9905</v>
      </c>
      <c r="H1839" t="str">
        <f>VLOOKUP(C1839,[1]products!$A:$B,2,0)</f>
        <v>Trek Conduit+ - 2016</v>
      </c>
      <c r="I1839">
        <f>VLOOKUP(H1839,[1]products!$B:$D,3,0)</f>
        <v>5</v>
      </c>
      <c r="J1839" t="str">
        <f>VLOOKUP(I1839,[2]categories!$A$2:$B$8,2,0)</f>
        <v>Electric Bikes</v>
      </c>
    </row>
    <row r="1840" spans="1:10">
      <c r="A1840">
        <v>659</v>
      </c>
      <c r="B1840">
        <v>1</v>
      </c>
      <c r="C1840">
        <v>42</v>
      </c>
      <c r="D1840">
        <v>2</v>
      </c>
      <c r="E1840">
        <v>2299.99</v>
      </c>
      <c r="F1840">
        <v>0.05</v>
      </c>
      <c r="G1840" s="1">
        <f t="shared" si="28"/>
        <v>4369.981</v>
      </c>
      <c r="H1840" t="str">
        <f>VLOOKUP(C1840,[1]products!$A:$B,2,0)</f>
        <v>Trek Fuel EX 5 27.5 Plus - 2017</v>
      </c>
      <c r="I1840">
        <f>VLOOKUP(H1840,[1]products!$B:$D,3,0)</f>
        <v>6</v>
      </c>
      <c r="J1840" t="str">
        <f>VLOOKUP(I1840,[2]categories!$A$2:$B$8,2,0)</f>
        <v>Mountain Bikes</v>
      </c>
    </row>
    <row r="1841" spans="1:10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0.07</v>
      </c>
      <c r="G1841" s="1">
        <f t="shared" si="28"/>
        <v>2789.9814</v>
      </c>
      <c r="H1841" t="str">
        <f>VLOOKUP(C1841,[1]products!$A:$B,2,0)</f>
        <v>Trek Stache 5 - 2017</v>
      </c>
      <c r="I1841">
        <f>VLOOKUP(H1841,[1]products!$B:$D,3,0)</f>
        <v>6</v>
      </c>
      <c r="J1841" t="str">
        <f>VLOOKUP(I1841,[2]categories!$A$2:$B$8,2,0)</f>
        <v>Mountain Bikes</v>
      </c>
    </row>
    <row r="1842" spans="1:10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 s="1">
        <f t="shared" si="28"/>
        <v>626.9905</v>
      </c>
      <c r="H1842" t="str">
        <f>VLOOKUP(C1842,[1]products!$A:$B,2,0)</f>
        <v>Electra Amsterdam Original 3i - 2015/2017</v>
      </c>
      <c r="I1842">
        <f>VLOOKUP(H1842,[1]products!$B:$D,3,0)</f>
        <v>3</v>
      </c>
      <c r="J1842" t="str">
        <f>VLOOKUP(I1842,[2]categories!$A$2:$B$8,2,0)</f>
        <v>Cruisers Bicycles</v>
      </c>
    </row>
    <row r="1843" spans="1:10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0.07</v>
      </c>
      <c r="G1843" s="1">
        <f t="shared" si="28"/>
        <v>9299.9814</v>
      </c>
      <c r="H1843" t="str">
        <f>VLOOKUP(C1843,[1]products!$A:$B,2,0)</f>
        <v>Trek Powerfly 8 FS Plus - 2017</v>
      </c>
      <c r="I1843">
        <f>VLOOKUP(H1843,[1]products!$B:$D,3,0)</f>
        <v>5</v>
      </c>
      <c r="J1843" t="str">
        <f>VLOOKUP(I1843,[2]categories!$A$2:$B$8,2,0)</f>
        <v>Electric Bikes</v>
      </c>
    </row>
    <row r="1844" spans="1:10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 s="1">
        <f t="shared" si="28"/>
        <v>799.992</v>
      </c>
      <c r="H1844" t="str">
        <f>VLOOKUP(C1844,[1]products!$A:$B,2,0)</f>
        <v>Surly Ice Cream Truck Frameset - 2017</v>
      </c>
      <c r="I1844">
        <f>VLOOKUP(H1844,[1]products!$B:$D,3,0)</f>
        <v>6</v>
      </c>
      <c r="J1844" t="str">
        <f>VLOOKUP(I1844,[2]categories!$A$2:$B$8,2,0)</f>
        <v>Mountain Bikes</v>
      </c>
    </row>
    <row r="1845" spans="1:10">
      <c r="A1845">
        <v>660</v>
      </c>
      <c r="B1845">
        <v>2</v>
      </c>
      <c r="C1845">
        <v>59</v>
      </c>
      <c r="D1845">
        <v>2</v>
      </c>
      <c r="E1845">
        <v>2599.99</v>
      </c>
      <c r="F1845">
        <v>0.07</v>
      </c>
      <c r="G1845" s="1">
        <f t="shared" si="28"/>
        <v>4835.9814</v>
      </c>
      <c r="H1845" t="str">
        <f>VLOOKUP(C1845,[1]products!$A:$B,2,0)</f>
        <v>Trek Domane S 5 Disc - 2017</v>
      </c>
      <c r="I1845">
        <f>VLOOKUP(H1845,[1]products!$B:$D,3,0)</f>
        <v>7</v>
      </c>
      <c r="J1845" t="str">
        <f>VLOOKUP(I1845,[2]categories!$A$2:$B$8,2,0)</f>
        <v>Road Bikes</v>
      </c>
    </row>
    <row r="1846" spans="1:10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 s="1">
        <f t="shared" si="28"/>
        <v>10069.981</v>
      </c>
      <c r="H1846" t="str">
        <f>VLOOKUP(C1846,[1]products!$A:$B,2,0)</f>
        <v>Trek Remedy 9.8 - 2017</v>
      </c>
      <c r="I1846">
        <f>VLOOKUP(H1846,[1]products!$B:$D,3,0)</f>
        <v>6</v>
      </c>
      <c r="J1846" t="str">
        <f>VLOOKUP(I1846,[2]categories!$A$2:$B$8,2,0)</f>
        <v>Mountain Bikes</v>
      </c>
    </row>
    <row r="1847" spans="1:10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 s="1">
        <f t="shared" si="28"/>
        <v>1599.984</v>
      </c>
      <c r="H1847" t="str">
        <f>VLOOKUP(C1847,[1]products!$A:$B,2,0)</f>
        <v>Trek X-Caliber 8 - 2017</v>
      </c>
      <c r="I1847">
        <f>VLOOKUP(H1847,[1]products!$B:$D,3,0)</f>
        <v>6</v>
      </c>
      <c r="J1847" t="str">
        <f>VLOOKUP(I1847,[2]categories!$A$2:$B$8,2,0)</f>
        <v>Mountain Bikes</v>
      </c>
    </row>
    <row r="1848" spans="1:10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0.07</v>
      </c>
      <c r="G1848" s="1">
        <f t="shared" si="28"/>
        <v>6509.9814</v>
      </c>
      <c r="H1848" t="str">
        <f>VLOOKUP(C1848,[1]products!$A:$B,2,0)</f>
        <v>Trek Boone Race Shop Limited - 2017</v>
      </c>
      <c r="I1848">
        <f>VLOOKUP(H1848,[1]products!$B:$D,3,0)</f>
        <v>4</v>
      </c>
      <c r="J1848" t="str">
        <f>VLOOKUP(I1848,[2]categories!$A$2:$B$8,2,0)</f>
        <v>Cyclocross Bicycles</v>
      </c>
    </row>
    <row r="1849" spans="1:10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 s="1">
        <f t="shared" si="28"/>
        <v>512.981</v>
      </c>
      <c r="H1849" t="str">
        <f>VLOOKUP(C1849,[1]products!$A:$B,2,0)</f>
        <v>Electra Girl's Hawaii 1 (16-inch) - 2015/2016</v>
      </c>
      <c r="I1849">
        <f>VLOOKUP(H1849,[1]products!$B:$D,3,0)</f>
        <v>3</v>
      </c>
      <c r="J1849" t="str">
        <f>VLOOKUP(I1849,[2]categories!$A$2:$B$8,2,0)</f>
        <v>Cruisers Bicycles</v>
      </c>
    </row>
    <row r="1850" spans="1:10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 s="1">
        <f t="shared" si="28"/>
        <v>4859.982</v>
      </c>
      <c r="H1850" t="str">
        <f>VLOOKUP(C1850,[1]products!$A:$B,2,0)</f>
        <v>Trek Domane S 6 - 2017</v>
      </c>
      <c r="I1850">
        <f>VLOOKUP(H1850,[1]products!$B:$D,3,0)</f>
        <v>7</v>
      </c>
      <c r="J1850" t="str">
        <f>VLOOKUP(I1850,[2]categories!$A$2:$B$8,2,0)</f>
        <v>Road Bikes</v>
      </c>
    </row>
    <row r="1851" spans="1:10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 s="1">
        <f t="shared" si="28"/>
        <v>479.984</v>
      </c>
      <c r="H1851" t="str">
        <f>VLOOKUP(C1851,[1]products!$A:$B,2,0)</f>
        <v>Electra Girl's Hawaii 1 16" - 2017</v>
      </c>
      <c r="I1851">
        <f>VLOOKUP(H1851,[1]products!$B:$D,3,0)</f>
        <v>3</v>
      </c>
      <c r="J1851" t="str">
        <f>VLOOKUP(I1851,[2]categories!$A$2:$B$8,2,0)</f>
        <v>Cruisers Bicycles</v>
      </c>
    </row>
    <row r="1852" spans="1:10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0.07</v>
      </c>
      <c r="G1852" s="1">
        <f t="shared" si="28"/>
        <v>911.3814</v>
      </c>
      <c r="H1852" t="str">
        <f>VLOOKUP(C1852,[1]products!$A:$B,2,0)</f>
        <v>Electra Townie Original 7D - 2017</v>
      </c>
      <c r="I1852">
        <f>VLOOKUP(H1852,[1]products!$B:$D,3,0)</f>
        <v>3</v>
      </c>
      <c r="J1852" t="str">
        <f>VLOOKUP(I1852,[2]categories!$A$2:$B$8,2,0)</f>
        <v>Cruisers Bicycles</v>
      </c>
    </row>
    <row r="1853" spans="1:10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0.07</v>
      </c>
      <c r="G1853" s="1">
        <f t="shared" si="28"/>
        <v>251.0907</v>
      </c>
      <c r="H1853" t="str">
        <f>VLOOKUP(C1853,[1]products!$A:$B,2,0)</f>
        <v>Electra Girl's Hawaii 1 (16-inch) - 2015/2016</v>
      </c>
      <c r="I1853">
        <f>VLOOKUP(H1853,[1]products!$B:$D,3,0)</f>
        <v>3</v>
      </c>
      <c r="J1853" t="str">
        <f>VLOOKUP(I1853,[2]categories!$A$2:$B$8,2,0)</f>
        <v>Cruisers Bicycles</v>
      </c>
    </row>
    <row r="1854" spans="1:10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0.07</v>
      </c>
      <c r="G1854" s="1">
        <f t="shared" si="28"/>
        <v>836.9814</v>
      </c>
      <c r="H1854" t="str">
        <f>VLOOKUP(C1854,[1]products!$A:$B,2,0)</f>
        <v>Sun Bicycles Cruz 3 - 2017</v>
      </c>
      <c r="I1854">
        <f>VLOOKUP(H1854,[1]products!$B:$D,3,0)</f>
        <v>3</v>
      </c>
      <c r="J1854" t="str">
        <f>VLOOKUP(I1854,[2]categories!$A$2:$B$8,2,0)</f>
        <v>Cruisers Bicycles</v>
      </c>
    </row>
    <row r="1855" spans="1:10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 s="1">
        <f t="shared" si="28"/>
        <v>2792.981</v>
      </c>
      <c r="H1855" t="str">
        <f>VLOOKUP(C1855,[1]products!$A:$B,2,0)</f>
        <v>Haro Shift R3 - 2017</v>
      </c>
      <c r="I1855">
        <f>VLOOKUP(H1855,[1]products!$B:$D,3,0)</f>
        <v>6</v>
      </c>
      <c r="J1855" t="str">
        <f>VLOOKUP(I1855,[2]categories!$A$2:$B$8,2,0)</f>
        <v>Mountain Bikes</v>
      </c>
    </row>
    <row r="1856" spans="1:10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 s="1">
        <f t="shared" si="28"/>
        <v>686.4</v>
      </c>
      <c r="H1856" t="str">
        <f>VLOOKUP(C1856,[1]products!$A:$B,2,0)</f>
        <v>Pure Cycles Vine 8-Speed - 2016</v>
      </c>
      <c r="I1856">
        <f>VLOOKUP(H1856,[1]products!$B:$D,3,0)</f>
        <v>3</v>
      </c>
      <c r="J1856" t="str">
        <f>VLOOKUP(I1856,[2]categories!$A$2:$B$8,2,0)</f>
        <v>Cruisers Bicycles</v>
      </c>
    </row>
    <row r="1857" spans="1:10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 s="1">
        <f t="shared" si="28"/>
        <v>237.4905</v>
      </c>
      <c r="H1857" t="str">
        <f>VLOOKUP(C1857,[1]products!$A:$B,2,0)</f>
        <v>Haro Shredder Pro 20 - 2017</v>
      </c>
      <c r="I1857">
        <f>VLOOKUP(H1857,[1]products!$B:$D,3,0)</f>
        <v>1</v>
      </c>
      <c r="J1857" t="str">
        <f>VLOOKUP(I1857,[2]categories!$A$2:$B$8,2,0)</f>
        <v>Children Bicycles</v>
      </c>
    </row>
    <row r="1858" spans="1:10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0.07</v>
      </c>
      <c r="G1858" s="1">
        <f t="shared" ref="G1858:G1921" si="29">D1858*E1858*(1-F1858)</f>
        <v>387.8007</v>
      </c>
      <c r="H1858" t="str">
        <f>VLOOKUP(C1858,[1]products!$A:$B,2,0)</f>
        <v>Sun Bicycles Atlas X-Type - 2017</v>
      </c>
      <c r="I1858">
        <f>VLOOKUP(H1858,[1]products!$B:$D,3,0)</f>
        <v>3</v>
      </c>
      <c r="J1858" t="str">
        <f>VLOOKUP(I1858,[2]categories!$A$2:$B$8,2,0)</f>
        <v>Cruisers Bicycles</v>
      </c>
    </row>
    <row r="1859" spans="1:10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 s="1">
        <f t="shared" si="29"/>
        <v>359.992</v>
      </c>
      <c r="H1859" t="str">
        <f>VLOOKUP(C1859,[1]products!$A:$B,2,0)</f>
        <v>Sun Bicycles Cruz 3 - 2017</v>
      </c>
      <c r="I1859">
        <f>VLOOKUP(H1859,[1]products!$B:$D,3,0)</f>
        <v>3</v>
      </c>
      <c r="J1859" t="str">
        <f>VLOOKUP(I1859,[2]categories!$A$2:$B$8,2,0)</f>
        <v>Cruisers Bicycles</v>
      </c>
    </row>
    <row r="1860" spans="1:10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0.07</v>
      </c>
      <c r="G1860" s="1">
        <f t="shared" si="29"/>
        <v>1629.3414</v>
      </c>
      <c r="H1860" t="str">
        <f>VLOOKUP(C1860,[1]products!$A:$B,2,0)</f>
        <v>Surly Steamroller - 2017</v>
      </c>
      <c r="I1860">
        <f>VLOOKUP(H1860,[1]products!$B:$D,3,0)</f>
        <v>7</v>
      </c>
      <c r="J1860" t="str">
        <f>VLOOKUP(I1860,[2]categories!$A$2:$B$8,2,0)</f>
        <v>Road Bikes</v>
      </c>
    </row>
    <row r="1861" spans="1:10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0.07</v>
      </c>
      <c r="G1861" s="1">
        <f t="shared" si="29"/>
        <v>1228.5207</v>
      </c>
      <c r="H1861" t="str">
        <f>VLOOKUP(C1861,[1]products!$A:$B,2,0)</f>
        <v>Heller Shagamaw Frame - 2016</v>
      </c>
      <c r="I1861">
        <f>VLOOKUP(H1861,[1]products!$B:$D,3,0)</f>
        <v>6</v>
      </c>
      <c r="J1861" t="str">
        <f>VLOOKUP(I1861,[2]categories!$A$2:$B$8,2,0)</f>
        <v>Mountain Bikes</v>
      </c>
    </row>
    <row r="1862" spans="1:10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 s="1">
        <f t="shared" si="29"/>
        <v>4799.992</v>
      </c>
      <c r="H1862" t="str">
        <f>VLOOKUP(C1862,[1]products!$A:$B,2,0)</f>
        <v>Trek Silque SLR 7 Women's - 2017</v>
      </c>
      <c r="I1862">
        <f>VLOOKUP(H1862,[1]products!$B:$D,3,0)</f>
        <v>7</v>
      </c>
      <c r="J1862" t="str">
        <f>VLOOKUP(I1862,[2]categories!$A$2:$B$8,2,0)</f>
        <v>Road Bikes</v>
      </c>
    </row>
    <row r="1863" spans="1:10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 s="1">
        <f t="shared" si="29"/>
        <v>543.984</v>
      </c>
      <c r="H1863" t="str">
        <f>VLOOKUP(C1863,[1]products!$A:$B,2,0)</f>
        <v>Electra Townie 7D (20-inch) - Boys' - 2017</v>
      </c>
      <c r="I1863">
        <f>VLOOKUP(H1863,[1]products!$B:$D,3,0)</f>
        <v>1</v>
      </c>
      <c r="J1863" t="str">
        <f>VLOOKUP(I1863,[2]categories!$A$2:$B$8,2,0)</f>
        <v>Children Bicycles</v>
      </c>
    </row>
    <row r="1864" spans="1:10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0.07</v>
      </c>
      <c r="G1864" s="1">
        <f t="shared" si="29"/>
        <v>4928.9907</v>
      </c>
      <c r="H1864" t="str">
        <f>VLOOKUP(C1864,[1]products!$A:$B,2,0)</f>
        <v>Trek Remedy 9.8 - 2017</v>
      </c>
      <c r="I1864">
        <f>VLOOKUP(H1864,[1]products!$B:$D,3,0)</f>
        <v>6</v>
      </c>
      <c r="J1864" t="str">
        <f>VLOOKUP(I1864,[2]categories!$A$2:$B$8,2,0)</f>
        <v>Mountain Bikes</v>
      </c>
    </row>
    <row r="1865" spans="1:10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0.07</v>
      </c>
      <c r="G1865" s="1">
        <f t="shared" si="29"/>
        <v>4649.9907</v>
      </c>
      <c r="H1865" t="str">
        <f>VLOOKUP(C1865,[1]products!$A:$B,2,0)</f>
        <v>Trek Madone 9.2 - 2017</v>
      </c>
      <c r="I1865">
        <f>VLOOKUP(H1865,[1]products!$B:$D,3,0)</f>
        <v>7</v>
      </c>
      <c r="J1865" t="str">
        <f>VLOOKUP(I1865,[2]categories!$A$2:$B$8,2,0)</f>
        <v>Road Bikes</v>
      </c>
    </row>
    <row r="1866" spans="1:10">
      <c r="A1866">
        <v>665</v>
      </c>
      <c r="B1866">
        <v>2</v>
      </c>
      <c r="C1866">
        <v>42</v>
      </c>
      <c r="D1866">
        <v>2</v>
      </c>
      <c r="E1866">
        <v>2299.99</v>
      </c>
      <c r="F1866">
        <v>0.2</v>
      </c>
      <c r="G1866" s="1">
        <f t="shared" si="29"/>
        <v>3679.984</v>
      </c>
      <c r="H1866" t="str">
        <f>VLOOKUP(C1866,[1]products!$A:$B,2,0)</f>
        <v>Trek Fuel EX 5 27.5 Plus - 2017</v>
      </c>
      <c r="I1866">
        <f>VLOOKUP(H1866,[1]products!$B:$D,3,0)</f>
        <v>6</v>
      </c>
      <c r="J1866" t="str">
        <f>VLOOKUP(I1866,[2]categories!$A$2:$B$8,2,0)</f>
        <v>Mountain Bikes</v>
      </c>
    </row>
    <row r="1867" spans="1:10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 s="1">
        <f t="shared" si="29"/>
        <v>949.981</v>
      </c>
      <c r="H1867" t="str">
        <f>VLOOKUP(C1867,[1]products!$A:$B,2,0)</f>
        <v>Electra Townie Original 7D - 2015/2016</v>
      </c>
      <c r="I1867">
        <f>VLOOKUP(H1867,[1]products!$B:$D,3,0)</f>
        <v>2</v>
      </c>
      <c r="J1867" t="str">
        <f>VLOOKUP(I1867,[2]categories!$A$2:$B$8,2,0)</f>
        <v>Comfort Bicycles</v>
      </c>
    </row>
    <row r="1868" spans="1:10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 s="1">
        <f t="shared" si="29"/>
        <v>783.984</v>
      </c>
      <c r="H1868" t="str">
        <f>VLOOKUP(C1868,[1]products!$A:$B,2,0)</f>
        <v>Electra Straight 8 3i (20-inch) - Boy's - 2017</v>
      </c>
      <c r="I1868">
        <f>VLOOKUP(H1868,[1]products!$B:$D,3,0)</f>
        <v>1</v>
      </c>
      <c r="J1868" t="str">
        <f>VLOOKUP(I1868,[2]categories!$A$2:$B$8,2,0)</f>
        <v>Children Bicycles</v>
      </c>
    </row>
    <row r="1869" spans="1:10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 s="1">
        <f t="shared" si="29"/>
        <v>1424.9905</v>
      </c>
      <c r="H1869" t="str">
        <f>VLOOKUP(C1869,[1]products!$A:$B,2,0)</f>
        <v>Trek Stache 5 - 2017</v>
      </c>
      <c r="I1869">
        <f>VLOOKUP(H1869,[1]products!$B:$D,3,0)</f>
        <v>6</v>
      </c>
      <c r="J1869" t="str">
        <f>VLOOKUP(I1869,[2]categories!$A$2:$B$8,2,0)</f>
        <v>Mountain Bikes</v>
      </c>
    </row>
    <row r="1870" spans="1:10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 s="1">
        <f t="shared" si="29"/>
        <v>322.392</v>
      </c>
      <c r="H1870" t="str">
        <f>VLOOKUP(C1870,[1]products!$A:$B,2,0)</f>
        <v>Sun Bicycles Boardwalk (24-inch Wheels) - 2017</v>
      </c>
      <c r="I1870">
        <f>VLOOKUP(H1870,[1]products!$B:$D,3,0)</f>
        <v>3</v>
      </c>
      <c r="J1870" t="str">
        <f>VLOOKUP(I1870,[2]categories!$A$2:$B$8,2,0)</f>
        <v>Cruisers Bicycles</v>
      </c>
    </row>
    <row r="1871" spans="1:10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 s="1">
        <f t="shared" si="29"/>
        <v>98.991</v>
      </c>
      <c r="H1871" t="str">
        <f>VLOOKUP(C1871,[1]products!$A:$B,2,0)</f>
        <v>Sun Bicycles Lil Kitt'n - 2017</v>
      </c>
      <c r="I1871">
        <f>VLOOKUP(H1871,[1]products!$B:$D,3,0)</f>
        <v>1</v>
      </c>
      <c r="J1871" t="str">
        <f>VLOOKUP(I1871,[2]categories!$A$2:$B$8,2,0)</f>
        <v>Children Bicycles</v>
      </c>
    </row>
    <row r="1872" spans="1:10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 s="1">
        <f t="shared" si="29"/>
        <v>799.992</v>
      </c>
      <c r="H1872" t="str">
        <f>VLOOKUP(C1872,[1]products!$A:$B,2,0)</f>
        <v>Surly Wednesday Frameset - 2016</v>
      </c>
      <c r="I1872">
        <f>VLOOKUP(H1872,[1]products!$B:$D,3,0)</f>
        <v>6</v>
      </c>
      <c r="J1872" t="str">
        <f>VLOOKUP(I1872,[2]categories!$A$2:$B$8,2,0)</f>
        <v>Mountain Bikes</v>
      </c>
    </row>
    <row r="1873" spans="1:10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 s="1">
        <f t="shared" si="29"/>
        <v>269.991</v>
      </c>
      <c r="H1873" t="str">
        <f>VLOOKUP(C1873,[1]products!$A:$B,2,0)</f>
        <v>Electra Sugar Skulls 1 (20-inch) - Girl's - 2017</v>
      </c>
      <c r="I1873">
        <f>VLOOKUP(H1873,[1]products!$B:$D,3,0)</f>
        <v>1</v>
      </c>
      <c r="J1873" t="str">
        <f>VLOOKUP(I1873,[2]categories!$A$2:$B$8,2,0)</f>
        <v>Children Bicycles</v>
      </c>
    </row>
    <row r="1874" spans="1:10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 s="1">
        <f t="shared" si="29"/>
        <v>313.4905</v>
      </c>
      <c r="H1874" t="str">
        <f>VLOOKUP(C1874,[1]products!$A:$B,2,0)</f>
        <v>Haro Downtown 16 - 2017</v>
      </c>
      <c r="I1874">
        <f>VLOOKUP(H1874,[1]products!$B:$D,3,0)</f>
        <v>1</v>
      </c>
      <c r="J1874" t="str">
        <f>VLOOKUP(I1874,[2]categories!$A$2:$B$8,2,0)</f>
        <v>Children Bicycles</v>
      </c>
    </row>
    <row r="1875" spans="1:10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 s="1">
        <f t="shared" si="29"/>
        <v>2849.981</v>
      </c>
      <c r="H1875" t="str">
        <f>VLOOKUP(C1875,[1]products!$A:$B,2,0)</f>
        <v>Trek Emonda S 4 - 2017</v>
      </c>
      <c r="I1875">
        <f>VLOOKUP(H1875,[1]products!$B:$D,3,0)</f>
        <v>7</v>
      </c>
      <c r="J1875" t="str">
        <f>VLOOKUP(I1875,[2]categories!$A$2:$B$8,2,0)</f>
        <v>Road Bikes</v>
      </c>
    </row>
    <row r="1876" spans="1:10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 s="1">
        <f t="shared" si="29"/>
        <v>808.2</v>
      </c>
      <c r="H1876" t="str">
        <f>VLOOKUP(C1876,[1]products!$A:$B,2,0)</f>
        <v>Pure Cycles William 3-Speed - 2016</v>
      </c>
      <c r="I1876">
        <f>VLOOKUP(H1876,[1]products!$B:$D,3,0)</f>
        <v>3</v>
      </c>
      <c r="J1876" t="str">
        <f>VLOOKUP(I1876,[2]categories!$A$2:$B$8,2,0)</f>
        <v>Cruisers Bicycles</v>
      </c>
    </row>
    <row r="1877" spans="1:10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0.07</v>
      </c>
      <c r="G1877" s="1">
        <f t="shared" si="29"/>
        <v>1115.9814</v>
      </c>
      <c r="H1877" t="str">
        <f>VLOOKUP(C1877,[1]products!$A:$B,2,0)</f>
        <v>Electra Townie Original 7D EQ - 2016</v>
      </c>
      <c r="I1877">
        <f>VLOOKUP(H1877,[1]products!$B:$D,3,0)</f>
        <v>3</v>
      </c>
      <c r="J1877" t="str">
        <f>VLOOKUP(I1877,[2]categories!$A$2:$B$8,2,0)</f>
        <v>Cruisers Bicycles</v>
      </c>
    </row>
    <row r="1878" spans="1:10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0.07</v>
      </c>
      <c r="G1878" s="1">
        <f t="shared" si="29"/>
        <v>576.5907</v>
      </c>
      <c r="H1878" t="str">
        <f>VLOOKUP(C1878,[1]products!$A:$B,2,0)</f>
        <v>Sun Bicycles Biscayne Tandem 7 - 2017</v>
      </c>
      <c r="I1878">
        <f>VLOOKUP(H1878,[1]products!$B:$D,3,0)</f>
        <v>3</v>
      </c>
      <c r="J1878" t="str">
        <f>VLOOKUP(I1878,[2]categories!$A$2:$B$8,2,0)</f>
        <v>Cruisers Bicycles</v>
      </c>
    </row>
    <row r="1879" spans="1:10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 s="1">
        <f t="shared" si="29"/>
        <v>404.991</v>
      </c>
      <c r="H1879" t="str">
        <f>VLOOKUP(C1879,[1]products!$A:$B,2,0)</f>
        <v>Sun Bicycles Cruz 3 - Women's - 2017</v>
      </c>
      <c r="I1879">
        <f>VLOOKUP(H1879,[1]products!$B:$D,3,0)</f>
        <v>2</v>
      </c>
      <c r="J1879" t="str">
        <f>VLOOKUP(I1879,[2]categories!$A$2:$B$8,2,0)</f>
        <v>Comfort Bicycles</v>
      </c>
    </row>
    <row r="1880" spans="1:10">
      <c r="A1880">
        <v>670</v>
      </c>
      <c r="B1880">
        <v>2</v>
      </c>
      <c r="C1880">
        <v>28</v>
      </c>
      <c r="D1880">
        <v>1</v>
      </c>
      <c r="E1880">
        <v>2499.99</v>
      </c>
      <c r="F1880">
        <v>0.07</v>
      </c>
      <c r="G1880" s="1">
        <f t="shared" si="29"/>
        <v>2324.9907</v>
      </c>
      <c r="H1880" t="str">
        <f>VLOOKUP(C1880,[1]products!$A:$B,2,0)</f>
        <v>Surly Karate Monkey 27.5+ Frameset - 2017</v>
      </c>
      <c r="I1880">
        <f>VLOOKUP(H1880,[1]products!$B:$D,3,0)</f>
        <v>6</v>
      </c>
      <c r="J1880" t="str">
        <f>VLOOKUP(I1880,[2]categories!$A$2:$B$8,2,0)</f>
        <v>Mountain Bikes</v>
      </c>
    </row>
    <row r="1881" spans="1:10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 s="1">
        <f t="shared" si="29"/>
        <v>771.184</v>
      </c>
      <c r="H1881" t="str">
        <f>VLOOKUP(C1881,[1]products!$A:$B,2,0)</f>
        <v>Sun Bicycles Streamway - 2017</v>
      </c>
      <c r="I1881">
        <f>VLOOKUP(H1881,[1]products!$B:$D,3,0)</f>
        <v>2</v>
      </c>
      <c r="J1881" t="str">
        <f>VLOOKUP(I1881,[2]categories!$A$2:$B$8,2,0)</f>
        <v>Comfort Bicycles</v>
      </c>
    </row>
    <row r="1882" spans="1:10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 s="1">
        <f t="shared" si="29"/>
        <v>1652.981</v>
      </c>
      <c r="H1882" t="str">
        <f>VLOOKUP(C1882,[1]products!$A:$B,2,0)</f>
        <v>Haro SR 1.2 - 2017</v>
      </c>
      <c r="I1882">
        <f>VLOOKUP(H1882,[1]products!$B:$D,3,0)</f>
        <v>6</v>
      </c>
      <c r="J1882" t="str">
        <f>VLOOKUP(I1882,[2]categories!$A$2:$B$8,2,0)</f>
        <v>Mountain Bikes</v>
      </c>
    </row>
    <row r="1883" spans="1:10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 s="1">
        <f t="shared" si="29"/>
        <v>949.9905</v>
      </c>
      <c r="H1883" t="str">
        <f>VLOOKUP(C1883,[1]products!$A:$B,2,0)</f>
        <v>Surly Ice Cream Truck Frameset - 2017</v>
      </c>
      <c r="I1883">
        <f>VLOOKUP(H1883,[1]products!$B:$D,3,0)</f>
        <v>6</v>
      </c>
      <c r="J1883" t="str">
        <f>VLOOKUP(I1883,[2]categories!$A$2:$B$8,2,0)</f>
        <v>Mountain Bikes</v>
      </c>
    </row>
    <row r="1884" spans="1:10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 s="1">
        <f t="shared" si="29"/>
        <v>396.1405</v>
      </c>
      <c r="H1884" t="str">
        <f>VLOOKUP(C1884,[1]products!$A:$B,2,0)</f>
        <v>Sun Bicycles Cruz 7 - 2017</v>
      </c>
      <c r="I1884">
        <f>VLOOKUP(H1884,[1]products!$B:$D,3,0)</f>
        <v>3</v>
      </c>
      <c r="J1884" t="str">
        <f>VLOOKUP(I1884,[2]categories!$A$2:$B$8,2,0)</f>
        <v>Cruisers Bicycles</v>
      </c>
    </row>
    <row r="1885" spans="1:10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 s="1">
        <f t="shared" si="29"/>
        <v>2159.992</v>
      </c>
      <c r="H1885" t="str">
        <f>VLOOKUP(C1885,[1]products!$A:$B,2,0)</f>
        <v>Trek Domane S 6 - 2017</v>
      </c>
      <c r="I1885">
        <f>VLOOKUP(H1885,[1]products!$B:$D,3,0)</f>
        <v>7</v>
      </c>
      <c r="J1885" t="str">
        <f>VLOOKUP(I1885,[2]categories!$A$2:$B$8,2,0)</f>
        <v>Road Bikes</v>
      </c>
    </row>
    <row r="1886" spans="1:10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0.07</v>
      </c>
      <c r="G1886" s="1">
        <f t="shared" si="29"/>
        <v>2696.9907</v>
      </c>
      <c r="H1886" t="str">
        <f>VLOOKUP(C1886,[1]products!$A:$B,2,0)</f>
        <v>Trek Fuel EX 8 29 - 2016</v>
      </c>
      <c r="I1886">
        <f>VLOOKUP(H1886,[1]products!$B:$D,3,0)</f>
        <v>6</v>
      </c>
      <c r="J1886" t="str">
        <f>VLOOKUP(I1886,[2]categories!$A$2:$B$8,2,0)</f>
        <v>Mountain Bikes</v>
      </c>
    </row>
    <row r="1887" spans="1:10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0.07</v>
      </c>
      <c r="G1887" s="1">
        <f t="shared" si="29"/>
        <v>775.6014</v>
      </c>
      <c r="H1887" t="str">
        <f>VLOOKUP(C1887,[1]products!$A:$B,2,0)</f>
        <v>Sun Bicycles Cruz 7 - Women's - 2017</v>
      </c>
      <c r="I1887">
        <f>VLOOKUP(H1887,[1]products!$B:$D,3,0)</f>
        <v>2</v>
      </c>
      <c r="J1887" t="str">
        <f>VLOOKUP(I1887,[2]categories!$A$2:$B$8,2,0)</f>
        <v>Comfort Bicycles</v>
      </c>
    </row>
    <row r="1888" spans="1:10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0.07</v>
      </c>
      <c r="G1888" s="1">
        <f t="shared" si="29"/>
        <v>12089.9814</v>
      </c>
      <c r="H1888" t="str">
        <f>VLOOKUP(C1888,[1]products!$A:$B,2,0)</f>
        <v>Trek Silque SLR 8 Women's - 2017</v>
      </c>
      <c r="I1888">
        <f>VLOOKUP(H1888,[1]products!$B:$D,3,0)</f>
        <v>7</v>
      </c>
      <c r="J1888" t="str">
        <f>VLOOKUP(I1888,[2]categories!$A$2:$B$8,2,0)</f>
        <v>Road Bikes</v>
      </c>
    </row>
    <row r="1889" spans="1:10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 s="1">
        <f t="shared" si="29"/>
        <v>559.984</v>
      </c>
      <c r="H1889" t="str">
        <f>VLOOKUP(C1889,[1]products!$A:$B,2,0)</f>
        <v>Electra Moto 3i (20-inch) - Boy's - 2017</v>
      </c>
      <c r="I1889">
        <f>VLOOKUP(H1889,[1]products!$B:$D,3,0)</f>
        <v>1</v>
      </c>
      <c r="J1889" t="str">
        <f>VLOOKUP(I1889,[2]categories!$A$2:$B$8,2,0)</f>
        <v>Children Bicycles</v>
      </c>
    </row>
    <row r="1890" spans="1:10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0.07</v>
      </c>
      <c r="G1890" s="1">
        <f t="shared" si="29"/>
        <v>2789.9814</v>
      </c>
      <c r="H1890" t="str">
        <f>VLOOKUP(C1890,[1]products!$A:$B,2,0)</f>
        <v>Trek Emonda S 4 - 2017</v>
      </c>
      <c r="I1890">
        <f>VLOOKUP(H1890,[1]products!$B:$D,3,0)</f>
        <v>7</v>
      </c>
      <c r="J1890" t="str">
        <f>VLOOKUP(I1890,[2]categories!$A$2:$B$8,2,0)</f>
        <v>Road Bikes</v>
      </c>
    </row>
    <row r="1891" spans="1:10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 s="1">
        <f t="shared" si="29"/>
        <v>200.792</v>
      </c>
      <c r="H1891" t="str">
        <f>VLOOKUP(C1891,[1]products!$A:$B,2,0)</f>
        <v>Sun Bicycles Revolutions 24 - 2017</v>
      </c>
      <c r="I1891">
        <f>VLOOKUP(H1891,[1]products!$B:$D,3,0)</f>
        <v>3</v>
      </c>
      <c r="J1891" t="str">
        <f>VLOOKUP(I1891,[2]categories!$A$2:$B$8,2,0)</f>
        <v>Cruisers Bicycles</v>
      </c>
    </row>
    <row r="1892" spans="1:10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 s="1">
        <f t="shared" si="29"/>
        <v>439.992</v>
      </c>
      <c r="H1892" t="str">
        <f>VLOOKUP(C1892,[1]products!$A:$B,2,0)</f>
        <v>Haro Flightline Two 26 Plus - 2017</v>
      </c>
      <c r="I1892">
        <f>VLOOKUP(H1892,[1]products!$B:$D,3,0)</f>
        <v>6</v>
      </c>
      <c r="J1892" t="str">
        <f>VLOOKUP(I1892,[2]categories!$A$2:$B$8,2,0)</f>
        <v>Mountain Bikes</v>
      </c>
    </row>
    <row r="1893" spans="1:10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0.07</v>
      </c>
      <c r="G1893" s="1">
        <f t="shared" si="29"/>
        <v>1228.5207</v>
      </c>
      <c r="H1893" t="str">
        <f>VLOOKUP(C1893,[1]products!$A:$B,2,0)</f>
        <v>Heller Shagamaw Frame - 2016</v>
      </c>
      <c r="I1893">
        <f>VLOOKUP(H1893,[1]products!$B:$D,3,0)</f>
        <v>6</v>
      </c>
      <c r="J1893" t="str">
        <f>VLOOKUP(I1893,[2]categories!$A$2:$B$8,2,0)</f>
        <v>Mountain Bikes</v>
      </c>
    </row>
    <row r="1894" spans="1:10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 s="1">
        <f t="shared" si="29"/>
        <v>242.991</v>
      </c>
      <c r="H1894" t="str">
        <f>VLOOKUP(C1894,[1]products!$A:$B,2,0)</f>
        <v>Electra Cruiser 1 (24-Inch) - 2016</v>
      </c>
      <c r="I1894">
        <f>VLOOKUP(H1894,[1]products!$B:$D,3,0)</f>
        <v>3</v>
      </c>
      <c r="J1894" t="str">
        <f>VLOOKUP(I1894,[2]categories!$A$2:$B$8,2,0)</f>
        <v>Cruisers Bicycles</v>
      </c>
    </row>
    <row r="1895" spans="1:10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 s="1">
        <f t="shared" si="29"/>
        <v>959.984</v>
      </c>
      <c r="H1895" t="str">
        <f>VLOOKUP(C1895,[1]products!$A:$B,2,0)</f>
        <v>Electra Townie Original 7D EQ - 2016</v>
      </c>
      <c r="I1895">
        <f>VLOOKUP(H1895,[1]products!$B:$D,3,0)</f>
        <v>3</v>
      </c>
      <c r="J1895" t="str">
        <f>VLOOKUP(I1895,[2]categories!$A$2:$B$8,2,0)</f>
        <v>Cruisers Bicycles</v>
      </c>
    </row>
    <row r="1896" spans="1:10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 s="1">
        <f t="shared" si="29"/>
        <v>407.55</v>
      </c>
      <c r="H1896" t="str">
        <f>VLOOKUP(C1896,[1]products!$A:$B,2,0)</f>
        <v>Pure Cycles Vine 8-Speed - 2016</v>
      </c>
      <c r="I1896">
        <f>VLOOKUP(H1896,[1]products!$B:$D,3,0)</f>
        <v>3</v>
      </c>
      <c r="J1896" t="str">
        <f>VLOOKUP(I1896,[2]categories!$A$2:$B$8,2,0)</f>
        <v>Cruisers Bicycles</v>
      </c>
    </row>
    <row r="1897" spans="1:10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 s="1">
        <f t="shared" si="29"/>
        <v>398.981</v>
      </c>
      <c r="H1897" t="str">
        <f>VLOOKUP(C1897,[1]products!$A:$B,2,0)</f>
        <v>Trek Precaliber 16 Boys - 2017</v>
      </c>
      <c r="I1897">
        <f>VLOOKUP(H1897,[1]products!$B:$D,3,0)</f>
        <v>1</v>
      </c>
      <c r="J1897" t="str">
        <f>VLOOKUP(I1897,[2]categories!$A$2:$B$8,2,0)</f>
        <v>Children Bicycles</v>
      </c>
    </row>
    <row r="1898" spans="1:10">
      <c r="A1898">
        <v>675</v>
      </c>
      <c r="B1898">
        <v>3</v>
      </c>
      <c r="C1898">
        <v>19</v>
      </c>
      <c r="D1898">
        <v>1</v>
      </c>
      <c r="E1898">
        <v>449</v>
      </c>
      <c r="F1898">
        <v>0.07</v>
      </c>
      <c r="G1898" s="1">
        <f t="shared" si="29"/>
        <v>417.57</v>
      </c>
      <c r="H1898" t="str">
        <f>VLOOKUP(C1898,[1]products!$A:$B,2,0)</f>
        <v>Pure Cycles William 3-Speed - 2016</v>
      </c>
      <c r="I1898">
        <f>VLOOKUP(H1898,[1]products!$B:$D,3,0)</f>
        <v>3</v>
      </c>
      <c r="J1898" t="str">
        <f>VLOOKUP(I1898,[2]categories!$A$2:$B$8,2,0)</f>
        <v>Cruisers Bicycles</v>
      </c>
    </row>
    <row r="1899" spans="1:10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 s="1">
        <f t="shared" si="29"/>
        <v>375.992</v>
      </c>
      <c r="H1899" t="str">
        <f>VLOOKUP(C1899,[1]products!$A:$B,2,0)</f>
        <v>Trek Farley Alloy Frameset - 2017</v>
      </c>
      <c r="I1899">
        <f>VLOOKUP(H1899,[1]products!$B:$D,3,0)</f>
        <v>6</v>
      </c>
      <c r="J1899" t="str">
        <f>VLOOKUP(I1899,[2]categories!$A$2:$B$8,2,0)</f>
        <v>Mountain Bikes</v>
      </c>
    </row>
    <row r="1900" spans="1:10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 s="1">
        <f t="shared" si="29"/>
        <v>527.992</v>
      </c>
      <c r="H1900" t="str">
        <f>VLOOKUP(C1900,[1]products!$A:$B,2,0)</f>
        <v>Electra Amsterdam Original 3i - 2015/2017</v>
      </c>
      <c r="I1900">
        <f>VLOOKUP(H1900,[1]products!$B:$D,3,0)</f>
        <v>3</v>
      </c>
      <c r="J1900" t="str">
        <f>VLOOKUP(I1900,[2]categories!$A$2:$B$8,2,0)</f>
        <v>Cruisers Bicycles</v>
      </c>
    </row>
    <row r="1901" spans="1:10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0.07</v>
      </c>
      <c r="G1901" s="1">
        <f t="shared" si="29"/>
        <v>896.5014</v>
      </c>
      <c r="H1901" t="str">
        <f>VLOOKUP(C1901,[1]products!$A:$B,2,0)</f>
        <v>Sun Bicycles Streamway - 2017</v>
      </c>
      <c r="I1901">
        <f>VLOOKUP(H1901,[1]products!$B:$D,3,0)</f>
        <v>2</v>
      </c>
      <c r="J1901" t="str">
        <f>VLOOKUP(I1901,[2]categories!$A$2:$B$8,2,0)</f>
        <v>Comfort Bicycles</v>
      </c>
    </row>
    <row r="1902" spans="1:10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 s="1">
        <f t="shared" si="29"/>
        <v>494.991</v>
      </c>
      <c r="H1902" t="str">
        <f>VLOOKUP(C1902,[1]products!$A:$B,2,0)</f>
        <v>Electra Townie Original 21D - 2016</v>
      </c>
      <c r="I1902">
        <f>VLOOKUP(H1902,[1]products!$B:$D,3,0)</f>
        <v>3</v>
      </c>
      <c r="J1902" t="str">
        <f>VLOOKUP(I1902,[2]categories!$A$2:$B$8,2,0)</f>
        <v>Cruisers Bicycles</v>
      </c>
    </row>
    <row r="1903" spans="1:10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 s="1">
        <f t="shared" si="29"/>
        <v>799.992</v>
      </c>
      <c r="H1903" t="str">
        <f>VLOOKUP(C1903,[1]products!$A:$B,2,0)</f>
        <v>Trek X-Caliber 8 - 2017</v>
      </c>
      <c r="I1903">
        <f>VLOOKUP(H1903,[1]products!$B:$D,3,0)</f>
        <v>6</v>
      </c>
      <c r="J1903" t="str">
        <f>VLOOKUP(I1903,[2]categories!$A$2:$B$8,2,0)</f>
        <v>Mountain Bikes</v>
      </c>
    </row>
    <row r="1904" spans="1:10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0.07</v>
      </c>
      <c r="G1904" s="1">
        <f t="shared" si="29"/>
        <v>557.9907</v>
      </c>
      <c r="H1904" t="str">
        <f>VLOOKUP(C1904,[1]products!$A:$B,2,0)</f>
        <v>Electra Cruiser Lux Fat Tire 1 Ladies - 2017</v>
      </c>
      <c r="I1904">
        <f>VLOOKUP(H1904,[1]products!$B:$D,3,0)</f>
        <v>3</v>
      </c>
      <c r="J1904" t="str">
        <f>VLOOKUP(I1904,[2]categories!$A$2:$B$8,2,0)</f>
        <v>Cruisers Bicycles</v>
      </c>
    </row>
    <row r="1905" spans="1:10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0.07</v>
      </c>
      <c r="G1905" s="1">
        <f t="shared" si="29"/>
        <v>7439.9814</v>
      </c>
      <c r="H1905" t="str">
        <f>VLOOKUP(C1905,[1]products!$A:$B,2,0)</f>
        <v>Trek Slash 8 27.5 - 2016</v>
      </c>
      <c r="I1905">
        <f>VLOOKUP(H1905,[1]products!$B:$D,3,0)</f>
        <v>6</v>
      </c>
      <c r="J1905" t="str">
        <f>VLOOKUP(I1905,[2]categories!$A$2:$B$8,2,0)</f>
        <v>Mountain Bikes</v>
      </c>
    </row>
    <row r="1906" spans="1:10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0.07</v>
      </c>
      <c r="G1906" s="1">
        <f t="shared" si="29"/>
        <v>993.2214</v>
      </c>
      <c r="H1906" t="str">
        <f>VLOOKUP(C1906,[1]products!$A:$B,2,0)</f>
        <v>Sun Bicycles Streamway 7 - 2017</v>
      </c>
      <c r="I1906">
        <f>VLOOKUP(H1906,[1]products!$B:$D,3,0)</f>
        <v>2</v>
      </c>
      <c r="J1906" t="str">
        <f>VLOOKUP(I1906,[2]categories!$A$2:$B$8,2,0)</f>
        <v>Comfort Bicycles</v>
      </c>
    </row>
    <row r="1907" spans="1:10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 s="1">
        <f t="shared" si="29"/>
        <v>664.981</v>
      </c>
      <c r="H1907" t="str">
        <f>VLOOKUP(C1907,[1]products!$A:$B,2,0)</f>
        <v>Trek Precaliber 24 (21-Speed) - Girls - 2017</v>
      </c>
      <c r="I1907">
        <f>VLOOKUP(H1907,[1]products!$B:$D,3,0)</f>
        <v>1</v>
      </c>
      <c r="J1907" t="str">
        <f>VLOOKUP(I1907,[2]categories!$A$2:$B$8,2,0)</f>
        <v>Children Bicycles</v>
      </c>
    </row>
    <row r="1908" spans="1:10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 s="1">
        <f t="shared" si="29"/>
        <v>5759.982</v>
      </c>
      <c r="H1908" t="str">
        <f>VLOOKUP(C1908,[1]products!$A:$B,2,0)</f>
        <v>Trek Domane SL Disc Frameset - 2017</v>
      </c>
      <c r="I1908">
        <f>VLOOKUP(H1908,[1]products!$B:$D,3,0)</f>
        <v>7</v>
      </c>
      <c r="J1908" t="str">
        <f>VLOOKUP(I1908,[2]categories!$A$2:$B$8,2,0)</f>
        <v>Road Bikes</v>
      </c>
    </row>
    <row r="1909" spans="1:10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 s="1">
        <f t="shared" si="29"/>
        <v>1664.381</v>
      </c>
      <c r="H1909" t="str">
        <f>VLOOKUP(C1909,[1]products!$A:$B,2,0)</f>
        <v>Surly Steamroller - 2017</v>
      </c>
      <c r="I1909">
        <f>VLOOKUP(H1909,[1]products!$B:$D,3,0)</f>
        <v>7</v>
      </c>
      <c r="J1909" t="str">
        <f>VLOOKUP(I1909,[2]categories!$A$2:$B$8,2,0)</f>
        <v>Road Bikes</v>
      </c>
    </row>
    <row r="1910" spans="1:10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0.07</v>
      </c>
      <c r="G1910" s="1">
        <f t="shared" si="29"/>
        <v>706.7814</v>
      </c>
      <c r="H1910" t="str">
        <f>VLOOKUP(C1910,[1]products!$A:$B,2,0)</f>
        <v>Haro Flightline One ST - 2017</v>
      </c>
      <c r="I1910">
        <f>VLOOKUP(H1910,[1]products!$B:$D,3,0)</f>
        <v>6</v>
      </c>
      <c r="J1910" t="str">
        <f>VLOOKUP(I1910,[2]categories!$A$2:$B$8,2,0)</f>
        <v>Mountain Bikes</v>
      </c>
    </row>
    <row r="1911" spans="1:10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 s="1">
        <f t="shared" si="29"/>
        <v>847.984</v>
      </c>
      <c r="H1911" t="str">
        <f>VLOOKUP(C1911,[1]products!$A:$B,2,0)</f>
        <v>Electra Moto 1 - 2016</v>
      </c>
      <c r="I1911">
        <f>VLOOKUP(H1911,[1]products!$B:$D,3,0)</f>
        <v>3</v>
      </c>
      <c r="J1911" t="str">
        <f>VLOOKUP(I1911,[2]categories!$A$2:$B$8,2,0)</f>
        <v>Cruisers Bicycles</v>
      </c>
    </row>
    <row r="1912" spans="1:10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 s="1">
        <f t="shared" si="29"/>
        <v>284.981</v>
      </c>
      <c r="H1912" t="str">
        <f>VLOOKUP(C1912,[1]products!$A:$B,2,0)</f>
        <v>Trek Boy's Kickster - 2015/2017</v>
      </c>
      <c r="I1912">
        <f>VLOOKUP(H1912,[1]products!$B:$D,3,0)</f>
        <v>1</v>
      </c>
      <c r="J1912" t="str">
        <f>VLOOKUP(I1912,[2]categories!$A$2:$B$8,2,0)</f>
        <v>Children Bicycles</v>
      </c>
    </row>
    <row r="1913" spans="1:10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 s="1">
        <f t="shared" si="29"/>
        <v>2089.981</v>
      </c>
      <c r="H1913" t="str">
        <f>VLOOKUP(C1913,[1]products!$A:$B,2,0)</f>
        <v>Electra Amsterdam Fashion 7i Ladies' - 2017</v>
      </c>
      <c r="I1913">
        <f>VLOOKUP(H1913,[1]products!$B:$D,3,0)</f>
        <v>3</v>
      </c>
      <c r="J1913" t="str">
        <f>VLOOKUP(I1913,[2]categories!$A$2:$B$8,2,0)</f>
        <v>Cruisers Bicycles</v>
      </c>
    </row>
    <row r="1914" spans="1:10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 s="1">
        <f t="shared" si="29"/>
        <v>3199.992</v>
      </c>
      <c r="H1914" t="str">
        <f>VLOOKUP(C1914,[1]products!$A:$B,2,0)</f>
        <v>Trek Slash 8 27.5 - 2016</v>
      </c>
      <c r="I1914">
        <f>VLOOKUP(H1914,[1]products!$B:$D,3,0)</f>
        <v>6</v>
      </c>
      <c r="J1914" t="str">
        <f>VLOOKUP(I1914,[2]categories!$A$2:$B$8,2,0)</f>
        <v>Mountain Bikes</v>
      </c>
    </row>
    <row r="1915" spans="1:10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0.07</v>
      </c>
      <c r="G1915" s="1">
        <f t="shared" si="29"/>
        <v>5579.9907</v>
      </c>
      <c r="H1915" t="str">
        <f>VLOOKUP(C1915,[1]products!$A:$B,2,0)</f>
        <v>Trek Silque SLR 7 Women's - 2017</v>
      </c>
      <c r="I1915">
        <f>VLOOKUP(H1915,[1]products!$B:$D,3,0)</f>
        <v>7</v>
      </c>
      <c r="J1915" t="str">
        <f>VLOOKUP(I1915,[2]categories!$A$2:$B$8,2,0)</f>
        <v>Road Bikes</v>
      </c>
    </row>
    <row r="1916" spans="1:10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 s="1">
        <f t="shared" si="29"/>
        <v>626.9905</v>
      </c>
      <c r="H1916" t="str">
        <f>VLOOKUP(C1916,[1]products!$A:$B,2,0)</f>
        <v>Electra Amsterdam Original 3i Ladies' - 2017</v>
      </c>
      <c r="I1916">
        <f>VLOOKUP(H1916,[1]products!$B:$D,3,0)</f>
        <v>3</v>
      </c>
      <c r="J1916" t="str">
        <f>VLOOKUP(I1916,[2]categories!$A$2:$B$8,2,0)</f>
        <v>Cruisers Bicycles</v>
      </c>
    </row>
    <row r="1917" spans="1:10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0.07</v>
      </c>
      <c r="G1917" s="1">
        <f t="shared" si="29"/>
        <v>3254.9907</v>
      </c>
      <c r="H1917" t="str">
        <f>VLOOKUP(C1917,[1]products!$A:$B,2,0)</f>
        <v>Trek Boone Race Shop Limited - 2017</v>
      </c>
      <c r="I1917">
        <f>VLOOKUP(H1917,[1]products!$B:$D,3,0)</f>
        <v>4</v>
      </c>
      <c r="J1917" t="str">
        <f>VLOOKUP(I1917,[2]categories!$A$2:$B$8,2,0)</f>
        <v>Cyclocross Bicycles</v>
      </c>
    </row>
    <row r="1918" spans="1:10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 s="1">
        <f t="shared" si="29"/>
        <v>3999.992</v>
      </c>
      <c r="H1918" t="str">
        <f>VLOOKUP(C1918,[1]products!$A:$B,2,0)</f>
        <v>Trek Powerfly 8 FS Plus - 2017</v>
      </c>
      <c r="I1918">
        <f>VLOOKUP(H1918,[1]products!$B:$D,3,0)</f>
        <v>5</v>
      </c>
      <c r="J1918" t="str">
        <f>VLOOKUP(I1918,[2]categories!$A$2:$B$8,2,0)</f>
        <v>Electric Bikes</v>
      </c>
    </row>
    <row r="1919" spans="1:10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 s="1">
        <f t="shared" si="29"/>
        <v>892.981</v>
      </c>
      <c r="H1919" t="str">
        <f>VLOOKUP(C1919,[1]products!$A:$B,2,0)</f>
        <v>Surly Ice Cream Truck Frameset - 2016</v>
      </c>
      <c r="I1919">
        <f>VLOOKUP(H1919,[1]products!$B:$D,3,0)</f>
        <v>6</v>
      </c>
      <c r="J1919" t="str">
        <f>VLOOKUP(I1919,[2]categories!$A$2:$B$8,2,0)</f>
        <v>Mountain Bikes</v>
      </c>
    </row>
    <row r="1920" spans="1:10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0.07</v>
      </c>
      <c r="G1920" s="1">
        <f t="shared" si="29"/>
        <v>929.9907</v>
      </c>
      <c r="H1920" t="str">
        <f>VLOOKUP(C1920,[1]products!$A:$B,2,0)</f>
        <v>Surly Ice Cream Truck Frameset - 2017</v>
      </c>
      <c r="I1920">
        <f>VLOOKUP(H1920,[1]products!$B:$D,3,0)</f>
        <v>6</v>
      </c>
      <c r="J1920" t="str">
        <f>VLOOKUP(I1920,[2]categories!$A$2:$B$8,2,0)</f>
        <v>Mountain Bikes</v>
      </c>
    </row>
    <row r="1921" spans="1:10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 s="1">
        <f t="shared" si="29"/>
        <v>1199.992</v>
      </c>
      <c r="H1921" t="str">
        <f>VLOOKUP(C1921,[1]products!$A:$B,2,0)</f>
        <v>Trek Stache 5 - 2017</v>
      </c>
      <c r="I1921">
        <f>VLOOKUP(H1921,[1]products!$B:$D,3,0)</f>
        <v>6</v>
      </c>
      <c r="J1921" t="str">
        <f>VLOOKUP(I1921,[2]categories!$A$2:$B$8,2,0)</f>
        <v>Mountain Bikes</v>
      </c>
    </row>
    <row r="1922" spans="1:10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 s="1">
        <f t="shared" ref="G1922:G1985" si="30">D1922*E1922*(1-F1922)</f>
        <v>2495.984</v>
      </c>
      <c r="H1922" t="str">
        <f>VLOOKUP(C1922,[1]products!$A:$B,2,0)</f>
        <v>Sun Bicycles ElectroLite - 2017</v>
      </c>
      <c r="I1922">
        <f>VLOOKUP(H1922,[1]products!$B:$D,3,0)</f>
        <v>5</v>
      </c>
      <c r="J1922" t="str">
        <f>VLOOKUP(I1922,[2]categories!$A$2:$B$8,2,0)</f>
        <v>Electric Bikes</v>
      </c>
    </row>
    <row r="1923" spans="1:10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 s="1">
        <f t="shared" si="30"/>
        <v>239.992</v>
      </c>
      <c r="H1923" t="str">
        <f>VLOOKUP(C1923,[1]products!$A:$B,2,0)</f>
        <v>Electra Sugar Skulls 1 (20-inch) - Girl's - 2017</v>
      </c>
      <c r="I1923">
        <f>VLOOKUP(H1923,[1]products!$B:$D,3,0)</f>
        <v>1</v>
      </c>
      <c r="J1923" t="str">
        <f>VLOOKUP(I1923,[2]categories!$A$2:$B$8,2,0)</f>
        <v>Children Bicycles</v>
      </c>
    </row>
    <row r="1924" spans="1:10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 s="1">
        <f t="shared" si="30"/>
        <v>1349.982</v>
      </c>
      <c r="H1924" t="str">
        <f>VLOOKUP(C1924,[1]products!$A:$B,2,0)</f>
        <v>Ritchey Timberwolf Frameset - 2016</v>
      </c>
      <c r="I1924">
        <f>VLOOKUP(H1924,[1]products!$B:$D,3,0)</f>
        <v>6</v>
      </c>
      <c r="J1924" t="str">
        <f>VLOOKUP(I1924,[2]categories!$A$2:$B$8,2,0)</f>
        <v>Mountain Bikes</v>
      </c>
    </row>
    <row r="1925" spans="1:10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0.07</v>
      </c>
      <c r="G1925" s="1">
        <f t="shared" si="30"/>
        <v>5114.9907</v>
      </c>
      <c r="H1925" t="str">
        <f>VLOOKUP(C1925,[1]products!$A:$B,2,0)</f>
        <v>Trek Domane SLR 6 Disc - 2017</v>
      </c>
      <c r="I1925">
        <f>VLOOKUP(H1925,[1]products!$B:$D,3,0)</f>
        <v>7</v>
      </c>
      <c r="J1925" t="str">
        <f>VLOOKUP(I1925,[2]categories!$A$2:$B$8,2,0)</f>
        <v>Road Bikes</v>
      </c>
    </row>
    <row r="1926" spans="1:10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 s="1">
        <f t="shared" si="30"/>
        <v>422.991</v>
      </c>
      <c r="H1926" t="str">
        <f>VLOOKUP(C1926,[1]products!$A:$B,2,0)</f>
        <v>Surly Wednesday Frameset - 2017</v>
      </c>
      <c r="I1926">
        <f>VLOOKUP(H1926,[1]products!$B:$D,3,0)</f>
        <v>6</v>
      </c>
      <c r="J1926" t="str">
        <f>VLOOKUP(I1926,[2]categories!$A$2:$B$8,2,0)</f>
        <v>Mountain Bikes</v>
      </c>
    </row>
    <row r="1927" spans="1:10">
      <c r="A1927">
        <v>685</v>
      </c>
      <c r="B1927">
        <v>1</v>
      </c>
      <c r="C1927">
        <v>59</v>
      </c>
      <c r="D1927">
        <v>1</v>
      </c>
      <c r="E1927">
        <v>2599.99</v>
      </c>
      <c r="F1927">
        <v>0.05</v>
      </c>
      <c r="G1927" s="1">
        <f t="shared" si="30"/>
        <v>2469.9905</v>
      </c>
      <c r="H1927" t="str">
        <f>VLOOKUP(C1927,[1]products!$A:$B,2,0)</f>
        <v>Trek Domane S 5 Disc - 2017</v>
      </c>
      <c r="I1927">
        <f>VLOOKUP(H1927,[1]products!$B:$D,3,0)</f>
        <v>7</v>
      </c>
      <c r="J1927" t="str">
        <f>VLOOKUP(I1927,[2]categories!$A$2:$B$8,2,0)</f>
        <v>Road Bikes</v>
      </c>
    </row>
    <row r="1928" spans="1:10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 s="1">
        <f t="shared" si="30"/>
        <v>2849.981</v>
      </c>
      <c r="H1928" t="str">
        <f>VLOOKUP(C1928,[1]products!$A:$B,2,0)</f>
        <v>Trek Emonda S 4 - 2017</v>
      </c>
      <c r="I1928">
        <f>VLOOKUP(H1928,[1]products!$B:$D,3,0)</f>
        <v>7</v>
      </c>
      <c r="J1928" t="str">
        <f>VLOOKUP(I1928,[2]categories!$A$2:$B$8,2,0)</f>
        <v>Road Bikes</v>
      </c>
    </row>
    <row r="1929" spans="1:10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 s="1">
        <f t="shared" si="30"/>
        <v>396.1405</v>
      </c>
      <c r="H1929" t="str">
        <f>VLOOKUP(C1929,[1]products!$A:$B,2,0)</f>
        <v>Sun Bicycles Cruz 7 - 2017</v>
      </c>
      <c r="I1929">
        <f>VLOOKUP(H1929,[1]products!$B:$D,3,0)</f>
        <v>3</v>
      </c>
      <c r="J1929" t="str">
        <f>VLOOKUP(I1929,[2]categories!$A$2:$B$8,2,0)</f>
        <v>Cruisers Bicycles</v>
      </c>
    </row>
    <row r="1930" spans="1:10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 s="1">
        <f t="shared" si="30"/>
        <v>783.984</v>
      </c>
      <c r="H1930" t="str">
        <f>VLOOKUP(C1930,[1]products!$A:$B,2,0)</f>
        <v>Electra Straight 8 3i (20-inch) - Boy's - 2017</v>
      </c>
      <c r="I1930">
        <f>VLOOKUP(H1930,[1]products!$B:$D,3,0)</f>
        <v>1</v>
      </c>
      <c r="J1930" t="str">
        <f>VLOOKUP(I1930,[2]categories!$A$2:$B$8,2,0)</f>
        <v>Children Bicycles</v>
      </c>
    </row>
    <row r="1931" spans="1:10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 s="1">
        <f t="shared" si="30"/>
        <v>10449.981</v>
      </c>
      <c r="H1931" t="str">
        <f>VLOOKUP(C1931,[1]products!$A:$B,2,0)</f>
        <v>Trek Domane SLR 6 Disc - 2017</v>
      </c>
      <c r="I1931">
        <f>VLOOKUP(H1931,[1]products!$B:$D,3,0)</f>
        <v>7</v>
      </c>
      <c r="J1931" t="str">
        <f>VLOOKUP(I1931,[2]categories!$A$2:$B$8,2,0)</f>
        <v>Road Bikes</v>
      </c>
    </row>
    <row r="1932" spans="1:10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 s="1">
        <f t="shared" si="30"/>
        <v>479.992</v>
      </c>
      <c r="H1932" t="str">
        <f>VLOOKUP(C1932,[1]products!$A:$B,2,0)</f>
        <v>Electra Townie Original 7D EQ - 2016</v>
      </c>
      <c r="I1932">
        <f>VLOOKUP(H1932,[1]products!$B:$D,3,0)</f>
        <v>3</v>
      </c>
      <c r="J1932" t="str">
        <f>VLOOKUP(I1932,[2]categories!$A$2:$B$8,2,0)</f>
        <v>Cruisers Bicycles</v>
      </c>
    </row>
    <row r="1933" spans="1:10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 s="1">
        <f t="shared" si="30"/>
        <v>899.991</v>
      </c>
      <c r="H1933" t="str">
        <f>VLOOKUP(C1933,[1]products!$A:$B,2,0)</f>
        <v>Surly Ice Cream Truck Frameset - 2017</v>
      </c>
      <c r="I1933">
        <f>VLOOKUP(H1933,[1]products!$B:$D,3,0)</f>
        <v>6</v>
      </c>
      <c r="J1933" t="str">
        <f>VLOOKUP(I1933,[2]categories!$A$2:$B$8,2,0)</f>
        <v>Mountain Bikes</v>
      </c>
    </row>
    <row r="1934" spans="1:10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 s="1">
        <f t="shared" si="30"/>
        <v>303.984</v>
      </c>
      <c r="H1934" t="str">
        <f>VLOOKUP(C1934,[1]products!$A:$B,2,0)</f>
        <v>Trek Precaliber 12 Girls - 2017</v>
      </c>
      <c r="I1934">
        <f>VLOOKUP(H1934,[1]products!$B:$D,3,0)</f>
        <v>1</v>
      </c>
      <c r="J1934" t="str">
        <f>VLOOKUP(I1934,[2]categories!$A$2:$B$8,2,0)</f>
        <v>Children Bicycles</v>
      </c>
    </row>
    <row r="1935" spans="1:10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 s="1">
        <f t="shared" si="30"/>
        <v>718.4</v>
      </c>
      <c r="H1935" t="str">
        <f>VLOOKUP(C1935,[1]products!$A:$B,2,0)</f>
        <v>Pure Cycles William 3-Speed - 2016</v>
      </c>
      <c r="I1935">
        <f>VLOOKUP(H1935,[1]products!$B:$D,3,0)</f>
        <v>3</v>
      </c>
      <c r="J1935" t="str">
        <f>VLOOKUP(I1935,[2]categories!$A$2:$B$8,2,0)</f>
        <v>Cruisers Bicycles</v>
      </c>
    </row>
    <row r="1936" spans="1:10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 s="1">
        <f t="shared" si="30"/>
        <v>385.592</v>
      </c>
      <c r="H1936" t="str">
        <f>VLOOKUP(C1936,[1]products!$A:$B,2,0)</f>
        <v>Sun Bicycles Streamway - 2017</v>
      </c>
      <c r="I1936">
        <f>VLOOKUP(H1936,[1]products!$B:$D,3,0)</f>
        <v>2</v>
      </c>
      <c r="J1936" t="str">
        <f>VLOOKUP(I1936,[2]categories!$A$2:$B$8,2,0)</f>
        <v>Comfort Bicycles</v>
      </c>
    </row>
    <row r="1937" spans="1:10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 s="1">
        <f t="shared" si="30"/>
        <v>2849.981</v>
      </c>
      <c r="H1937" t="str">
        <f>VLOOKUP(C1937,[1]products!$A:$B,2,0)</f>
        <v>Trek Emonda S 4 - 2017</v>
      </c>
      <c r="I1937">
        <f>VLOOKUP(H1937,[1]products!$B:$D,3,0)</f>
        <v>7</v>
      </c>
      <c r="J1937" t="str">
        <f>VLOOKUP(I1937,[2]categories!$A$2:$B$8,2,0)</f>
        <v>Road Bikes</v>
      </c>
    </row>
    <row r="1938" spans="1:10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0.07</v>
      </c>
      <c r="G1938" s="1">
        <f t="shared" si="30"/>
        <v>278.9907</v>
      </c>
      <c r="H1938" t="str">
        <f>VLOOKUP(C1938,[1]products!$A:$B,2,0)</f>
        <v>Electra Girl's Hawaii 1 16" - 2017</v>
      </c>
      <c r="I1938">
        <f>VLOOKUP(H1938,[1]products!$B:$D,3,0)</f>
        <v>3</v>
      </c>
      <c r="J1938" t="str">
        <f>VLOOKUP(I1938,[2]categories!$A$2:$B$8,2,0)</f>
        <v>Cruisers Bicycles</v>
      </c>
    </row>
    <row r="1939" spans="1:10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 s="1">
        <f t="shared" si="30"/>
        <v>2113.584</v>
      </c>
      <c r="H1939" t="str">
        <f>VLOOKUP(C1939,[1]products!$A:$B,2,0)</f>
        <v>Heller Shagamaw Frame - 2016</v>
      </c>
      <c r="I1939">
        <f>VLOOKUP(H1939,[1]products!$B:$D,3,0)</f>
        <v>6</v>
      </c>
      <c r="J1939" t="str">
        <f>VLOOKUP(I1939,[2]categories!$A$2:$B$8,2,0)</f>
        <v>Mountain Bikes</v>
      </c>
    </row>
    <row r="1940" spans="1:10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0.07</v>
      </c>
      <c r="G1940" s="1">
        <f t="shared" si="30"/>
        <v>139.4907</v>
      </c>
      <c r="H1940" t="str">
        <f>VLOOKUP(C1940,[1]products!$A:$B,2,0)</f>
        <v>Trek Boy's Kickster - 2015/2017</v>
      </c>
      <c r="I1940">
        <f>VLOOKUP(H1940,[1]products!$B:$D,3,0)</f>
        <v>1</v>
      </c>
      <c r="J1940" t="str">
        <f>VLOOKUP(I1940,[2]categories!$A$2:$B$8,2,0)</f>
        <v>Children Bicycles</v>
      </c>
    </row>
    <row r="1941" spans="1:10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 s="1">
        <f t="shared" si="30"/>
        <v>1619.991</v>
      </c>
      <c r="H1941" t="str">
        <f>VLOOKUP(C1941,[1]products!$A:$B,2,0)</f>
        <v>Trek Remedy 29 Carbon Frameset - 2016</v>
      </c>
      <c r="I1941">
        <f>VLOOKUP(H1941,[1]products!$B:$D,3,0)</f>
        <v>6</v>
      </c>
      <c r="J1941" t="str">
        <f>VLOOKUP(I1941,[2]categories!$A$2:$B$8,2,0)</f>
        <v>Mountain Bikes</v>
      </c>
    </row>
    <row r="1942" spans="1:10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 s="1">
        <f t="shared" si="30"/>
        <v>180.4905</v>
      </c>
      <c r="H1942" t="str">
        <f>VLOOKUP(C1942,[1]products!$A:$B,2,0)</f>
        <v>Trek Precaliber 12 Girls - 2017</v>
      </c>
      <c r="I1942">
        <f>VLOOKUP(H1942,[1]products!$B:$D,3,0)</f>
        <v>1</v>
      </c>
      <c r="J1942" t="str">
        <f>VLOOKUP(I1942,[2]categories!$A$2:$B$8,2,0)</f>
        <v>Children Bicycles</v>
      </c>
    </row>
    <row r="1943" spans="1:10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 s="1">
        <f t="shared" si="30"/>
        <v>845.982</v>
      </c>
      <c r="H1943" t="str">
        <f>VLOOKUP(C1943,[1]products!$A:$B,2,0)</f>
        <v>Surly Wednesday Frameset - 2017</v>
      </c>
      <c r="I1943">
        <f>VLOOKUP(H1943,[1]products!$B:$D,3,0)</f>
        <v>6</v>
      </c>
      <c r="J1943" t="str">
        <f>VLOOKUP(I1943,[2]categories!$A$2:$B$8,2,0)</f>
        <v>Mountain Bikes</v>
      </c>
    </row>
    <row r="1944" spans="1:10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 s="1">
        <f t="shared" si="30"/>
        <v>87.992</v>
      </c>
      <c r="H1944" t="str">
        <f>VLOOKUP(C1944,[1]products!$A:$B,2,0)</f>
        <v>Sun Bicycles Lil Kitt'n - 2017</v>
      </c>
      <c r="I1944">
        <f>VLOOKUP(H1944,[1]products!$B:$D,3,0)</f>
        <v>1</v>
      </c>
      <c r="J1944" t="str">
        <f>VLOOKUP(I1944,[2]categories!$A$2:$B$8,2,0)</f>
        <v>Children Bicycles</v>
      </c>
    </row>
    <row r="1945" spans="1:10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0.07</v>
      </c>
      <c r="G1945" s="1">
        <f t="shared" si="30"/>
        <v>3126.6414</v>
      </c>
      <c r="H1945" t="str">
        <f>VLOOKUP(C1945,[1]products!$A:$B,2,0)</f>
        <v>Surly Straggler 650b - 2016</v>
      </c>
      <c r="I1945">
        <f>VLOOKUP(H1945,[1]products!$B:$D,3,0)</f>
        <v>4</v>
      </c>
      <c r="J1945" t="str">
        <f>VLOOKUP(I1945,[2]categories!$A$2:$B$8,2,0)</f>
        <v>Cyclocross Bicycles</v>
      </c>
    </row>
    <row r="1946" spans="1:10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 s="1">
        <f t="shared" si="30"/>
        <v>313.4905</v>
      </c>
      <c r="H1946" t="str">
        <f>VLOOKUP(C1946,[1]products!$A:$B,2,0)</f>
        <v>Haro Downtown 16 - 2017</v>
      </c>
      <c r="I1946">
        <f>VLOOKUP(H1946,[1]products!$B:$D,3,0)</f>
        <v>1</v>
      </c>
      <c r="J1946" t="str">
        <f>VLOOKUP(I1946,[2]categories!$A$2:$B$8,2,0)</f>
        <v>Children Bicycles</v>
      </c>
    </row>
    <row r="1947" spans="1:10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 s="1">
        <f t="shared" si="30"/>
        <v>667.184</v>
      </c>
      <c r="H1947" t="str">
        <f>VLOOKUP(C1947,[1]products!$A:$B,2,0)</f>
        <v>Sun Bicycles Cruz 7 - Women's - 2017</v>
      </c>
      <c r="I1947">
        <f>VLOOKUP(H1947,[1]products!$B:$D,3,0)</f>
        <v>2</v>
      </c>
      <c r="J1947" t="str">
        <f>VLOOKUP(I1947,[2]categories!$A$2:$B$8,2,0)</f>
        <v>Comfort Bicycles</v>
      </c>
    </row>
    <row r="1948" spans="1:10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 s="1">
        <f t="shared" si="30"/>
        <v>569.981</v>
      </c>
      <c r="H1948" t="str">
        <f>VLOOKUP(C1948,[1]products!$A:$B,2,0)</f>
        <v>Electra Girl's Hawaii 1 (20-inch) - 2015/2016</v>
      </c>
      <c r="I1948">
        <f>VLOOKUP(H1948,[1]products!$B:$D,3,0)</f>
        <v>1</v>
      </c>
      <c r="J1948" t="str">
        <f>VLOOKUP(I1948,[2]categories!$A$2:$B$8,2,0)</f>
        <v>Children Bicycles</v>
      </c>
    </row>
    <row r="1949" spans="1:10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 s="1">
        <f t="shared" si="30"/>
        <v>2377.782</v>
      </c>
      <c r="H1949" t="str">
        <f>VLOOKUP(C1949,[1]products!$A:$B,2,0)</f>
        <v>Heller Shagamaw Frame - 2016</v>
      </c>
      <c r="I1949">
        <f>VLOOKUP(H1949,[1]products!$B:$D,3,0)</f>
        <v>6</v>
      </c>
      <c r="J1949" t="str">
        <f>VLOOKUP(I1949,[2]categories!$A$2:$B$8,2,0)</f>
        <v>Mountain Bikes</v>
      </c>
    </row>
    <row r="1950" spans="1:10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 s="1">
        <f t="shared" si="30"/>
        <v>4319.984</v>
      </c>
      <c r="H1950" t="str">
        <f>VLOOKUP(C1950,[1]products!$A:$B,2,0)</f>
        <v>Trek Domane S 6 - 2017</v>
      </c>
      <c r="I1950">
        <f>VLOOKUP(H1950,[1]products!$B:$D,3,0)</f>
        <v>7</v>
      </c>
      <c r="J1950" t="str">
        <f>VLOOKUP(I1950,[2]categories!$A$2:$B$8,2,0)</f>
        <v>Road Bikes</v>
      </c>
    </row>
    <row r="1951" spans="1:10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 s="1">
        <f t="shared" si="30"/>
        <v>479.992</v>
      </c>
      <c r="H1951" t="str">
        <f>VLOOKUP(C1951,[1]products!$A:$B,2,0)</f>
        <v>Electra Townie Original 7D EQ - Women's - 2016</v>
      </c>
      <c r="I1951">
        <f>VLOOKUP(H1951,[1]products!$B:$D,3,0)</f>
        <v>3</v>
      </c>
      <c r="J1951" t="str">
        <f>VLOOKUP(I1951,[2]categories!$A$2:$B$8,2,0)</f>
        <v>Cruisers Bicycles</v>
      </c>
    </row>
    <row r="1952" spans="1:10">
      <c r="A1952">
        <v>692</v>
      </c>
      <c r="B1952">
        <v>1</v>
      </c>
      <c r="C1952">
        <v>59</v>
      </c>
      <c r="D1952">
        <v>1</v>
      </c>
      <c r="E1952">
        <v>2599.99</v>
      </c>
      <c r="F1952">
        <v>0.2</v>
      </c>
      <c r="G1952" s="1">
        <f t="shared" si="30"/>
        <v>2079.992</v>
      </c>
      <c r="H1952" t="str">
        <f>VLOOKUP(C1952,[1]products!$A:$B,2,0)</f>
        <v>Trek Domane S 5 Disc - 2017</v>
      </c>
      <c r="I1952">
        <f>VLOOKUP(H1952,[1]products!$B:$D,3,0)</f>
        <v>7</v>
      </c>
      <c r="J1952" t="str">
        <f>VLOOKUP(I1952,[2]categories!$A$2:$B$8,2,0)</f>
        <v>Road Bikes</v>
      </c>
    </row>
    <row r="1953" spans="1:10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0.07</v>
      </c>
      <c r="G1953" s="1">
        <f t="shared" si="30"/>
        <v>557.9907</v>
      </c>
      <c r="H1953" t="str">
        <f>VLOOKUP(C1953,[1]products!$A:$B,2,0)</f>
        <v>Electra Cruiser Lux Fat Tire 1 Ladies - 2017</v>
      </c>
      <c r="I1953">
        <f>VLOOKUP(H1953,[1]products!$B:$D,3,0)</f>
        <v>3</v>
      </c>
      <c r="J1953" t="str">
        <f>VLOOKUP(I1953,[2]categories!$A$2:$B$8,2,0)</f>
        <v>Cruisers Bicycles</v>
      </c>
    </row>
    <row r="1954" spans="1:10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0.07</v>
      </c>
      <c r="G1954" s="1">
        <f t="shared" si="30"/>
        <v>985.7814</v>
      </c>
      <c r="H1954" t="str">
        <f>VLOOKUP(C1954,[1]products!$A:$B,2,0)</f>
        <v>Electra Moto 1 - 2016</v>
      </c>
      <c r="I1954">
        <f>VLOOKUP(H1954,[1]products!$B:$D,3,0)</f>
        <v>3</v>
      </c>
      <c r="J1954" t="str">
        <f>VLOOKUP(I1954,[2]categories!$A$2:$B$8,2,0)</f>
        <v>Cruisers Bicycles</v>
      </c>
    </row>
    <row r="1955" spans="1:10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 s="1">
        <f t="shared" si="30"/>
        <v>9899.982</v>
      </c>
      <c r="H1955" t="str">
        <f>VLOOKUP(C1955,[1]products!$A:$B,2,0)</f>
        <v>Trek Domane SLR 6 Disc - 2017</v>
      </c>
      <c r="I1955">
        <f>VLOOKUP(H1955,[1]products!$B:$D,3,0)</f>
        <v>7</v>
      </c>
      <c r="J1955" t="str">
        <f>VLOOKUP(I1955,[2]categories!$A$2:$B$8,2,0)</f>
        <v>Road Bikes</v>
      </c>
    </row>
    <row r="1956" spans="1:10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 s="1">
        <f t="shared" si="30"/>
        <v>771.184</v>
      </c>
      <c r="H1956" t="str">
        <f>VLOOKUP(C1956,[1]products!$A:$B,2,0)</f>
        <v>Sun Bicycles Streamway - 2017</v>
      </c>
      <c r="I1956">
        <f>VLOOKUP(H1956,[1]products!$B:$D,3,0)</f>
        <v>2</v>
      </c>
      <c r="J1956" t="str">
        <f>VLOOKUP(I1956,[2]categories!$A$2:$B$8,2,0)</f>
        <v>Comfort Bicycles</v>
      </c>
    </row>
    <row r="1957" spans="1:10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 s="1">
        <f t="shared" si="30"/>
        <v>215.992</v>
      </c>
      <c r="H1957" t="str">
        <f>VLOOKUP(C1957,[1]products!$A:$B,2,0)</f>
        <v>Electra Cruiser 1 (24-Inch) - 2016</v>
      </c>
      <c r="I1957">
        <f>VLOOKUP(H1957,[1]products!$B:$D,3,0)</f>
        <v>3</v>
      </c>
      <c r="J1957" t="str">
        <f>VLOOKUP(I1957,[2]categories!$A$2:$B$8,2,0)</f>
        <v>Cruisers Bicycles</v>
      </c>
    </row>
    <row r="1958" spans="1:10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 s="1">
        <f t="shared" si="30"/>
        <v>2509.881</v>
      </c>
      <c r="H1958" t="str">
        <f>VLOOKUP(C1958,[1]products!$A:$B,2,0)</f>
        <v>Heller Shagamaw Frame - 2016</v>
      </c>
      <c r="I1958">
        <f>VLOOKUP(H1958,[1]products!$B:$D,3,0)</f>
        <v>6</v>
      </c>
      <c r="J1958" t="str">
        <f>VLOOKUP(I1958,[2]categories!$A$2:$B$8,2,0)</f>
        <v>Mountain Bikes</v>
      </c>
    </row>
    <row r="1959" spans="1:10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0.07</v>
      </c>
      <c r="G1959" s="1">
        <f t="shared" si="30"/>
        <v>1518.6807</v>
      </c>
      <c r="H1959" t="str">
        <f>VLOOKUP(C1959,[1]products!$A:$B,2,0)</f>
        <v>Surly Wednesday - 2017</v>
      </c>
      <c r="I1959">
        <f>VLOOKUP(H1959,[1]products!$B:$D,3,0)</f>
        <v>6</v>
      </c>
      <c r="J1959" t="str">
        <f>VLOOKUP(I1959,[2]categories!$A$2:$B$8,2,0)</f>
        <v>Mountain Bikes</v>
      </c>
    </row>
    <row r="1960" spans="1:10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 s="1">
        <f t="shared" si="30"/>
        <v>1199.992</v>
      </c>
      <c r="H1960" t="str">
        <f>VLOOKUP(C1960,[1]products!$A:$B,2,0)</f>
        <v>Trek Emonda S 4 - 2017</v>
      </c>
      <c r="I1960">
        <f>VLOOKUP(H1960,[1]products!$B:$D,3,0)</f>
        <v>7</v>
      </c>
      <c r="J1960" t="str">
        <f>VLOOKUP(I1960,[2]categories!$A$2:$B$8,2,0)</f>
        <v>Road Bikes</v>
      </c>
    </row>
    <row r="1961" spans="1:10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 s="1">
        <f t="shared" si="30"/>
        <v>1424.9905</v>
      </c>
      <c r="H1961" t="str">
        <f>VLOOKUP(C1961,[1]products!$A:$B,2,0)</f>
        <v>Trek Stache 5 - 2017</v>
      </c>
      <c r="I1961">
        <f>VLOOKUP(H1961,[1]products!$B:$D,3,0)</f>
        <v>6</v>
      </c>
      <c r="J1961" t="str">
        <f>VLOOKUP(I1961,[2]categories!$A$2:$B$8,2,0)</f>
        <v>Mountain Bikes</v>
      </c>
    </row>
    <row r="1962" spans="1:10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 s="1">
        <f t="shared" si="30"/>
        <v>4859.982</v>
      </c>
      <c r="H1962" t="str">
        <f>VLOOKUP(C1962,[1]products!$A:$B,2,0)</f>
        <v>Trek Domane S 6 - 2017</v>
      </c>
      <c r="I1962">
        <f>VLOOKUP(H1962,[1]products!$B:$D,3,0)</f>
        <v>7</v>
      </c>
      <c r="J1962" t="str">
        <f>VLOOKUP(I1962,[2]categories!$A$2:$B$8,2,0)</f>
        <v>Road Bikes</v>
      </c>
    </row>
    <row r="1963" spans="1:10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 s="1">
        <f t="shared" si="30"/>
        <v>883.184</v>
      </c>
      <c r="H1963" t="str">
        <f>VLOOKUP(C1963,[1]products!$A:$B,2,0)</f>
        <v>Sun Bicycles Streamway 3 - 2017</v>
      </c>
      <c r="I1963">
        <f>VLOOKUP(H1963,[1]products!$B:$D,3,0)</f>
        <v>2</v>
      </c>
      <c r="J1963" t="str">
        <f>VLOOKUP(I1963,[2]categories!$A$2:$B$8,2,0)</f>
        <v>Comfort Bicycles</v>
      </c>
    </row>
    <row r="1964" spans="1:10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 s="1">
        <f t="shared" si="30"/>
        <v>1565.982</v>
      </c>
      <c r="H1964" t="str">
        <f>VLOOKUP(C1964,[1]products!$A:$B,2,0)</f>
        <v>Haro SR 1.2 - 2017</v>
      </c>
      <c r="I1964">
        <f>VLOOKUP(H1964,[1]products!$B:$D,3,0)</f>
        <v>6</v>
      </c>
      <c r="J1964" t="str">
        <f>VLOOKUP(I1964,[2]categories!$A$2:$B$8,2,0)</f>
        <v>Mountain Bikes</v>
      </c>
    </row>
    <row r="1965" spans="1:10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 s="1">
        <f t="shared" si="30"/>
        <v>1187.982</v>
      </c>
      <c r="H1965" t="str">
        <f>VLOOKUP(C1965,[1]products!$A:$B,2,0)</f>
        <v>Electra Amsterdam Original 3i Ladies' - 2017</v>
      </c>
      <c r="I1965">
        <f>VLOOKUP(H1965,[1]products!$B:$D,3,0)</f>
        <v>3</v>
      </c>
      <c r="J1965" t="str">
        <f>VLOOKUP(I1965,[2]categories!$A$2:$B$8,2,0)</f>
        <v>Cruisers Bicycles</v>
      </c>
    </row>
    <row r="1966" spans="1:10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 s="1">
        <f t="shared" si="30"/>
        <v>3199.984</v>
      </c>
      <c r="H1966" t="str">
        <f>VLOOKUP(C1966,[1]products!$A:$B,2,0)</f>
        <v>Trek Emonda S 5 - 2017</v>
      </c>
      <c r="I1966">
        <f>VLOOKUP(H1966,[1]products!$B:$D,3,0)</f>
        <v>7</v>
      </c>
      <c r="J1966" t="str">
        <f>VLOOKUP(I1966,[2]categories!$A$2:$B$8,2,0)</f>
        <v>Road Bikes</v>
      </c>
    </row>
    <row r="1967" spans="1:10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0.07</v>
      </c>
      <c r="G1967" s="1">
        <f t="shared" si="30"/>
        <v>353.3814</v>
      </c>
      <c r="H1967" t="str">
        <f>VLOOKUP(C1967,[1]products!$A:$B,2,0)</f>
        <v>Trek Precaliber 12 Girls - 2017</v>
      </c>
      <c r="I1967">
        <f>VLOOKUP(H1967,[1]products!$B:$D,3,0)</f>
        <v>1</v>
      </c>
      <c r="J1967" t="str">
        <f>VLOOKUP(I1967,[2]categories!$A$2:$B$8,2,0)</f>
        <v>Children Bicycles</v>
      </c>
    </row>
    <row r="1968" spans="1:10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 s="1">
        <f t="shared" si="30"/>
        <v>3599.991</v>
      </c>
      <c r="H1968" t="str">
        <f>VLOOKUP(C1968,[1]products!$A:$B,2,0)</f>
        <v>Trek Slash 8 27.5 - 2016</v>
      </c>
      <c r="I1968">
        <f>VLOOKUP(H1968,[1]products!$B:$D,3,0)</f>
        <v>6</v>
      </c>
      <c r="J1968" t="str">
        <f>VLOOKUP(I1968,[2]categories!$A$2:$B$8,2,0)</f>
        <v>Mountain Bikes</v>
      </c>
    </row>
    <row r="1969" spans="1:10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0.07</v>
      </c>
      <c r="G1969" s="1">
        <f t="shared" si="30"/>
        <v>809.0907</v>
      </c>
      <c r="H1969" t="str">
        <f>VLOOKUP(C1969,[1]products!$A:$B,2,0)</f>
        <v>Haro SR 1.2 - 2017</v>
      </c>
      <c r="I1969">
        <f>VLOOKUP(H1969,[1]products!$B:$D,3,0)</f>
        <v>6</v>
      </c>
      <c r="J1969" t="str">
        <f>VLOOKUP(I1969,[2]categories!$A$2:$B$8,2,0)</f>
        <v>Mountain Bikes</v>
      </c>
    </row>
    <row r="1970" spans="1:10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 s="1">
        <f t="shared" si="30"/>
        <v>2509.881</v>
      </c>
      <c r="H1970" t="str">
        <f>VLOOKUP(C1970,[1]products!$A:$B,2,0)</f>
        <v>Heller Shagamaw Frame - 2016</v>
      </c>
      <c r="I1970">
        <f>VLOOKUP(H1970,[1]products!$B:$D,3,0)</f>
        <v>6</v>
      </c>
      <c r="J1970" t="str">
        <f>VLOOKUP(I1970,[2]categories!$A$2:$B$8,2,0)</f>
        <v>Mountain Bikes</v>
      </c>
    </row>
    <row r="1971" spans="1:10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0.07</v>
      </c>
      <c r="G1971" s="1">
        <f t="shared" si="30"/>
        <v>325.4907</v>
      </c>
      <c r="H1971" t="str">
        <f>VLOOKUP(C1971,[1]products!$A:$B,2,0)</f>
        <v>Electra Moto 3i (20-inch) - Boy's - 2017</v>
      </c>
      <c r="I1971">
        <f>VLOOKUP(H1971,[1]products!$B:$D,3,0)</f>
        <v>1</v>
      </c>
      <c r="J1971" t="str">
        <f>VLOOKUP(I1971,[2]categories!$A$2:$B$8,2,0)</f>
        <v>Children Bicycles</v>
      </c>
    </row>
    <row r="1972" spans="1:10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0.07</v>
      </c>
      <c r="G1972" s="1">
        <f t="shared" si="30"/>
        <v>511.4907</v>
      </c>
      <c r="H1972" t="str">
        <f>VLOOKUP(C1972,[1]products!$A:$B,2,0)</f>
        <v>Electra Townie Original 21D - 2016</v>
      </c>
      <c r="I1972">
        <f>VLOOKUP(H1972,[1]products!$B:$D,3,0)</f>
        <v>3</v>
      </c>
      <c r="J1972" t="str">
        <f>VLOOKUP(I1972,[2]categories!$A$2:$B$8,2,0)</f>
        <v>Cruisers Bicycles</v>
      </c>
    </row>
    <row r="1973" spans="1:10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 s="1">
        <f t="shared" si="30"/>
        <v>9499.981</v>
      </c>
      <c r="H1973" t="str">
        <f>VLOOKUP(C1973,[1]products!$A:$B,2,0)</f>
        <v>Trek Fuel EX 9.8 29 - 2017</v>
      </c>
      <c r="I1973">
        <f>VLOOKUP(H1973,[1]products!$B:$D,3,0)</f>
        <v>6</v>
      </c>
      <c r="J1973" t="str">
        <f>VLOOKUP(I1973,[2]categories!$A$2:$B$8,2,0)</f>
        <v>Mountain Bikes</v>
      </c>
    </row>
    <row r="1974" spans="1:10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 s="1">
        <f t="shared" si="30"/>
        <v>809.982</v>
      </c>
      <c r="H1974" t="str">
        <f>VLOOKUP(C1974,[1]products!$A:$B,2,0)</f>
        <v>Sun Bicycles Cruz 3 - 2017</v>
      </c>
      <c r="I1974">
        <f>VLOOKUP(H1974,[1]products!$B:$D,3,0)</f>
        <v>3</v>
      </c>
      <c r="J1974" t="str">
        <f>VLOOKUP(I1974,[2]categories!$A$2:$B$8,2,0)</f>
        <v>Cruisers Bicycles</v>
      </c>
    </row>
    <row r="1975" spans="1:10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0.07</v>
      </c>
      <c r="G1975" s="1">
        <f t="shared" si="30"/>
        <v>1394.9907</v>
      </c>
      <c r="H1975" t="str">
        <f>VLOOKUP(C1975,[1]products!$A:$B,2,0)</f>
        <v>Trek Emonda S 4 - 2017</v>
      </c>
      <c r="I1975">
        <f>VLOOKUP(H1975,[1]products!$B:$D,3,0)</f>
        <v>7</v>
      </c>
      <c r="J1975" t="str">
        <f>VLOOKUP(I1975,[2]categories!$A$2:$B$8,2,0)</f>
        <v>Road Bikes</v>
      </c>
    </row>
    <row r="1976" spans="1:10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 s="1">
        <f t="shared" si="30"/>
        <v>1306.392</v>
      </c>
      <c r="H1976" t="str">
        <f>VLOOKUP(C1976,[1]products!$A:$B,2,0)</f>
        <v>Surly Wednesday - 2017</v>
      </c>
      <c r="I1976">
        <f>VLOOKUP(H1976,[1]products!$B:$D,3,0)</f>
        <v>6</v>
      </c>
      <c r="J1976" t="str">
        <f>VLOOKUP(I1976,[2]categories!$A$2:$B$8,2,0)</f>
        <v>Mountain Bikes</v>
      </c>
    </row>
    <row r="1977" spans="1:10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 s="1">
        <f t="shared" si="30"/>
        <v>989.982</v>
      </c>
      <c r="H1977" t="str">
        <f>VLOOKUP(C1977,[1]products!$A:$B,2,0)</f>
        <v>Electra Townie Original 21D - 2016</v>
      </c>
      <c r="I1977">
        <f>VLOOKUP(H1977,[1]products!$B:$D,3,0)</f>
        <v>3</v>
      </c>
      <c r="J1977" t="str">
        <f>VLOOKUP(I1977,[2]categories!$A$2:$B$8,2,0)</f>
        <v>Cruisers Bicycles</v>
      </c>
    </row>
    <row r="1978" spans="1:10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 s="1">
        <f t="shared" si="30"/>
        <v>1055.984</v>
      </c>
      <c r="H1978" t="str">
        <f>VLOOKUP(C1978,[1]products!$A:$B,2,0)</f>
        <v>Electra Amsterdam Original 3i Ladies' - 2017</v>
      </c>
      <c r="I1978">
        <f>VLOOKUP(H1978,[1]products!$B:$D,3,0)</f>
        <v>3</v>
      </c>
      <c r="J1978" t="str">
        <f>VLOOKUP(I1978,[2]categories!$A$2:$B$8,2,0)</f>
        <v>Cruisers Bicycles</v>
      </c>
    </row>
    <row r="1979" spans="1:10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 s="1">
        <f t="shared" si="30"/>
        <v>7599.981</v>
      </c>
      <c r="H1979" t="str">
        <f>VLOOKUP(C1979,[1]products!$A:$B,2,0)</f>
        <v>Trek Slash 8 27.5 - 2016</v>
      </c>
      <c r="I1979">
        <f>VLOOKUP(H1979,[1]products!$B:$D,3,0)</f>
        <v>6</v>
      </c>
      <c r="J1979" t="str">
        <f>VLOOKUP(I1979,[2]categories!$A$2:$B$8,2,0)</f>
        <v>Mountain Bikes</v>
      </c>
    </row>
    <row r="1980" spans="1:10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 s="1">
        <f t="shared" si="30"/>
        <v>2799.992</v>
      </c>
      <c r="H1980" t="str">
        <f>VLOOKUP(C1980,[1]products!$A:$B,2,0)</f>
        <v>Trek Boone Race Shop Limited - 2017</v>
      </c>
      <c r="I1980">
        <f>VLOOKUP(H1980,[1]products!$B:$D,3,0)</f>
        <v>4</v>
      </c>
      <c r="J1980" t="str">
        <f>VLOOKUP(I1980,[2]categories!$A$2:$B$8,2,0)</f>
        <v>Cyclocross Bicycles</v>
      </c>
    </row>
    <row r="1981" spans="1:10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 s="1">
        <f t="shared" si="30"/>
        <v>104.4905</v>
      </c>
      <c r="H1981" t="str">
        <f>VLOOKUP(C1981,[1]products!$A:$B,2,0)</f>
        <v>Sun Bicycles Lil Kitt'n - 2017</v>
      </c>
      <c r="I1981">
        <f>VLOOKUP(H1981,[1]products!$B:$D,3,0)</f>
        <v>1</v>
      </c>
      <c r="J1981" t="str">
        <f>VLOOKUP(I1981,[2]categories!$A$2:$B$8,2,0)</f>
        <v>Children Bicycles</v>
      </c>
    </row>
    <row r="1982" spans="1:10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 s="1">
        <f t="shared" si="30"/>
        <v>949.981</v>
      </c>
      <c r="H1982" t="str">
        <f>VLOOKUP(C1982,[1]products!$A:$B,2,0)</f>
        <v>Electra Townie Original 7D - 2015/2016</v>
      </c>
      <c r="I1982">
        <f>VLOOKUP(H1982,[1]products!$B:$D,3,0)</f>
        <v>2</v>
      </c>
      <c r="J1982" t="str">
        <f>VLOOKUP(I1982,[2]categories!$A$2:$B$8,2,0)</f>
        <v>Comfort Bicycles</v>
      </c>
    </row>
    <row r="1983" spans="1:10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 s="1">
        <f t="shared" si="30"/>
        <v>433.791</v>
      </c>
      <c r="H1983" t="str">
        <f>VLOOKUP(C1983,[1]products!$A:$B,2,0)</f>
        <v>Sun Bicycles Streamway - 2017</v>
      </c>
      <c r="I1983">
        <f>VLOOKUP(H1983,[1]products!$B:$D,3,0)</f>
        <v>2</v>
      </c>
      <c r="J1983" t="str">
        <f>VLOOKUP(I1983,[2]categories!$A$2:$B$8,2,0)</f>
        <v>Comfort Bicycles</v>
      </c>
    </row>
    <row r="1984" spans="1:10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0.07</v>
      </c>
      <c r="G1984" s="1">
        <f t="shared" si="30"/>
        <v>1859.9814</v>
      </c>
      <c r="H1984" t="str">
        <f>VLOOKUP(C1984,[1]products!$A:$B,2,0)</f>
        <v>Surly Wednesday Frameset - 2016</v>
      </c>
      <c r="I1984">
        <f>VLOOKUP(H1984,[1]products!$B:$D,3,0)</f>
        <v>6</v>
      </c>
      <c r="J1984" t="str">
        <f>VLOOKUP(I1984,[2]categories!$A$2:$B$8,2,0)</f>
        <v>Mountain Bikes</v>
      </c>
    </row>
    <row r="1985" spans="1:10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 s="1">
        <f t="shared" si="30"/>
        <v>1391.984</v>
      </c>
      <c r="H1985" t="str">
        <f>VLOOKUP(C1985,[1]products!$A:$B,2,0)</f>
        <v>Haro SR 1.2 - 2017</v>
      </c>
      <c r="I1985">
        <f>VLOOKUP(H1985,[1]products!$B:$D,3,0)</f>
        <v>6</v>
      </c>
      <c r="J1985" t="str">
        <f>VLOOKUP(I1985,[2]categories!$A$2:$B$8,2,0)</f>
        <v>Mountain Bikes</v>
      </c>
    </row>
    <row r="1986" spans="1:10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 s="1">
        <f t="shared" ref="G1986:G2049" si="31">D1986*E1986*(1-F1986)</f>
        <v>476.881</v>
      </c>
      <c r="H1986" t="str">
        <f>VLOOKUP(C1986,[1]products!$A:$B,2,0)</f>
        <v>Sun Bicycles Revolutions 24 - 2017</v>
      </c>
      <c r="I1986">
        <f>VLOOKUP(H1986,[1]products!$B:$D,3,0)</f>
        <v>3</v>
      </c>
      <c r="J1986" t="str">
        <f>VLOOKUP(I1986,[2]categories!$A$2:$B$8,2,0)</f>
        <v>Cruisers Bicycles</v>
      </c>
    </row>
    <row r="1987" spans="1:10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 s="1">
        <f t="shared" si="31"/>
        <v>495.992</v>
      </c>
      <c r="H1987" t="str">
        <f>VLOOKUP(C1987,[1]products!$A:$B,2,0)</f>
        <v>Sun Bicycles Biscayne Tandem 7 - 2017</v>
      </c>
      <c r="I1987">
        <f>VLOOKUP(H1987,[1]products!$B:$D,3,0)</f>
        <v>3</v>
      </c>
      <c r="J1987" t="str">
        <f>VLOOKUP(I1987,[2]categories!$A$2:$B$8,2,0)</f>
        <v>Cruisers Bicycles</v>
      </c>
    </row>
    <row r="1988" spans="1:10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 s="1">
        <f t="shared" si="31"/>
        <v>4639.984</v>
      </c>
      <c r="H1988" t="str">
        <f>VLOOKUP(C1988,[1]products!$A:$B,2,0)</f>
        <v>Trek Fuel EX 8 29 - 2016</v>
      </c>
      <c r="I1988">
        <f>VLOOKUP(H1988,[1]products!$B:$D,3,0)</f>
        <v>6</v>
      </c>
      <c r="J1988" t="str">
        <f>VLOOKUP(I1988,[2]categories!$A$2:$B$8,2,0)</f>
        <v>Mountain Bikes</v>
      </c>
    </row>
    <row r="1989" spans="1:10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 s="1">
        <f t="shared" si="31"/>
        <v>2943.1</v>
      </c>
      <c r="H1989" t="str">
        <f>VLOOKUP(C1989,[1]products!$A:$B,2,0)</f>
        <v>Surly Straggler - 2016</v>
      </c>
      <c r="I1989">
        <f>VLOOKUP(H1989,[1]products!$B:$D,3,0)</f>
        <v>4</v>
      </c>
      <c r="J1989" t="str">
        <f>VLOOKUP(I1989,[2]categories!$A$2:$B$8,2,0)</f>
        <v>Cyclocross Bicycles</v>
      </c>
    </row>
    <row r="1990" spans="1:10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 s="1">
        <f t="shared" si="31"/>
        <v>2799.992</v>
      </c>
      <c r="H1990" t="str">
        <f>VLOOKUP(C1990,[1]products!$A:$B,2,0)</f>
        <v>Trek Boone 7 - 2017</v>
      </c>
      <c r="I1990">
        <f>VLOOKUP(H1990,[1]products!$B:$D,3,0)</f>
        <v>4</v>
      </c>
      <c r="J1990" t="str">
        <f>VLOOKUP(I1990,[2]categories!$A$2:$B$8,2,0)</f>
        <v>Cyclocross Bicycles</v>
      </c>
    </row>
    <row r="1991" spans="1:10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0.07</v>
      </c>
      <c r="G1991" s="1">
        <f t="shared" si="31"/>
        <v>911.3814</v>
      </c>
      <c r="H1991" t="str">
        <f>VLOOKUP(C1991,[1]products!$A:$B,2,0)</f>
        <v>Electra Townie 3i EQ (20-inch) - Boys' - 2017</v>
      </c>
      <c r="I1991">
        <f>VLOOKUP(H1991,[1]products!$B:$D,3,0)</f>
        <v>1</v>
      </c>
      <c r="J1991" t="str">
        <f>VLOOKUP(I1991,[2]categories!$A$2:$B$8,2,0)</f>
        <v>Children Bicycles</v>
      </c>
    </row>
    <row r="1992" spans="1:10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 s="1">
        <f t="shared" si="31"/>
        <v>4499.991</v>
      </c>
      <c r="H1992" t="str">
        <f>VLOOKUP(C1992,[1]products!$A:$B,2,0)</f>
        <v>Trek Powerfly 8 FS Plus - 2017</v>
      </c>
      <c r="I1992">
        <f>VLOOKUP(H1992,[1]products!$B:$D,3,0)</f>
        <v>5</v>
      </c>
      <c r="J1992" t="str">
        <f>VLOOKUP(I1992,[2]categories!$A$2:$B$8,2,0)</f>
        <v>Electric Bikes</v>
      </c>
    </row>
    <row r="1993" spans="1:10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 s="1">
        <f t="shared" si="31"/>
        <v>899.991</v>
      </c>
      <c r="H1993" t="str">
        <f>VLOOKUP(C1993,[1]products!$A:$B,2,0)</f>
        <v>Surly Big Dummy Frameset - 2017</v>
      </c>
      <c r="I1993">
        <f>VLOOKUP(H1993,[1]products!$B:$D,3,0)</f>
        <v>6</v>
      </c>
      <c r="J1993" t="str">
        <f>VLOOKUP(I1993,[2]categories!$A$2:$B$8,2,0)</f>
        <v>Mountain Bikes</v>
      </c>
    </row>
    <row r="1994" spans="1:10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 s="1">
        <f t="shared" si="31"/>
        <v>569.981</v>
      </c>
      <c r="H1994" t="str">
        <f>VLOOKUP(C1994,[1]products!$A:$B,2,0)</f>
        <v>Electra Girl's Hawaii 1 (20-inch) - 2015/2016</v>
      </c>
      <c r="I1994">
        <f>VLOOKUP(H1994,[1]products!$B:$D,3,0)</f>
        <v>1</v>
      </c>
      <c r="J1994" t="str">
        <f>VLOOKUP(I1994,[2]categories!$A$2:$B$8,2,0)</f>
        <v>Children Bicycles</v>
      </c>
    </row>
    <row r="1995" spans="1:10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 s="1">
        <f t="shared" si="31"/>
        <v>1247.992</v>
      </c>
      <c r="H1995" t="str">
        <f>VLOOKUP(C1995,[1]products!$A:$B,2,0)</f>
        <v>Sun Bicycles ElectroLite - 2017</v>
      </c>
      <c r="I1995">
        <f>VLOOKUP(H1995,[1]products!$B:$D,3,0)</f>
        <v>5</v>
      </c>
      <c r="J1995" t="str">
        <f>VLOOKUP(I1995,[2]categories!$A$2:$B$8,2,0)</f>
        <v>Electric Bikes</v>
      </c>
    </row>
    <row r="1996" spans="1:10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 s="1">
        <f t="shared" si="31"/>
        <v>854.981</v>
      </c>
      <c r="H1996" t="str">
        <f>VLOOKUP(C1996,[1]products!$A:$B,2,0)</f>
        <v>Sun Bicycles Cruz 3 - 2017</v>
      </c>
      <c r="I1996">
        <f>VLOOKUP(H1996,[1]products!$B:$D,3,0)</f>
        <v>3</v>
      </c>
      <c r="J1996" t="str">
        <f>VLOOKUP(I1996,[2]categories!$A$2:$B$8,2,0)</f>
        <v>Cruisers Bicycles</v>
      </c>
    </row>
    <row r="1997" spans="1:10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0.07</v>
      </c>
      <c r="G1997" s="1">
        <f t="shared" si="31"/>
        <v>455.6907</v>
      </c>
      <c r="H1997" t="str">
        <f>VLOOKUP(C1997,[1]products!$A:$B,2,0)</f>
        <v>Electra Townie 3i EQ (20-inch) - Boys' - 2017</v>
      </c>
      <c r="I1997">
        <f>VLOOKUP(H1997,[1]products!$B:$D,3,0)</f>
        <v>1</v>
      </c>
      <c r="J1997" t="str">
        <f>VLOOKUP(I1997,[2]categories!$A$2:$B$8,2,0)</f>
        <v>Children Bicycles</v>
      </c>
    </row>
    <row r="1998" spans="1:10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 s="1">
        <f t="shared" si="31"/>
        <v>3025.782</v>
      </c>
      <c r="H1998" t="str">
        <f>VLOOKUP(C1998,[1]products!$A:$B,2,0)</f>
        <v>Surly Straggler 650b - 2016</v>
      </c>
      <c r="I1998">
        <f>VLOOKUP(H1998,[1]products!$B:$D,3,0)</f>
        <v>4</v>
      </c>
      <c r="J1998" t="str">
        <f>VLOOKUP(I1998,[2]categories!$A$2:$B$8,2,0)</f>
        <v>Cyclocross Bicycles</v>
      </c>
    </row>
    <row r="1999" spans="1:10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 s="1">
        <f t="shared" si="31"/>
        <v>1079.982</v>
      </c>
      <c r="H1999" t="str">
        <f>VLOOKUP(C1999,[1]products!$A:$B,2,0)</f>
        <v>Electra Townie Original 7D EQ - 2016</v>
      </c>
      <c r="I1999">
        <f>VLOOKUP(H1999,[1]products!$B:$D,3,0)</f>
        <v>3</v>
      </c>
      <c r="J1999" t="str">
        <f>VLOOKUP(I1999,[2]categories!$A$2:$B$8,2,0)</f>
        <v>Cruisers Bicycles</v>
      </c>
    </row>
    <row r="2000" spans="1:10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0.07</v>
      </c>
      <c r="G2000" s="1">
        <f t="shared" si="31"/>
        <v>437.0907</v>
      </c>
      <c r="H2000" t="str">
        <f>VLOOKUP(C2000,[1]products!$A:$B,2,0)</f>
        <v>Surly Ice Cream Truck Frameset - 2016</v>
      </c>
      <c r="I2000">
        <f>VLOOKUP(H2000,[1]products!$B:$D,3,0)</f>
        <v>6</v>
      </c>
      <c r="J2000" t="str">
        <f>VLOOKUP(I2000,[2]categories!$A$2:$B$8,2,0)</f>
        <v>Mountain Bikes</v>
      </c>
    </row>
    <row r="2001" spans="1:10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 s="1">
        <f t="shared" si="31"/>
        <v>4769.991</v>
      </c>
      <c r="H2001" t="str">
        <f>VLOOKUP(C2001,[1]products!$A:$B,2,0)</f>
        <v>Trek Remedy 9.8 - 2017</v>
      </c>
      <c r="I2001">
        <f>VLOOKUP(H2001,[1]products!$B:$D,3,0)</f>
        <v>6</v>
      </c>
      <c r="J2001" t="str">
        <f>VLOOKUP(I2001,[2]categories!$A$2:$B$8,2,0)</f>
        <v>Mountain Bikes</v>
      </c>
    </row>
    <row r="2002" spans="1:10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 s="1">
        <f t="shared" si="31"/>
        <v>751.984</v>
      </c>
      <c r="H2002" t="str">
        <f>VLOOKUP(C2002,[1]products!$A:$B,2,0)</f>
        <v>Trek Session DH 27.5 Carbon Frameset - 2017</v>
      </c>
      <c r="I2002">
        <f>VLOOKUP(H2002,[1]products!$B:$D,3,0)</f>
        <v>6</v>
      </c>
      <c r="J2002" t="str">
        <f>VLOOKUP(I2002,[2]categories!$A$2:$B$8,2,0)</f>
        <v>Mountain Bikes</v>
      </c>
    </row>
    <row r="2003" spans="1:10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 s="1">
        <f t="shared" si="31"/>
        <v>5129.981</v>
      </c>
      <c r="H2003" t="str">
        <f>VLOOKUP(C2003,[1]products!$A:$B,2,0)</f>
        <v>Trek Domane S 6 - 2017</v>
      </c>
      <c r="I2003">
        <f>VLOOKUP(H2003,[1]products!$B:$D,3,0)</f>
        <v>7</v>
      </c>
      <c r="J2003" t="str">
        <f>VLOOKUP(I2003,[2]categories!$A$2:$B$8,2,0)</f>
        <v>Road Bikes</v>
      </c>
    </row>
    <row r="2004" spans="1:10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0.07</v>
      </c>
      <c r="G2004" s="1">
        <f t="shared" si="31"/>
        <v>632.3814</v>
      </c>
      <c r="H2004" t="str">
        <f>VLOOKUP(C2004,[1]products!$A:$B,2,0)</f>
        <v>Electra Townie 7D (20-inch) - Boys' - 2017</v>
      </c>
      <c r="I2004">
        <f>VLOOKUP(H2004,[1]products!$B:$D,3,0)</f>
        <v>1</v>
      </c>
      <c r="J2004" t="str">
        <f>VLOOKUP(I2004,[2]categories!$A$2:$B$8,2,0)</f>
        <v>Children Bicycles</v>
      </c>
    </row>
    <row r="2005" spans="1:10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0.07</v>
      </c>
      <c r="G2005" s="1">
        <f t="shared" si="31"/>
        <v>1394.9907</v>
      </c>
      <c r="H2005" t="str">
        <f>VLOOKUP(C2005,[1]products!$A:$B,2,0)</f>
        <v>Trek Emonda S 4 - 2017</v>
      </c>
      <c r="I2005">
        <f>VLOOKUP(H2005,[1]products!$B:$D,3,0)</f>
        <v>7</v>
      </c>
      <c r="J2005" t="str">
        <f>VLOOKUP(I2005,[2]categories!$A$2:$B$8,2,0)</f>
        <v>Road Bikes</v>
      </c>
    </row>
    <row r="2006" spans="1:10">
      <c r="A2006">
        <v>710</v>
      </c>
      <c r="B2006">
        <v>1</v>
      </c>
      <c r="C2006">
        <v>42</v>
      </c>
      <c r="D2006">
        <v>1</v>
      </c>
      <c r="E2006">
        <v>2299.99</v>
      </c>
      <c r="F2006">
        <v>0.05</v>
      </c>
      <c r="G2006" s="1">
        <f t="shared" si="31"/>
        <v>2184.9905</v>
      </c>
      <c r="H2006" t="str">
        <f>VLOOKUP(C2006,[1]products!$A:$B,2,0)</f>
        <v>Trek Fuel EX 5 27.5 Plus - 2017</v>
      </c>
      <c r="I2006">
        <f>VLOOKUP(H2006,[1]products!$B:$D,3,0)</f>
        <v>6</v>
      </c>
      <c r="J2006" t="str">
        <f>VLOOKUP(I2006,[2]categories!$A$2:$B$8,2,0)</f>
        <v>Mountain Bikes</v>
      </c>
    </row>
    <row r="2007" spans="1:10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 s="1">
        <f t="shared" si="31"/>
        <v>2495.984</v>
      </c>
      <c r="H2007" t="str">
        <f>VLOOKUP(C2007,[1]products!$A:$B,2,0)</f>
        <v>Sun Bicycles ElectroLite - 2017</v>
      </c>
      <c r="I2007">
        <f>VLOOKUP(H2007,[1]products!$B:$D,3,0)</f>
        <v>5</v>
      </c>
      <c r="J2007" t="str">
        <f>VLOOKUP(I2007,[2]categories!$A$2:$B$8,2,0)</f>
        <v>Electric Bikes</v>
      </c>
    </row>
    <row r="2008" spans="1:10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 s="1">
        <f t="shared" si="31"/>
        <v>2399.984</v>
      </c>
      <c r="H2008" t="str">
        <f>VLOOKUP(C2008,[1]products!$A:$B,2,0)</f>
        <v>Trek Stache 5 - 2017</v>
      </c>
      <c r="I2008">
        <f>VLOOKUP(H2008,[1]products!$B:$D,3,0)</f>
        <v>6</v>
      </c>
      <c r="J2008" t="str">
        <f>VLOOKUP(I2008,[2]categories!$A$2:$B$8,2,0)</f>
        <v>Mountain Bikes</v>
      </c>
    </row>
    <row r="2009" spans="1:10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 s="1">
        <f t="shared" si="31"/>
        <v>1599.992</v>
      </c>
      <c r="H2009" t="str">
        <f>VLOOKUP(C2009,[1]products!$A:$B,2,0)</f>
        <v>Trek Emonda S 5 - 2017</v>
      </c>
      <c r="I2009">
        <f>VLOOKUP(H2009,[1]products!$B:$D,3,0)</f>
        <v>7</v>
      </c>
      <c r="J2009" t="str">
        <f>VLOOKUP(I2009,[2]categories!$A$2:$B$8,2,0)</f>
        <v>Road Bikes</v>
      </c>
    </row>
    <row r="2010" spans="1:10">
      <c r="A2010">
        <v>710</v>
      </c>
      <c r="B2010">
        <v>5</v>
      </c>
      <c r="C2010">
        <v>28</v>
      </c>
      <c r="D2010">
        <v>1</v>
      </c>
      <c r="E2010">
        <v>2499.99</v>
      </c>
      <c r="F2010">
        <v>0.05</v>
      </c>
      <c r="G2010" s="1">
        <f t="shared" si="31"/>
        <v>2374.9905</v>
      </c>
      <c r="H2010" t="str">
        <f>VLOOKUP(C2010,[1]products!$A:$B,2,0)</f>
        <v>Surly Karate Monkey 27.5+ Frameset - 2017</v>
      </c>
      <c r="I2010">
        <f>VLOOKUP(H2010,[1]products!$B:$D,3,0)</f>
        <v>6</v>
      </c>
      <c r="J2010" t="str">
        <f>VLOOKUP(I2010,[2]categories!$A$2:$B$8,2,0)</f>
        <v>Mountain Bikes</v>
      </c>
    </row>
    <row r="2011" spans="1:10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 s="1">
        <f t="shared" si="31"/>
        <v>2509.881</v>
      </c>
      <c r="H2011" t="str">
        <f>VLOOKUP(C2011,[1]products!$A:$B,2,0)</f>
        <v>Heller Shagamaw Frame - 2016</v>
      </c>
      <c r="I2011">
        <f>VLOOKUP(H2011,[1]products!$B:$D,3,0)</f>
        <v>6</v>
      </c>
      <c r="J2011" t="str">
        <f>VLOOKUP(I2011,[2]categories!$A$2:$B$8,2,0)</f>
        <v>Mountain Bikes</v>
      </c>
    </row>
    <row r="2012" spans="1:10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 s="1">
        <f t="shared" si="31"/>
        <v>479.984</v>
      </c>
      <c r="H2012" t="str">
        <f>VLOOKUP(C2012,[1]products!$A:$B,2,0)</f>
        <v>Electra Girl's Hawaii 1 16" - 2017</v>
      </c>
      <c r="I2012">
        <f>VLOOKUP(H2012,[1]products!$B:$D,3,0)</f>
        <v>3</v>
      </c>
      <c r="J2012" t="str">
        <f>VLOOKUP(I2012,[2]categories!$A$2:$B$8,2,0)</f>
        <v>Cruisers Bicycles</v>
      </c>
    </row>
    <row r="2013" spans="1:10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 s="1">
        <f t="shared" si="31"/>
        <v>1177.981</v>
      </c>
      <c r="H2013" t="str">
        <f>VLOOKUP(C2013,[1]products!$A:$B,2,0)</f>
        <v>Sun Bicycles Biscayne Tandem 7 - 2017</v>
      </c>
      <c r="I2013">
        <f>VLOOKUP(H2013,[1]products!$B:$D,3,0)</f>
        <v>3</v>
      </c>
      <c r="J2013" t="str">
        <f>VLOOKUP(I2013,[2]categories!$A$2:$B$8,2,0)</f>
        <v>Cruisers Bicycles</v>
      </c>
    </row>
    <row r="2014" spans="1:10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 s="1">
        <f t="shared" si="31"/>
        <v>863.984</v>
      </c>
      <c r="H2014" t="str">
        <f>VLOOKUP(C2014,[1]products!$A:$B,2,0)</f>
        <v>Haro SR 1.1 - 2017</v>
      </c>
      <c r="I2014">
        <f>VLOOKUP(H2014,[1]products!$B:$D,3,0)</f>
        <v>6</v>
      </c>
      <c r="J2014" t="str">
        <f>VLOOKUP(I2014,[2]categories!$A$2:$B$8,2,0)</f>
        <v>Mountain Bikes</v>
      </c>
    </row>
    <row r="2015" spans="1:10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 s="1">
        <f t="shared" si="31"/>
        <v>791.982</v>
      </c>
      <c r="H2015" t="str">
        <f>VLOOKUP(C2015,[1]products!$A:$B,2,0)</f>
        <v>Electra Cruiser Lux 1 - 2017</v>
      </c>
      <c r="I2015">
        <f>VLOOKUP(H2015,[1]products!$B:$D,3,0)</f>
        <v>3</v>
      </c>
      <c r="J2015" t="str">
        <f>VLOOKUP(I2015,[2]categories!$A$2:$B$8,2,0)</f>
        <v>Cruisers Bicycles</v>
      </c>
    </row>
    <row r="2016" spans="1:10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 s="1">
        <f t="shared" si="31"/>
        <v>666.392</v>
      </c>
      <c r="H2016" t="str">
        <f>VLOOKUP(C2016,[1]products!$A:$B,2,0)</f>
        <v>Sun Bicycles Spider 3i - 2017</v>
      </c>
      <c r="I2016">
        <f>VLOOKUP(H2016,[1]products!$B:$D,3,0)</f>
        <v>6</v>
      </c>
      <c r="J2016" t="str">
        <f>VLOOKUP(I2016,[2]categories!$A$2:$B$8,2,0)</f>
        <v>Mountain Bikes</v>
      </c>
    </row>
    <row r="2017" spans="1:10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 s="1">
        <f t="shared" si="31"/>
        <v>239.992</v>
      </c>
      <c r="H2017" t="str">
        <f>VLOOKUP(C2017,[1]products!$A:$B,2,0)</f>
        <v>Electra Girl's Hawaii 1 16" - 2017</v>
      </c>
      <c r="I2017">
        <f>VLOOKUP(H2017,[1]products!$B:$D,3,0)</f>
        <v>3</v>
      </c>
      <c r="J2017" t="str">
        <f>VLOOKUP(I2017,[2]categories!$A$2:$B$8,2,0)</f>
        <v>Cruisers Bicycles</v>
      </c>
    </row>
    <row r="2018" spans="1:10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 s="1">
        <f t="shared" si="31"/>
        <v>5509.981</v>
      </c>
      <c r="H2018" t="str">
        <f>VLOOKUP(C2018,[1]products!$A:$B,2,0)</f>
        <v>Trek Fuel EX 8 29 - 2016</v>
      </c>
      <c r="I2018">
        <f>VLOOKUP(H2018,[1]products!$B:$D,3,0)</f>
        <v>6</v>
      </c>
      <c r="J2018" t="str">
        <f>VLOOKUP(I2018,[2]categories!$A$2:$B$8,2,0)</f>
        <v>Mountain Bikes</v>
      </c>
    </row>
    <row r="2019" spans="1:10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 s="1">
        <f t="shared" si="31"/>
        <v>335.984</v>
      </c>
      <c r="H2019" t="str">
        <f>VLOOKUP(C2019,[1]products!$A:$B,2,0)</f>
        <v>Haro Shredder 20 Girls - 2017</v>
      </c>
      <c r="I2019">
        <f>VLOOKUP(H2019,[1]products!$B:$D,3,0)</f>
        <v>1</v>
      </c>
      <c r="J2019" t="str">
        <f>VLOOKUP(I2019,[2]categories!$A$2:$B$8,2,0)</f>
        <v>Children Bicycles</v>
      </c>
    </row>
    <row r="2020" spans="1:10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 s="1">
        <f t="shared" si="31"/>
        <v>629.982</v>
      </c>
      <c r="H2020" t="str">
        <f>VLOOKUP(C2020,[1]products!$A:$B,2,0)</f>
        <v>Electra Savannah 3i (20-inch) - Girl's - 2017</v>
      </c>
      <c r="I2020">
        <f>VLOOKUP(H2020,[1]products!$B:$D,3,0)</f>
        <v>1</v>
      </c>
      <c r="J2020" t="str">
        <f>VLOOKUP(I2020,[2]categories!$A$2:$B$8,2,0)</f>
        <v>Children Bicycles</v>
      </c>
    </row>
    <row r="2021" spans="1:10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0.07</v>
      </c>
      <c r="G2021" s="1">
        <f t="shared" si="31"/>
        <v>697.4907</v>
      </c>
      <c r="H2021" t="str">
        <f>VLOOKUP(C2021,[1]products!$A:$B,2,0)</f>
        <v>Surly Ogre Frameset - 2017</v>
      </c>
      <c r="I2021">
        <f>VLOOKUP(H2021,[1]products!$B:$D,3,0)</f>
        <v>7</v>
      </c>
      <c r="J2021" t="str">
        <f>VLOOKUP(I2021,[2]categories!$A$2:$B$8,2,0)</f>
        <v>Road Bikes</v>
      </c>
    </row>
    <row r="2022" spans="1:10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0.07</v>
      </c>
      <c r="G2022" s="1">
        <f t="shared" si="31"/>
        <v>836.9814</v>
      </c>
      <c r="H2022" t="str">
        <f>VLOOKUP(C2022,[1]products!$A:$B,2,0)</f>
        <v>Sun Bicycles Cruz 3 - Women's - 2017</v>
      </c>
      <c r="I2022">
        <f>VLOOKUP(H2022,[1]products!$B:$D,3,0)</f>
        <v>2</v>
      </c>
      <c r="J2022" t="str">
        <f>VLOOKUP(I2022,[2]categories!$A$2:$B$8,2,0)</f>
        <v>Comfort Bicycles</v>
      </c>
    </row>
    <row r="2023" spans="1:10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 s="1">
        <f t="shared" si="31"/>
        <v>335.984</v>
      </c>
      <c r="H2023" t="str">
        <f>VLOOKUP(C2023,[1]products!$A:$B,2,0)</f>
        <v>Haro Shredder 20 - 2017</v>
      </c>
      <c r="I2023">
        <f>VLOOKUP(H2023,[1]products!$B:$D,3,0)</f>
        <v>1</v>
      </c>
      <c r="J2023" t="str">
        <f>VLOOKUP(I2023,[2]categories!$A$2:$B$8,2,0)</f>
        <v>Children Bicycles</v>
      </c>
    </row>
    <row r="2024" spans="1:10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 s="1">
        <f t="shared" si="31"/>
        <v>8999.982</v>
      </c>
      <c r="H2024" t="str">
        <f>VLOOKUP(C2024,[1]products!$A:$B,2,0)</f>
        <v>Trek Powerfly 8 FS Plus - 2017</v>
      </c>
      <c r="I2024">
        <f>VLOOKUP(H2024,[1]products!$B:$D,3,0)</f>
        <v>5</v>
      </c>
      <c r="J2024" t="str">
        <f>VLOOKUP(I2024,[2]categories!$A$2:$B$8,2,0)</f>
        <v>Electric Bikes</v>
      </c>
    </row>
    <row r="2025" spans="1:10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 s="1">
        <f t="shared" si="31"/>
        <v>4799.992</v>
      </c>
      <c r="H2025" t="str">
        <f>VLOOKUP(C2025,[1]products!$A:$B,2,0)</f>
        <v>Trek Silque SLR 7 Women's - 2017</v>
      </c>
      <c r="I2025">
        <f>VLOOKUP(H2025,[1]products!$B:$D,3,0)</f>
        <v>7</v>
      </c>
      <c r="J2025" t="str">
        <f>VLOOKUP(I2025,[2]categories!$A$2:$B$8,2,0)</f>
        <v>Road Bikes</v>
      </c>
    </row>
    <row r="2026" spans="1:10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 s="1">
        <f t="shared" si="31"/>
        <v>847.782</v>
      </c>
      <c r="H2026" t="str">
        <f>VLOOKUP(C2026,[1]products!$A:$B,2,0)</f>
        <v>Sun Bicycles Drifter 7 - Women's - 2017</v>
      </c>
      <c r="I2026">
        <f>VLOOKUP(H2026,[1]products!$B:$D,3,0)</f>
        <v>2</v>
      </c>
      <c r="J2026" t="str">
        <f>VLOOKUP(I2026,[2]categories!$A$2:$B$8,2,0)</f>
        <v>Comfort Bicycles</v>
      </c>
    </row>
    <row r="2027" spans="1:10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0.07</v>
      </c>
      <c r="G2027" s="1">
        <f t="shared" si="31"/>
        <v>390.5814</v>
      </c>
      <c r="H2027" t="str">
        <f>VLOOKUP(C2027,[1]products!$A:$B,2,0)</f>
        <v>Haro Shredder 20 Girls - 2017</v>
      </c>
      <c r="I2027">
        <f>VLOOKUP(H2027,[1]products!$B:$D,3,0)</f>
        <v>1</v>
      </c>
      <c r="J2027" t="str">
        <f>VLOOKUP(I2027,[2]categories!$A$2:$B$8,2,0)</f>
        <v>Children Bicycles</v>
      </c>
    </row>
    <row r="2028" spans="1:10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 s="1">
        <f t="shared" si="31"/>
        <v>362.691</v>
      </c>
      <c r="H2028" t="str">
        <f>VLOOKUP(C2028,[1]products!$A:$B,2,0)</f>
        <v>Sun Bicycles Boardwalk (24-inch Wheels) - 2017</v>
      </c>
      <c r="I2028">
        <f>VLOOKUP(H2028,[1]products!$B:$D,3,0)</f>
        <v>3</v>
      </c>
      <c r="J2028" t="str">
        <f>VLOOKUP(I2028,[2]categories!$A$2:$B$8,2,0)</f>
        <v>Cruisers Bicycles</v>
      </c>
    </row>
    <row r="2029" spans="1:10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 s="1">
        <f t="shared" si="31"/>
        <v>5509.981</v>
      </c>
      <c r="H2029" t="str">
        <f>VLOOKUP(C2029,[1]products!$A:$B,2,0)</f>
        <v>Trek Fuel EX 8 29 - 2016</v>
      </c>
      <c r="I2029">
        <f>VLOOKUP(H2029,[1]products!$B:$D,3,0)</f>
        <v>6</v>
      </c>
      <c r="J2029" t="str">
        <f>VLOOKUP(I2029,[2]categories!$A$2:$B$8,2,0)</f>
        <v>Mountain Bikes</v>
      </c>
    </row>
    <row r="2030" spans="1:10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 s="1">
        <f t="shared" si="31"/>
        <v>10449.981</v>
      </c>
      <c r="H2030" t="str">
        <f>VLOOKUP(C2030,[1]products!$A:$B,2,0)</f>
        <v>Trek Domane SLR 6 Disc - 2017</v>
      </c>
      <c r="I2030">
        <f>VLOOKUP(H2030,[1]products!$B:$D,3,0)</f>
        <v>7</v>
      </c>
      <c r="J2030" t="str">
        <f>VLOOKUP(I2030,[2]categories!$A$2:$B$8,2,0)</f>
        <v>Road Bikes</v>
      </c>
    </row>
    <row r="2031" spans="1:10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 s="1">
        <f t="shared" si="31"/>
        <v>167.992</v>
      </c>
      <c r="H2031" t="str">
        <f>VLOOKUP(C2031,[1]products!$A:$B,2,0)</f>
        <v>Haro Shredder 20 Girls - 2017</v>
      </c>
      <c r="I2031">
        <f>VLOOKUP(H2031,[1]products!$B:$D,3,0)</f>
        <v>1</v>
      </c>
      <c r="J2031" t="str">
        <f>VLOOKUP(I2031,[2]categories!$A$2:$B$8,2,0)</f>
        <v>Children Bicycles</v>
      </c>
    </row>
    <row r="2032" spans="1:10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0.07</v>
      </c>
      <c r="G2032" s="1">
        <f t="shared" si="31"/>
        <v>390.5814</v>
      </c>
      <c r="H2032" t="str">
        <f>VLOOKUP(C2032,[1]products!$A:$B,2,0)</f>
        <v>Haro Shredder 20 - 2017</v>
      </c>
      <c r="I2032">
        <f>VLOOKUP(H2032,[1]products!$B:$D,3,0)</f>
        <v>1</v>
      </c>
      <c r="J2032" t="str">
        <f>VLOOKUP(I2032,[2]categories!$A$2:$B$8,2,0)</f>
        <v>Children Bicycles</v>
      </c>
    </row>
    <row r="2033" spans="1:10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0.07</v>
      </c>
      <c r="G2033" s="1">
        <f t="shared" si="31"/>
        <v>9299.9814</v>
      </c>
      <c r="H2033" t="str">
        <f>VLOOKUP(C2033,[1]products!$A:$B,2,0)</f>
        <v>Trek Fuel EX 9.8 29 - 2017</v>
      </c>
      <c r="I2033">
        <f>VLOOKUP(H2033,[1]products!$B:$D,3,0)</f>
        <v>6</v>
      </c>
      <c r="J2033" t="str">
        <f>VLOOKUP(I2033,[2]categories!$A$2:$B$8,2,0)</f>
        <v>Mountain Bikes</v>
      </c>
    </row>
    <row r="2034" spans="1:10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 s="1">
        <f t="shared" si="31"/>
        <v>881.982</v>
      </c>
      <c r="H2034" t="str">
        <f>VLOOKUP(C2034,[1]products!$A:$B,2,0)</f>
        <v>Electra Townie Original 7D - 2017</v>
      </c>
      <c r="I2034">
        <f>VLOOKUP(H2034,[1]products!$B:$D,3,0)</f>
        <v>3</v>
      </c>
      <c r="J2034" t="str">
        <f>VLOOKUP(I2034,[2]categories!$A$2:$B$8,2,0)</f>
        <v>Cruisers Bicycles</v>
      </c>
    </row>
    <row r="2035" spans="1:10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 s="1">
        <f t="shared" si="31"/>
        <v>391.992</v>
      </c>
      <c r="H2035" t="str">
        <f>VLOOKUP(C2035,[1]products!$A:$B,2,0)</f>
        <v>Electra Townie 3i EQ (20-inch) - Boys' - 2017</v>
      </c>
      <c r="I2035">
        <f>VLOOKUP(H2035,[1]products!$B:$D,3,0)</f>
        <v>1</v>
      </c>
      <c r="J2035" t="str">
        <f>VLOOKUP(I2035,[2]categories!$A$2:$B$8,2,0)</f>
        <v>Children Bicycles</v>
      </c>
    </row>
    <row r="2036" spans="1:10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0.07</v>
      </c>
      <c r="G2036" s="1">
        <f t="shared" si="31"/>
        <v>438.0207</v>
      </c>
      <c r="H2036" t="str">
        <f>VLOOKUP(C2036,[1]products!$A:$B,2,0)</f>
        <v>Sun Bicycles Drifter 7 - Women's - 2017</v>
      </c>
      <c r="I2036">
        <f>VLOOKUP(H2036,[1]products!$B:$D,3,0)</f>
        <v>2</v>
      </c>
      <c r="J2036" t="str">
        <f>VLOOKUP(I2036,[2]categories!$A$2:$B$8,2,0)</f>
        <v>Comfort Bicycles</v>
      </c>
    </row>
    <row r="2037" spans="1:10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 s="1">
        <f t="shared" si="31"/>
        <v>422.991</v>
      </c>
      <c r="H2037" t="str">
        <f>VLOOKUP(C2037,[1]products!$A:$B,2,0)</f>
        <v>Surly Ice Cream Truck Frameset - 2016</v>
      </c>
      <c r="I2037">
        <f>VLOOKUP(H2037,[1]products!$B:$D,3,0)</f>
        <v>6</v>
      </c>
      <c r="J2037" t="str">
        <f>VLOOKUP(I2037,[2]categories!$A$2:$B$8,2,0)</f>
        <v>Mountain Bikes</v>
      </c>
    </row>
    <row r="2038" spans="1:10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0.07</v>
      </c>
      <c r="G2038" s="1">
        <f t="shared" si="31"/>
        <v>1618.1814</v>
      </c>
      <c r="H2038" t="str">
        <f>VLOOKUP(C2038,[1]products!$A:$B,2,0)</f>
        <v>Haro SR 1.2 - 2017</v>
      </c>
      <c r="I2038">
        <f>VLOOKUP(H2038,[1]products!$B:$D,3,0)</f>
        <v>6</v>
      </c>
      <c r="J2038" t="str">
        <f>VLOOKUP(I2038,[2]categories!$A$2:$B$8,2,0)</f>
        <v>Mountain Bikes</v>
      </c>
    </row>
    <row r="2039" spans="1:10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 s="1">
        <f t="shared" si="31"/>
        <v>440.991</v>
      </c>
      <c r="H2039" t="str">
        <f>VLOOKUP(C2039,[1]products!$A:$B,2,0)</f>
        <v>Electra Townie Original 7D - 2017</v>
      </c>
      <c r="I2039">
        <f>VLOOKUP(H2039,[1]products!$B:$D,3,0)</f>
        <v>3</v>
      </c>
      <c r="J2039" t="str">
        <f>VLOOKUP(I2039,[2]categories!$A$2:$B$8,2,0)</f>
        <v>Cruisers Bicycles</v>
      </c>
    </row>
    <row r="2040" spans="1:10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 s="1">
        <f t="shared" si="31"/>
        <v>1424.981</v>
      </c>
      <c r="H2040" t="str">
        <f>VLOOKUP(C2040,[1]products!$A:$B,2,0)</f>
        <v>Sun Bicycles Brickell Tandem 7 - 2017</v>
      </c>
      <c r="I2040">
        <f>VLOOKUP(H2040,[1]products!$B:$D,3,0)</f>
        <v>3</v>
      </c>
      <c r="J2040" t="str">
        <f>VLOOKUP(I2040,[2]categories!$A$2:$B$8,2,0)</f>
        <v>Cruisers Bicycles</v>
      </c>
    </row>
    <row r="2041" spans="1:10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 s="1">
        <f t="shared" si="31"/>
        <v>375.992</v>
      </c>
      <c r="H2041" t="str">
        <f>VLOOKUP(C2041,[1]products!$A:$B,2,0)</f>
        <v>Surly Wednesday Frameset - 2017</v>
      </c>
      <c r="I2041">
        <f>VLOOKUP(H2041,[1]products!$B:$D,3,0)</f>
        <v>6</v>
      </c>
      <c r="J2041" t="str">
        <f>VLOOKUP(I2041,[2]categories!$A$2:$B$8,2,0)</f>
        <v>Mountain Bikes</v>
      </c>
    </row>
    <row r="2042" spans="1:10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0.07</v>
      </c>
      <c r="G2042" s="1">
        <f t="shared" si="31"/>
        <v>502.1814</v>
      </c>
      <c r="H2042" t="str">
        <f>VLOOKUP(C2042,[1]products!$A:$B,2,0)</f>
        <v>Electra Girl's Hawaii 1 (16-inch) - 2015/2016</v>
      </c>
      <c r="I2042">
        <f>VLOOKUP(H2042,[1]products!$B:$D,3,0)</f>
        <v>3</v>
      </c>
      <c r="J2042" t="str">
        <f>VLOOKUP(I2042,[2]categories!$A$2:$B$8,2,0)</f>
        <v>Cruisers Bicycles</v>
      </c>
    </row>
    <row r="2043" spans="1:10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 s="1">
        <f t="shared" si="31"/>
        <v>949.9905</v>
      </c>
      <c r="H2043" t="str">
        <f>VLOOKUP(C2043,[1]products!$A:$B,2,0)</f>
        <v>Surly Wednesday Frameset - 2016</v>
      </c>
      <c r="I2043">
        <f>VLOOKUP(H2043,[1]products!$B:$D,3,0)</f>
        <v>6</v>
      </c>
      <c r="J2043" t="str">
        <f>VLOOKUP(I2043,[2]categories!$A$2:$B$8,2,0)</f>
        <v>Mountain Bikes</v>
      </c>
    </row>
    <row r="2044" spans="1:10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 s="1">
        <f t="shared" si="31"/>
        <v>867.582</v>
      </c>
      <c r="H2044" t="str">
        <f>VLOOKUP(C2044,[1]products!$A:$B,2,0)</f>
        <v>Sun Bicycles Streamway - 2017</v>
      </c>
      <c r="I2044">
        <f>VLOOKUP(H2044,[1]products!$B:$D,3,0)</f>
        <v>2</v>
      </c>
      <c r="J2044" t="str">
        <f>VLOOKUP(I2044,[2]categories!$A$2:$B$8,2,0)</f>
        <v>Comfort Bicycles</v>
      </c>
    </row>
    <row r="2045" spans="1:10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0.07</v>
      </c>
      <c r="G2045" s="1">
        <f t="shared" si="31"/>
        <v>1022.9814</v>
      </c>
      <c r="H2045" t="str">
        <f>VLOOKUP(C2045,[1]products!$A:$B,2,0)</f>
        <v>Electra Townie Original 21D - 2016</v>
      </c>
      <c r="I2045">
        <f>VLOOKUP(H2045,[1]products!$B:$D,3,0)</f>
        <v>3</v>
      </c>
      <c r="J2045" t="str">
        <f>VLOOKUP(I2045,[2]categories!$A$2:$B$8,2,0)</f>
        <v>Cruisers Bicycles</v>
      </c>
    </row>
    <row r="2046" spans="1:10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 s="1">
        <f t="shared" si="31"/>
        <v>569.9905</v>
      </c>
      <c r="H2046" t="str">
        <f>VLOOKUP(C2046,[1]products!$A:$B,2,0)</f>
        <v>Electra Townie Original 7D EQ - 2016</v>
      </c>
      <c r="I2046">
        <f>VLOOKUP(H2046,[1]products!$B:$D,3,0)</f>
        <v>3</v>
      </c>
      <c r="J2046" t="str">
        <f>VLOOKUP(I2046,[2]categories!$A$2:$B$8,2,0)</f>
        <v>Cruisers Bicycles</v>
      </c>
    </row>
    <row r="2047" spans="1:10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0.07</v>
      </c>
      <c r="G2047" s="1">
        <f t="shared" si="31"/>
        <v>418.4907</v>
      </c>
      <c r="H2047" t="str">
        <f>VLOOKUP(C2047,[1]products!$A:$B,2,0)</f>
        <v>Sun Bicycles Cruz 3 - Women's - 2017</v>
      </c>
      <c r="I2047">
        <f>VLOOKUP(H2047,[1]products!$B:$D,3,0)</f>
        <v>2</v>
      </c>
      <c r="J2047" t="str">
        <f>VLOOKUP(I2047,[2]categories!$A$2:$B$8,2,0)</f>
        <v>Comfort Bicycles</v>
      </c>
    </row>
    <row r="2048" spans="1:10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 s="1">
        <f t="shared" si="31"/>
        <v>284.9905</v>
      </c>
      <c r="H2048" t="str">
        <f>VLOOKUP(C2048,[1]products!$A:$B,2,0)</f>
        <v>Electra Girl's Hawaii 1 (20-inch) - 2015/2016</v>
      </c>
      <c r="I2048">
        <f>VLOOKUP(H2048,[1]products!$B:$D,3,0)</f>
        <v>1</v>
      </c>
      <c r="J2048" t="str">
        <f>VLOOKUP(I2048,[2]categories!$A$2:$B$8,2,0)</f>
        <v>Children Bicycles</v>
      </c>
    </row>
    <row r="2049" spans="1:10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 s="1">
        <f t="shared" si="31"/>
        <v>479.992</v>
      </c>
      <c r="H2049" t="str">
        <f>VLOOKUP(C2049,[1]products!$A:$B,2,0)</f>
        <v>Electra Cruiser Lux Fat Tire 1 Ladies - 2017</v>
      </c>
      <c r="I2049">
        <f>VLOOKUP(H2049,[1]products!$B:$D,3,0)</f>
        <v>3</v>
      </c>
      <c r="J2049" t="str">
        <f>VLOOKUP(I2049,[2]categories!$A$2:$B$8,2,0)</f>
        <v>Cruisers Bicycles</v>
      </c>
    </row>
    <row r="2050" spans="1:10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 s="1">
        <f t="shared" ref="G2050:G2113" si="32">D2050*E2050*(1-F2050)</f>
        <v>465.4905</v>
      </c>
      <c r="H2050" t="str">
        <f>VLOOKUP(C2050,[1]products!$A:$B,2,0)</f>
        <v>Electra Townie Original 7D - 2017</v>
      </c>
      <c r="I2050">
        <f>VLOOKUP(H2050,[1]products!$B:$D,3,0)</f>
        <v>3</v>
      </c>
      <c r="J2050" t="str">
        <f>VLOOKUP(I2050,[2]categories!$A$2:$B$8,2,0)</f>
        <v>Cruisers Bicycles</v>
      </c>
    </row>
    <row r="2051" spans="1:10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 s="1">
        <f t="shared" si="32"/>
        <v>2159.992</v>
      </c>
      <c r="H2051" t="str">
        <f>VLOOKUP(C2051,[1]products!$A:$B,2,0)</f>
        <v>Trek Domane S 6 - 2017</v>
      </c>
      <c r="I2051">
        <f>VLOOKUP(H2051,[1]products!$B:$D,3,0)</f>
        <v>7</v>
      </c>
      <c r="J2051" t="str">
        <f>VLOOKUP(I2051,[2]categories!$A$2:$B$8,2,0)</f>
        <v>Road Bikes</v>
      </c>
    </row>
    <row r="2052" spans="1:10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 s="1">
        <f t="shared" si="32"/>
        <v>188.991</v>
      </c>
      <c r="H2052" t="str">
        <f>VLOOKUP(C2052,[1]products!$A:$B,2,0)</f>
        <v>Trek Precaliber 16 Girls - 2017</v>
      </c>
      <c r="I2052">
        <f>VLOOKUP(H2052,[1]products!$B:$D,3,0)</f>
        <v>1</v>
      </c>
      <c r="J2052" t="str">
        <f>VLOOKUP(I2052,[2]categories!$A$2:$B$8,2,0)</f>
        <v>Children Bicycles</v>
      </c>
    </row>
    <row r="2053" spans="1:10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 s="1">
        <f t="shared" si="32"/>
        <v>332.4905</v>
      </c>
      <c r="H2053" t="str">
        <f>VLOOKUP(C2053,[1]products!$A:$B,2,0)</f>
        <v>Trek Precaliber 24 (21-Speed) - Girls - 2017</v>
      </c>
      <c r="I2053">
        <f>VLOOKUP(H2053,[1]products!$B:$D,3,0)</f>
        <v>1</v>
      </c>
      <c r="J2053" t="str">
        <f>VLOOKUP(I2053,[2]categories!$A$2:$B$8,2,0)</f>
        <v>Children Bicycles</v>
      </c>
    </row>
    <row r="2054" spans="1:10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0.07</v>
      </c>
      <c r="G2054" s="1">
        <f t="shared" si="32"/>
        <v>1487.9814</v>
      </c>
      <c r="H2054" t="str">
        <f>VLOOKUP(C2054,[1]products!$A:$B,2,0)</f>
        <v>Electra Glam Punk 3i Ladies' - 2017</v>
      </c>
      <c r="I2054">
        <f>VLOOKUP(H2054,[1]products!$B:$D,3,0)</f>
        <v>3</v>
      </c>
      <c r="J2054" t="str">
        <f>VLOOKUP(I2054,[2]categories!$A$2:$B$8,2,0)</f>
        <v>Cruisers Bicycles</v>
      </c>
    </row>
    <row r="2055" spans="1:10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 s="1">
        <f t="shared" si="32"/>
        <v>6299.982</v>
      </c>
      <c r="H2055" t="str">
        <f>VLOOKUP(C2055,[1]products!$A:$B,2,0)</f>
        <v>Trek Boone 7 - 2017</v>
      </c>
      <c r="I2055">
        <f>VLOOKUP(H2055,[1]products!$B:$D,3,0)</f>
        <v>4</v>
      </c>
      <c r="J2055" t="str">
        <f>VLOOKUP(I2055,[2]categories!$A$2:$B$8,2,0)</f>
        <v>Cyclocross Bicycles</v>
      </c>
    </row>
    <row r="2056" spans="1:10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 s="1">
        <f t="shared" si="32"/>
        <v>391.992</v>
      </c>
      <c r="H2056" t="str">
        <f>VLOOKUP(C2056,[1]products!$A:$B,2,0)</f>
        <v>Electra Townie Original 7D - 2017</v>
      </c>
      <c r="I2056">
        <f>VLOOKUP(H2056,[1]products!$B:$D,3,0)</f>
        <v>3</v>
      </c>
      <c r="J2056" t="str">
        <f>VLOOKUP(I2056,[2]categories!$A$2:$B$8,2,0)</f>
        <v>Cruisers Bicycles</v>
      </c>
    </row>
    <row r="2057" spans="1:10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0.07</v>
      </c>
      <c r="G2057" s="1">
        <f t="shared" si="32"/>
        <v>602.6307</v>
      </c>
      <c r="H2057" t="str">
        <f>VLOOKUP(C2057,[1]products!$A:$B,2,0)</f>
        <v>Sun Bicycles Biscayne Tandem CB - 2017</v>
      </c>
      <c r="I2057">
        <f>VLOOKUP(H2057,[1]products!$B:$D,3,0)</f>
        <v>3</v>
      </c>
      <c r="J2057" t="str">
        <f>VLOOKUP(I2057,[2]categories!$A$2:$B$8,2,0)</f>
        <v>Cruisers Bicycles</v>
      </c>
    </row>
    <row r="2058" spans="1:10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 s="1">
        <f t="shared" si="32"/>
        <v>1253.981</v>
      </c>
      <c r="H2058" t="str">
        <f>VLOOKUP(C2058,[1]products!$A:$B,2,0)</f>
        <v>Electra Amsterdam Original 3i Ladies' - 2017</v>
      </c>
      <c r="I2058">
        <f>VLOOKUP(H2058,[1]products!$B:$D,3,0)</f>
        <v>3</v>
      </c>
      <c r="J2058" t="str">
        <f>VLOOKUP(I2058,[2]categories!$A$2:$B$8,2,0)</f>
        <v>Cruisers Bicycles</v>
      </c>
    </row>
    <row r="2059" spans="1:10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 s="1">
        <f t="shared" si="32"/>
        <v>626.9905</v>
      </c>
      <c r="H2059" t="str">
        <f>VLOOKUP(C2059,[1]products!$A:$B,2,0)</f>
        <v>Electra Amsterdam Original 3i - 2015/2017</v>
      </c>
      <c r="I2059">
        <f>VLOOKUP(H2059,[1]products!$B:$D,3,0)</f>
        <v>3</v>
      </c>
      <c r="J2059" t="str">
        <f>VLOOKUP(I2059,[2]categories!$A$2:$B$8,2,0)</f>
        <v>Cruisers Bicycles</v>
      </c>
    </row>
    <row r="2060" spans="1:10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 s="1">
        <f t="shared" si="32"/>
        <v>4949.991</v>
      </c>
      <c r="H2060" t="str">
        <f>VLOOKUP(C2060,[1]products!$A:$B,2,0)</f>
        <v>Trek Domane SLR 6 Disc - 2017</v>
      </c>
      <c r="I2060">
        <f>VLOOKUP(H2060,[1]products!$B:$D,3,0)</f>
        <v>7</v>
      </c>
      <c r="J2060" t="str">
        <f>VLOOKUP(I2060,[2]categories!$A$2:$B$8,2,0)</f>
        <v>Road Bikes</v>
      </c>
    </row>
    <row r="2061" spans="1:10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 s="1">
        <f t="shared" si="32"/>
        <v>314.991</v>
      </c>
      <c r="H2061" t="str">
        <f>VLOOKUP(C2061,[1]products!$A:$B,2,0)</f>
        <v>Trek Precaliber 24 (21-Speed) - Girls - 2017</v>
      </c>
      <c r="I2061">
        <f>VLOOKUP(H2061,[1]products!$B:$D,3,0)</f>
        <v>1</v>
      </c>
      <c r="J2061" t="str">
        <f>VLOOKUP(I2061,[2]categories!$A$2:$B$8,2,0)</f>
        <v>Children Bicycles</v>
      </c>
    </row>
    <row r="2062" spans="1:10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0.07</v>
      </c>
      <c r="G2062" s="1">
        <f t="shared" si="32"/>
        <v>4649.9907</v>
      </c>
      <c r="H2062" t="str">
        <f>VLOOKUP(C2062,[1]products!$A:$B,2,0)</f>
        <v>Trek Madone 9.2 - 2017</v>
      </c>
      <c r="I2062">
        <f>VLOOKUP(H2062,[1]products!$B:$D,3,0)</f>
        <v>7</v>
      </c>
      <c r="J2062" t="str">
        <f>VLOOKUP(I2062,[2]categories!$A$2:$B$8,2,0)</f>
        <v>Road Bikes</v>
      </c>
    </row>
    <row r="2063" spans="1:10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 s="1">
        <f t="shared" si="32"/>
        <v>611.982</v>
      </c>
      <c r="H2063" t="str">
        <f>VLOOKUP(C2063,[1]products!$A:$B,2,0)</f>
        <v>Electra Townie 7D (20-inch) - Boys' - 2017</v>
      </c>
      <c r="I2063">
        <f>VLOOKUP(H2063,[1]products!$B:$D,3,0)</f>
        <v>1</v>
      </c>
      <c r="J2063" t="str">
        <f>VLOOKUP(I2063,[2]categories!$A$2:$B$8,2,0)</f>
        <v>Children Bicycles</v>
      </c>
    </row>
    <row r="2064" spans="1:10">
      <c r="A2064">
        <v>730</v>
      </c>
      <c r="B2064">
        <v>1</v>
      </c>
      <c r="C2064">
        <v>59</v>
      </c>
      <c r="D2064">
        <v>2</v>
      </c>
      <c r="E2064">
        <v>2599.99</v>
      </c>
      <c r="F2064">
        <v>0.05</v>
      </c>
      <c r="G2064" s="1">
        <f t="shared" si="32"/>
        <v>4939.981</v>
      </c>
      <c r="H2064" t="str">
        <f>VLOOKUP(C2064,[1]products!$A:$B,2,0)</f>
        <v>Trek Domane S 5 Disc - 2017</v>
      </c>
      <c r="I2064">
        <f>VLOOKUP(H2064,[1]products!$B:$D,3,0)</f>
        <v>7</v>
      </c>
      <c r="J2064" t="str">
        <f>VLOOKUP(I2064,[2]categories!$A$2:$B$8,2,0)</f>
        <v>Road Bikes</v>
      </c>
    </row>
    <row r="2065" spans="1:10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 s="1">
        <f t="shared" si="32"/>
        <v>362.691</v>
      </c>
      <c r="H2065" t="str">
        <f>VLOOKUP(C2065,[1]products!$A:$B,2,0)</f>
        <v>Sun Bicycles Boardwalk (24-inch Wheels) - 2017</v>
      </c>
      <c r="I2065">
        <f>VLOOKUP(H2065,[1]products!$B:$D,3,0)</f>
        <v>3</v>
      </c>
      <c r="J2065" t="str">
        <f>VLOOKUP(I2065,[2]categories!$A$2:$B$8,2,0)</f>
        <v>Cruisers Bicycles</v>
      </c>
    </row>
    <row r="2066" spans="1:10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0.07</v>
      </c>
      <c r="G2066" s="1">
        <f t="shared" si="32"/>
        <v>650.9814</v>
      </c>
      <c r="H2066" t="str">
        <f>VLOOKUP(C2066,[1]products!$A:$B,2,0)</f>
        <v>Electra Moto 3i (20-inch) - Boy's - 2017</v>
      </c>
      <c r="I2066">
        <f>VLOOKUP(H2066,[1]products!$B:$D,3,0)</f>
        <v>1</v>
      </c>
      <c r="J2066" t="str">
        <f>VLOOKUP(I2066,[2]categories!$A$2:$B$8,2,0)</f>
        <v>Children Bicycles</v>
      </c>
    </row>
    <row r="2067" spans="1:10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 s="1">
        <f t="shared" si="32"/>
        <v>242.991</v>
      </c>
      <c r="H2067" t="str">
        <f>VLOOKUP(C2067,[1]products!$A:$B,2,0)</f>
        <v>Electra Cruiser 1 (24-Inch) - 2016</v>
      </c>
      <c r="I2067">
        <f>VLOOKUP(H2067,[1]products!$B:$D,3,0)</f>
        <v>3</v>
      </c>
      <c r="J2067" t="str">
        <f>VLOOKUP(I2067,[2]categories!$A$2:$B$8,2,0)</f>
        <v>Cruisers Bicycles</v>
      </c>
    </row>
    <row r="2068" spans="1:10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 s="1">
        <f t="shared" si="32"/>
        <v>332.4905</v>
      </c>
      <c r="H2068" t="str">
        <f>VLOOKUP(C2068,[1]products!$A:$B,2,0)</f>
        <v>Trek Precaliber 24 (21-Speed) - Girls - 2017</v>
      </c>
      <c r="I2068">
        <f>VLOOKUP(H2068,[1]products!$B:$D,3,0)</f>
        <v>1</v>
      </c>
      <c r="J2068" t="str">
        <f>VLOOKUP(I2068,[2]categories!$A$2:$B$8,2,0)</f>
        <v>Children Bicycles</v>
      </c>
    </row>
    <row r="2069" spans="1:10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 s="1">
        <f t="shared" si="32"/>
        <v>2799.992</v>
      </c>
      <c r="H2069" t="str">
        <f>VLOOKUP(C2069,[1]products!$A:$B,2,0)</f>
        <v>Trek Domane SL 6 - 2017</v>
      </c>
      <c r="I2069">
        <f>VLOOKUP(H2069,[1]products!$B:$D,3,0)</f>
        <v>7</v>
      </c>
      <c r="J2069" t="str">
        <f>VLOOKUP(I2069,[2]categories!$A$2:$B$8,2,0)</f>
        <v>Road Bikes</v>
      </c>
    </row>
    <row r="2070" spans="1:10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 s="1">
        <f t="shared" si="32"/>
        <v>401.584</v>
      </c>
      <c r="H2070" t="str">
        <f>VLOOKUP(C2070,[1]products!$A:$B,2,0)</f>
        <v>Sun Bicycles Revolutions 24 - Girl's - 2017</v>
      </c>
      <c r="I2070">
        <f>VLOOKUP(H2070,[1]products!$B:$D,3,0)</f>
        <v>3</v>
      </c>
      <c r="J2070" t="str">
        <f>VLOOKUP(I2070,[2]categories!$A$2:$B$8,2,0)</f>
        <v>Cruisers Bicycles</v>
      </c>
    </row>
    <row r="2071" spans="1:10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 s="1">
        <f t="shared" si="32"/>
        <v>799.992</v>
      </c>
      <c r="H2071" t="str">
        <f>VLOOKUP(C2071,[1]products!$A:$B,2,0)</f>
        <v>Trek X-Caliber 8 - 2017</v>
      </c>
      <c r="I2071">
        <f>VLOOKUP(H2071,[1]products!$B:$D,3,0)</f>
        <v>6</v>
      </c>
      <c r="J2071" t="str">
        <f>VLOOKUP(I2071,[2]categories!$A$2:$B$8,2,0)</f>
        <v>Mountain Bikes</v>
      </c>
    </row>
    <row r="2072" spans="1:10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0.07</v>
      </c>
      <c r="G2072" s="1">
        <f t="shared" si="32"/>
        <v>4928.9907</v>
      </c>
      <c r="H2072" t="str">
        <f>VLOOKUP(C2072,[1]products!$A:$B,2,0)</f>
        <v>Trek Remedy 9.8 - 2017</v>
      </c>
      <c r="I2072">
        <f>VLOOKUP(H2072,[1]products!$B:$D,3,0)</f>
        <v>6</v>
      </c>
      <c r="J2072" t="str">
        <f>VLOOKUP(I2072,[2]categories!$A$2:$B$8,2,0)</f>
        <v>Mountain Bikes</v>
      </c>
    </row>
    <row r="2073" spans="1:10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0.07</v>
      </c>
      <c r="G2073" s="1">
        <f t="shared" si="32"/>
        <v>5393.9814</v>
      </c>
      <c r="H2073" t="str">
        <f>VLOOKUP(C2073,[1]products!$A:$B,2,0)</f>
        <v>Trek Fuel EX 8 29 - 2016</v>
      </c>
      <c r="I2073">
        <f>VLOOKUP(H2073,[1]products!$B:$D,3,0)</f>
        <v>6</v>
      </c>
      <c r="J2073" t="str">
        <f>VLOOKUP(I2073,[2]categories!$A$2:$B$8,2,0)</f>
        <v>Mountain Bikes</v>
      </c>
    </row>
    <row r="2074" spans="1:10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 s="1">
        <f t="shared" si="32"/>
        <v>104.4905</v>
      </c>
      <c r="H2074" t="str">
        <f>VLOOKUP(C2074,[1]products!$A:$B,2,0)</f>
        <v>Sun Bicycles Lil Kitt'n - 2017</v>
      </c>
      <c r="I2074">
        <f>VLOOKUP(H2074,[1]products!$B:$D,3,0)</f>
        <v>1</v>
      </c>
      <c r="J2074" t="str">
        <f>VLOOKUP(I2074,[2]categories!$A$2:$B$8,2,0)</f>
        <v>Children Bicycles</v>
      </c>
    </row>
    <row r="2075" spans="1:10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 s="1">
        <f t="shared" si="32"/>
        <v>2159.992</v>
      </c>
      <c r="H2075" t="str">
        <f>VLOOKUP(C2075,[1]products!$A:$B,2,0)</f>
        <v>Trek Domane S 6 - 2017</v>
      </c>
      <c r="I2075">
        <f>VLOOKUP(H2075,[1]products!$B:$D,3,0)</f>
        <v>7</v>
      </c>
      <c r="J2075" t="str">
        <f>VLOOKUP(I2075,[2]categories!$A$2:$B$8,2,0)</f>
        <v>Road Bikes</v>
      </c>
    </row>
    <row r="2076" spans="1:10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 s="1">
        <f t="shared" si="32"/>
        <v>881.982</v>
      </c>
      <c r="H2076" t="str">
        <f>VLOOKUP(C2076,[1]products!$A:$B,2,0)</f>
        <v>Electra Townie Original 7D - 2017</v>
      </c>
      <c r="I2076">
        <f>VLOOKUP(H2076,[1]products!$B:$D,3,0)</f>
        <v>3</v>
      </c>
      <c r="J2076" t="str">
        <f>VLOOKUP(I2076,[2]categories!$A$2:$B$8,2,0)</f>
        <v>Cruisers Bicycles</v>
      </c>
    </row>
    <row r="2077" spans="1:10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 s="1">
        <f t="shared" si="32"/>
        <v>479.992</v>
      </c>
      <c r="H2077" t="str">
        <f>VLOOKUP(C2077,[1]products!$A:$B,2,0)</f>
        <v>Electra Townie Original 7D EQ - 2016</v>
      </c>
      <c r="I2077">
        <f>VLOOKUP(H2077,[1]products!$B:$D,3,0)</f>
        <v>3</v>
      </c>
      <c r="J2077" t="str">
        <f>VLOOKUP(I2077,[2]categories!$A$2:$B$8,2,0)</f>
        <v>Cruisers Bicycles</v>
      </c>
    </row>
    <row r="2078" spans="1:10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 s="1">
        <f t="shared" si="32"/>
        <v>949.9905</v>
      </c>
      <c r="H2078" t="str">
        <f>VLOOKUP(C2078,[1]products!$A:$B,2,0)</f>
        <v>Surly Wednesday Frameset - 2016</v>
      </c>
      <c r="I2078">
        <f>VLOOKUP(H2078,[1]products!$B:$D,3,0)</f>
        <v>6</v>
      </c>
      <c r="J2078" t="str">
        <f>VLOOKUP(I2078,[2]categories!$A$2:$B$8,2,0)</f>
        <v>Mountain Bikes</v>
      </c>
    </row>
    <row r="2079" spans="1:10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 s="1">
        <f t="shared" si="32"/>
        <v>175.984</v>
      </c>
      <c r="H2079" t="str">
        <f>VLOOKUP(C2079,[1]products!$A:$B,2,0)</f>
        <v>Sun Bicycles Lil Kitt'n - 2017</v>
      </c>
      <c r="I2079">
        <f>VLOOKUP(H2079,[1]products!$B:$D,3,0)</f>
        <v>1</v>
      </c>
      <c r="J2079" t="str">
        <f>VLOOKUP(I2079,[2]categories!$A$2:$B$8,2,0)</f>
        <v>Children Bicycles</v>
      </c>
    </row>
    <row r="2080" spans="1:10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 s="1">
        <f t="shared" si="32"/>
        <v>624.582</v>
      </c>
      <c r="H2080" t="str">
        <f>VLOOKUP(C2080,[1]products!$A:$B,2,0)</f>
        <v>Sun Bicycles Lil Bolt Type-R - 2017</v>
      </c>
      <c r="I2080">
        <f>VLOOKUP(H2080,[1]products!$B:$D,3,0)</f>
        <v>3</v>
      </c>
      <c r="J2080" t="str">
        <f>VLOOKUP(I2080,[2]categories!$A$2:$B$8,2,0)</f>
        <v>Cruisers Bicycles</v>
      </c>
    </row>
    <row r="2081" spans="1:10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 s="1">
        <f t="shared" si="32"/>
        <v>750.582</v>
      </c>
      <c r="H2081" t="str">
        <f>VLOOKUP(C2081,[1]products!$A:$B,2,0)</f>
        <v>Sun Bicycles Atlas X-Type - 2017</v>
      </c>
      <c r="I2081">
        <f>VLOOKUP(H2081,[1]products!$B:$D,3,0)</f>
        <v>3</v>
      </c>
      <c r="J2081" t="str">
        <f>VLOOKUP(I2081,[2]categories!$A$2:$B$8,2,0)</f>
        <v>Cruisers Bicycles</v>
      </c>
    </row>
    <row r="2082" spans="1:10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0.07</v>
      </c>
      <c r="G2082" s="1">
        <f t="shared" si="32"/>
        <v>2881.14</v>
      </c>
      <c r="H2082" t="str">
        <f>VLOOKUP(C2082,[1]products!$A:$B,2,0)</f>
        <v>Surly Straggler - 2016</v>
      </c>
      <c r="I2082">
        <f>VLOOKUP(H2082,[1]products!$B:$D,3,0)</f>
        <v>4</v>
      </c>
      <c r="J2082" t="str">
        <f>VLOOKUP(I2082,[2]categories!$A$2:$B$8,2,0)</f>
        <v>Cyclocross Bicycles</v>
      </c>
    </row>
    <row r="2083" spans="1:10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 s="1">
        <f t="shared" si="32"/>
        <v>10449.981</v>
      </c>
      <c r="H2083" t="str">
        <f>VLOOKUP(C2083,[1]products!$A:$B,2,0)</f>
        <v>Trek Domane SLR 6 Disc - 2017</v>
      </c>
      <c r="I2083">
        <f>VLOOKUP(H2083,[1]products!$B:$D,3,0)</f>
        <v>7</v>
      </c>
      <c r="J2083" t="str">
        <f>VLOOKUP(I2083,[2]categories!$A$2:$B$8,2,0)</f>
        <v>Road Bikes</v>
      </c>
    </row>
    <row r="2084" spans="1:10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 s="1">
        <f t="shared" si="32"/>
        <v>386.1</v>
      </c>
      <c r="H2084" t="str">
        <f>VLOOKUP(C2084,[1]products!$A:$B,2,0)</f>
        <v>Pure Cycles Vine 8-Speed - 2016</v>
      </c>
      <c r="I2084">
        <f>VLOOKUP(H2084,[1]products!$B:$D,3,0)</f>
        <v>3</v>
      </c>
      <c r="J2084" t="str">
        <f>VLOOKUP(I2084,[2]categories!$A$2:$B$8,2,0)</f>
        <v>Cruisers Bicycles</v>
      </c>
    </row>
    <row r="2085" spans="1:10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 s="1">
        <f t="shared" si="32"/>
        <v>5599.984</v>
      </c>
      <c r="H2085" t="str">
        <f>VLOOKUP(C2085,[1]products!$A:$B,2,0)</f>
        <v>Trek Boone 7 - 2017</v>
      </c>
      <c r="I2085">
        <f>VLOOKUP(H2085,[1]products!$B:$D,3,0)</f>
        <v>4</v>
      </c>
      <c r="J2085" t="str">
        <f>VLOOKUP(I2085,[2]categories!$A$2:$B$8,2,0)</f>
        <v>Cyclocross Bicycles</v>
      </c>
    </row>
    <row r="2086" spans="1:10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 s="1">
        <f t="shared" si="32"/>
        <v>832.1905</v>
      </c>
      <c r="H2086" t="str">
        <f>VLOOKUP(C2086,[1]products!$A:$B,2,0)</f>
        <v>Surly Steamroller - 2017</v>
      </c>
      <c r="I2086">
        <f>VLOOKUP(H2086,[1]products!$B:$D,3,0)</f>
        <v>7</v>
      </c>
      <c r="J2086" t="str">
        <f>VLOOKUP(I2086,[2]categories!$A$2:$B$8,2,0)</f>
        <v>Road Bikes</v>
      </c>
    </row>
    <row r="2087" spans="1:10">
      <c r="A2087">
        <v>737</v>
      </c>
      <c r="B2087">
        <v>2</v>
      </c>
      <c r="C2087">
        <v>19</v>
      </c>
      <c r="D2087">
        <v>2</v>
      </c>
      <c r="E2087">
        <v>449</v>
      </c>
      <c r="F2087">
        <v>0.07</v>
      </c>
      <c r="G2087" s="1">
        <f t="shared" si="32"/>
        <v>835.14</v>
      </c>
      <c r="H2087" t="str">
        <f>VLOOKUP(C2087,[1]products!$A:$B,2,0)</f>
        <v>Pure Cycles William 3-Speed - 2016</v>
      </c>
      <c r="I2087">
        <f>VLOOKUP(H2087,[1]products!$B:$D,3,0)</f>
        <v>3</v>
      </c>
      <c r="J2087" t="str">
        <f>VLOOKUP(I2087,[2]categories!$A$2:$B$8,2,0)</f>
        <v>Cruisers Bicycles</v>
      </c>
    </row>
    <row r="2088" spans="1:10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0.07</v>
      </c>
      <c r="G2088" s="1">
        <f t="shared" si="32"/>
        <v>1487.9814</v>
      </c>
      <c r="H2088" t="str">
        <f>VLOOKUP(C2088,[1]products!$A:$B,2,0)</f>
        <v>Electra Glam Punk 3i Ladies' - 2017</v>
      </c>
      <c r="I2088">
        <f>VLOOKUP(H2088,[1]products!$B:$D,3,0)</f>
        <v>3</v>
      </c>
      <c r="J2088" t="str">
        <f>VLOOKUP(I2088,[2]categories!$A$2:$B$8,2,0)</f>
        <v>Cruisers Bicycles</v>
      </c>
    </row>
    <row r="2089" spans="1:10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 s="1">
        <f t="shared" si="32"/>
        <v>375.992</v>
      </c>
      <c r="H2089" t="str">
        <f>VLOOKUP(C2089,[1]products!$A:$B,2,0)</f>
        <v>Trek Session DH 27.5 Carbon Frameset - 2017</v>
      </c>
      <c r="I2089">
        <f>VLOOKUP(H2089,[1]products!$B:$D,3,0)</f>
        <v>6</v>
      </c>
      <c r="J2089" t="str">
        <f>VLOOKUP(I2089,[2]categories!$A$2:$B$8,2,0)</f>
        <v>Mountain Bikes</v>
      </c>
    </row>
    <row r="2090" spans="1:10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0.07</v>
      </c>
      <c r="G2090" s="1">
        <f t="shared" si="32"/>
        <v>1227.5814</v>
      </c>
      <c r="H2090" t="str">
        <f>VLOOKUP(C2090,[1]products!$A:$B,2,0)</f>
        <v>Electra Amsterdam Original 3i Ladies' - 2017</v>
      </c>
      <c r="I2090">
        <f>VLOOKUP(H2090,[1]products!$B:$D,3,0)</f>
        <v>3</v>
      </c>
      <c r="J2090" t="str">
        <f>VLOOKUP(I2090,[2]categories!$A$2:$B$8,2,0)</f>
        <v>Cruisers Bicycles</v>
      </c>
    </row>
    <row r="2091" spans="1:10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 s="1">
        <f t="shared" si="32"/>
        <v>879.984</v>
      </c>
      <c r="H2091" t="str">
        <f>VLOOKUP(C2091,[1]products!$A:$B,2,0)</f>
        <v>Haro Flightline Two 26 Plus - 2017</v>
      </c>
      <c r="I2091">
        <f>VLOOKUP(H2091,[1]products!$B:$D,3,0)</f>
        <v>6</v>
      </c>
      <c r="J2091" t="str">
        <f>VLOOKUP(I2091,[2]categories!$A$2:$B$8,2,0)</f>
        <v>Mountain Bikes</v>
      </c>
    </row>
    <row r="2092" spans="1:10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 s="1">
        <f t="shared" si="32"/>
        <v>449.991</v>
      </c>
      <c r="H2092" t="str">
        <f>VLOOKUP(C2092,[1]products!$A:$B,2,0)</f>
        <v>Electra Townie Original 7D - 2015/2016</v>
      </c>
      <c r="I2092">
        <f>VLOOKUP(H2092,[1]products!$B:$D,3,0)</f>
        <v>2</v>
      </c>
      <c r="J2092" t="str">
        <f>VLOOKUP(I2092,[2]categories!$A$2:$B$8,2,0)</f>
        <v>Comfort Bicycles</v>
      </c>
    </row>
    <row r="2093" spans="1:10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0.07</v>
      </c>
      <c r="G2093" s="1">
        <f t="shared" si="32"/>
        <v>3254.9907</v>
      </c>
      <c r="H2093" t="str">
        <f>VLOOKUP(C2093,[1]products!$A:$B,2,0)</f>
        <v>Trek Boone Race Shop Limited - 2017</v>
      </c>
      <c r="I2093">
        <f>VLOOKUP(H2093,[1]products!$B:$D,3,0)</f>
        <v>4</v>
      </c>
      <c r="J2093" t="str">
        <f>VLOOKUP(I2093,[2]categories!$A$2:$B$8,2,0)</f>
        <v>Cyclocross Bicycles</v>
      </c>
    </row>
    <row r="2094" spans="1:10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 s="1">
        <f t="shared" si="32"/>
        <v>799.992</v>
      </c>
      <c r="H2094" t="str">
        <f>VLOOKUP(C2094,[1]products!$A:$B,2,0)</f>
        <v>Surly Wednesday Frameset - 2016</v>
      </c>
      <c r="I2094">
        <f>VLOOKUP(H2094,[1]products!$B:$D,3,0)</f>
        <v>6</v>
      </c>
      <c r="J2094" t="str">
        <f>VLOOKUP(I2094,[2]categories!$A$2:$B$8,2,0)</f>
        <v>Mountain Bikes</v>
      </c>
    </row>
    <row r="2095" spans="1:10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 s="1">
        <f t="shared" si="32"/>
        <v>1044.9905</v>
      </c>
      <c r="H2095" t="str">
        <f>VLOOKUP(C2095,[1]products!$A:$B,2,0)</f>
        <v>Electra Amsterdam Fashion 7i Ladies' - 2017</v>
      </c>
      <c r="I2095">
        <f>VLOOKUP(H2095,[1]products!$B:$D,3,0)</f>
        <v>3</v>
      </c>
      <c r="J2095" t="str">
        <f>VLOOKUP(I2095,[2]categories!$A$2:$B$8,2,0)</f>
        <v>Cruisers Bicycles</v>
      </c>
    </row>
    <row r="2096" spans="1:10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 s="1">
        <f t="shared" si="32"/>
        <v>399.984</v>
      </c>
      <c r="H2096" t="str">
        <f>VLOOKUP(C2096,[1]products!$A:$B,2,0)</f>
        <v>Haro Shredder Pro 20 - 2017</v>
      </c>
      <c r="I2096">
        <f>VLOOKUP(H2096,[1]products!$B:$D,3,0)</f>
        <v>1</v>
      </c>
      <c r="J2096" t="str">
        <f>VLOOKUP(I2096,[2]categories!$A$2:$B$8,2,0)</f>
        <v>Children Bicycles</v>
      </c>
    </row>
    <row r="2097" spans="1:10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 s="1">
        <f t="shared" si="32"/>
        <v>1344.792</v>
      </c>
      <c r="H2097" t="str">
        <f>VLOOKUP(C2097,[1]products!$A:$B,2,0)</f>
        <v>Surly Straggler 650b - 2016</v>
      </c>
      <c r="I2097">
        <f>VLOOKUP(H2097,[1]products!$B:$D,3,0)</f>
        <v>4</v>
      </c>
      <c r="J2097" t="str">
        <f>VLOOKUP(I2097,[2]categories!$A$2:$B$8,2,0)</f>
        <v>Cyclocross Bicycles</v>
      </c>
    </row>
    <row r="2098" spans="1:10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 s="1">
        <f t="shared" si="32"/>
        <v>359.2</v>
      </c>
      <c r="H2098" t="str">
        <f>VLOOKUP(C2098,[1]products!$A:$B,2,0)</f>
        <v>Pure Cycles William 3-Speed - 2016</v>
      </c>
      <c r="I2098">
        <f>VLOOKUP(H2098,[1]products!$B:$D,3,0)</f>
        <v>3</v>
      </c>
      <c r="J2098" t="str">
        <f>VLOOKUP(I2098,[2]categories!$A$2:$B$8,2,0)</f>
        <v>Cruisers Bicycles</v>
      </c>
    </row>
    <row r="2099" spans="1:10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0.07</v>
      </c>
      <c r="G2099" s="1">
        <f t="shared" si="32"/>
        <v>1022.9814</v>
      </c>
      <c r="H2099" t="str">
        <f>VLOOKUP(C2099,[1]products!$A:$B,2,0)</f>
        <v>Electra Townie Original 21D - 2016</v>
      </c>
      <c r="I2099">
        <f>VLOOKUP(H2099,[1]products!$B:$D,3,0)</f>
        <v>3</v>
      </c>
      <c r="J2099" t="str">
        <f>VLOOKUP(I2099,[2]categories!$A$2:$B$8,2,0)</f>
        <v>Cruisers Bicycles</v>
      </c>
    </row>
    <row r="2100" spans="1:10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 s="1">
        <f t="shared" si="32"/>
        <v>4749.9905</v>
      </c>
      <c r="H2100" t="str">
        <f>VLOOKUP(C2100,[1]products!$A:$B,2,0)</f>
        <v>Trek Madone 9.2 - 2017</v>
      </c>
      <c r="I2100">
        <f>VLOOKUP(H2100,[1]products!$B:$D,3,0)</f>
        <v>7</v>
      </c>
      <c r="J2100" t="str">
        <f>VLOOKUP(I2100,[2]categories!$A$2:$B$8,2,0)</f>
        <v>Road Bikes</v>
      </c>
    </row>
    <row r="2101" spans="1:10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0.07</v>
      </c>
      <c r="G2101" s="1">
        <f t="shared" si="32"/>
        <v>278.9907</v>
      </c>
      <c r="H2101" t="str">
        <f>VLOOKUP(C2101,[1]products!$A:$B,2,0)</f>
        <v>Electra Girl's Hawaii 1 16" - 2017</v>
      </c>
      <c r="I2101">
        <f>VLOOKUP(H2101,[1]products!$B:$D,3,0)</f>
        <v>3</v>
      </c>
      <c r="J2101" t="str">
        <f>VLOOKUP(I2101,[2]categories!$A$2:$B$8,2,0)</f>
        <v>Cruisers Bicycles</v>
      </c>
    </row>
    <row r="2102" spans="1:10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0.07</v>
      </c>
      <c r="G2102" s="1">
        <f t="shared" si="32"/>
        <v>502.1814</v>
      </c>
      <c r="H2102" t="str">
        <f>VLOOKUP(C2102,[1]products!$A:$B,2,0)</f>
        <v>Electra Cruiser 1 (24-Inch) - 2016</v>
      </c>
      <c r="I2102">
        <f>VLOOKUP(H2102,[1]products!$B:$D,3,0)</f>
        <v>3</v>
      </c>
      <c r="J2102" t="str">
        <f>VLOOKUP(I2102,[2]categories!$A$2:$B$8,2,0)</f>
        <v>Cruisers Bicycles</v>
      </c>
    </row>
    <row r="2103" spans="1:10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 s="1">
        <f t="shared" si="32"/>
        <v>10449.981</v>
      </c>
      <c r="H2103" t="str">
        <f>VLOOKUP(C2103,[1]products!$A:$B,2,0)</f>
        <v>Trek Domane SLR 6 Disc - 2017</v>
      </c>
      <c r="I2103">
        <f>VLOOKUP(H2103,[1]products!$B:$D,3,0)</f>
        <v>7</v>
      </c>
      <c r="J2103" t="str">
        <f>VLOOKUP(I2103,[2]categories!$A$2:$B$8,2,0)</f>
        <v>Road Bikes</v>
      </c>
    </row>
    <row r="2104" spans="1:10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 s="1">
        <f t="shared" si="32"/>
        <v>792.281</v>
      </c>
      <c r="H2104" t="str">
        <f>VLOOKUP(C2104,[1]products!$A:$B,2,0)</f>
        <v>Sun Bicycles Cruz 7 - 2017</v>
      </c>
      <c r="I2104">
        <f>VLOOKUP(H2104,[1]products!$B:$D,3,0)</f>
        <v>3</v>
      </c>
      <c r="J2104" t="str">
        <f>VLOOKUP(I2104,[2]categories!$A$2:$B$8,2,0)</f>
        <v>Cruisers Bicycles</v>
      </c>
    </row>
    <row r="2105" spans="1:10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0.07</v>
      </c>
      <c r="G2105" s="1">
        <f t="shared" si="32"/>
        <v>809.0907</v>
      </c>
      <c r="H2105" t="str">
        <f>VLOOKUP(C2105,[1]products!$A:$B,2,0)</f>
        <v>Haro SR 1.2 - 2017</v>
      </c>
      <c r="I2105">
        <f>VLOOKUP(H2105,[1]products!$B:$D,3,0)</f>
        <v>6</v>
      </c>
      <c r="J2105" t="str">
        <f>VLOOKUP(I2105,[2]categories!$A$2:$B$8,2,0)</f>
        <v>Mountain Bikes</v>
      </c>
    </row>
    <row r="2106" spans="1:10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 s="1">
        <f t="shared" si="32"/>
        <v>723.8905</v>
      </c>
      <c r="H2106" t="str">
        <f>VLOOKUP(C2106,[1]products!$A:$B,2,0)</f>
        <v>Sun Bicycles Brickell Tandem CB - 2017</v>
      </c>
      <c r="I2106">
        <f>VLOOKUP(H2106,[1]products!$B:$D,3,0)</f>
        <v>3</v>
      </c>
      <c r="J2106" t="str">
        <f>VLOOKUP(I2106,[2]categories!$A$2:$B$8,2,0)</f>
        <v>Cruisers Bicycles</v>
      </c>
    </row>
    <row r="2107" spans="1:10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 s="1">
        <f t="shared" si="32"/>
        <v>751.984</v>
      </c>
      <c r="H2107" t="str">
        <f>VLOOKUP(C2107,[1]products!$A:$B,2,0)</f>
        <v>Surly Wednesday Frameset - 2017</v>
      </c>
      <c r="I2107">
        <f>VLOOKUP(H2107,[1]products!$B:$D,3,0)</f>
        <v>6</v>
      </c>
      <c r="J2107" t="str">
        <f>VLOOKUP(I2107,[2]categories!$A$2:$B$8,2,0)</f>
        <v>Mountain Bikes</v>
      </c>
    </row>
    <row r="2108" spans="1:10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 s="1">
        <f t="shared" si="32"/>
        <v>569.981</v>
      </c>
      <c r="H2108" t="str">
        <f>VLOOKUP(C2108,[1]products!$A:$B,2,0)</f>
        <v>Electra Girl's Hawaii 1 16" - 2017</v>
      </c>
      <c r="I2108">
        <f>VLOOKUP(H2108,[1]products!$B:$D,3,0)</f>
        <v>3</v>
      </c>
      <c r="J2108" t="str">
        <f>VLOOKUP(I2108,[2]categories!$A$2:$B$8,2,0)</f>
        <v>Cruisers Bicycles</v>
      </c>
    </row>
    <row r="2109" spans="1:10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 s="1">
        <f t="shared" si="32"/>
        <v>431.984</v>
      </c>
      <c r="H2109" t="str">
        <f>VLOOKUP(C2109,[1]products!$A:$B,2,0)</f>
        <v>Electra Girl's Hawaii 1 (16-inch) - 2015/2016</v>
      </c>
      <c r="I2109">
        <f>VLOOKUP(H2109,[1]products!$B:$D,3,0)</f>
        <v>3</v>
      </c>
      <c r="J2109" t="str">
        <f>VLOOKUP(I2109,[2]categories!$A$2:$B$8,2,0)</f>
        <v>Cruisers Bicycles</v>
      </c>
    </row>
    <row r="2110" spans="1:10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 s="1">
        <f t="shared" si="32"/>
        <v>583.191</v>
      </c>
      <c r="H2110" t="str">
        <f>VLOOKUP(C2110,[1]products!$A:$B,2,0)</f>
        <v>Sun Bicycles Biscayne Tandem CB - 2017</v>
      </c>
      <c r="I2110">
        <f>VLOOKUP(H2110,[1]products!$B:$D,3,0)</f>
        <v>3</v>
      </c>
      <c r="J2110" t="str">
        <f>VLOOKUP(I2110,[2]categories!$A$2:$B$8,2,0)</f>
        <v>Cruisers Bicycles</v>
      </c>
    </row>
    <row r="2111" spans="1:10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 s="1">
        <f t="shared" si="32"/>
        <v>269.991</v>
      </c>
      <c r="H2111" t="str">
        <f>VLOOKUP(C2111,[1]products!$A:$B,2,0)</f>
        <v>Electra Sugar Skulls 1 (20-inch) - Girl's - 2017</v>
      </c>
      <c r="I2111">
        <f>VLOOKUP(H2111,[1]products!$B:$D,3,0)</f>
        <v>1</v>
      </c>
      <c r="J2111" t="str">
        <f>VLOOKUP(I2111,[2]categories!$A$2:$B$8,2,0)</f>
        <v>Children Bicycles</v>
      </c>
    </row>
    <row r="2112" spans="1:10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0.07</v>
      </c>
      <c r="G2112" s="1">
        <f t="shared" si="32"/>
        <v>438.0207</v>
      </c>
      <c r="H2112" t="str">
        <f>VLOOKUP(C2112,[1]products!$A:$B,2,0)</f>
        <v>Sun Bicycles Drifter 7 - 2017</v>
      </c>
      <c r="I2112">
        <f>VLOOKUP(H2112,[1]products!$B:$D,3,0)</f>
        <v>2</v>
      </c>
      <c r="J2112" t="str">
        <f>VLOOKUP(I2112,[2]categories!$A$2:$B$8,2,0)</f>
        <v>Comfort Bicycles</v>
      </c>
    </row>
    <row r="2113" spans="1:10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 s="1">
        <f t="shared" si="32"/>
        <v>119.992</v>
      </c>
      <c r="H2113" t="str">
        <f>VLOOKUP(C2113,[1]products!$A:$B,2,0)</f>
        <v>Trek Girl's Kickster - 2017</v>
      </c>
      <c r="I2113">
        <f>VLOOKUP(H2113,[1]products!$B:$D,3,0)</f>
        <v>1</v>
      </c>
      <c r="J2113" t="str">
        <f>VLOOKUP(I2113,[2]categories!$A$2:$B$8,2,0)</f>
        <v>Children Bicycles</v>
      </c>
    </row>
    <row r="2114" spans="1:10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 s="1">
        <f t="shared" ref="G2114:G2177" si="33">D2114*E2114*(1-F2114)</f>
        <v>845.982</v>
      </c>
      <c r="H2114" t="str">
        <f>VLOOKUP(C2114,[1]products!$A:$B,2,0)</f>
        <v>Surly Wednesday Frameset - 2017</v>
      </c>
      <c r="I2114">
        <f>VLOOKUP(H2114,[1]products!$B:$D,3,0)</f>
        <v>6</v>
      </c>
      <c r="J2114" t="str">
        <f>VLOOKUP(I2114,[2]categories!$A$2:$B$8,2,0)</f>
        <v>Mountain Bikes</v>
      </c>
    </row>
    <row r="2115" spans="1:10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0.07</v>
      </c>
      <c r="G2115" s="1">
        <f t="shared" si="33"/>
        <v>1022.9907</v>
      </c>
      <c r="H2115" t="str">
        <f>VLOOKUP(C2115,[1]products!$A:$B,2,0)</f>
        <v>Electra Amsterdam Fashion 7i Ladies' - 2017</v>
      </c>
      <c r="I2115">
        <f>VLOOKUP(H2115,[1]products!$B:$D,3,0)</f>
        <v>3</v>
      </c>
      <c r="J2115" t="str">
        <f>VLOOKUP(I2115,[2]categories!$A$2:$B$8,2,0)</f>
        <v>Cruisers Bicycles</v>
      </c>
    </row>
    <row r="2116" spans="1:10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 s="1">
        <f t="shared" si="33"/>
        <v>1079.982</v>
      </c>
      <c r="H2116" t="str">
        <f>VLOOKUP(C2116,[1]products!$A:$B,2,0)</f>
        <v>Electra Townie Original 7D EQ - 2016</v>
      </c>
      <c r="I2116">
        <f>VLOOKUP(H2116,[1]products!$B:$D,3,0)</f>
        <v>3</v>
      </c>
      <c r="J2116" t="str">
        <f>VLOOKUP(I2116,[2]categories!$A$2:$B$8,2,0)</f>
        <v>Cruisers Bicycles</v>
      </c>
    </row>
    <row r="2117" spans="1:10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 s="1">
        <f t="shared" si="33"/>
        <v>284.981</v>
      </c>
      <c r="H2117" t="str">
        <f>VLOOKUP(C2117,[1]products!$A:$B,2,0)</f>
        <v>Trek Boy's Kickster - 2015/2017</v>
      </c>
      <c r="I2117">
        <f>VLOOKUP(H2117,[1]products!$B:$D,3,0)</f>
        <v>1</v>
      </c>
      <c r="J2117" t="str">
        <f>VLOOKUP(I2117,[2]categories!$A$2:$B$8,2,0)</f>
        <v>Children Bicycles</v>
      </c>
    </row>
    <row r="2118" spans="1:10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0.07</v>
      </c>
      <c r="G2118" s="1">
        <f t="shared" si="33"/>
        <v>1367.0907</v>
      </c>
      <c r="H2118" t="str">
        <f>VLOOKUP(C2118,[1]products!$A:$B,2,0)</f>
        <v>Haro Shift R3 - 2017</v>
      </c>
      <c r="I2118">
        <f>VLOOKUP(H2118,[1]products!$B:$D,3,0)</f>
        <v>6</v>
      </c>
      <c r="J2118" t="str">
        <f>VLOOKUP(I2118,[2]categories!$A$2:$B$8,2,0)</f>
        <v>Mountain Bikes</v>
      </c>
    </row>
    <row r="2119" spans="1:10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 s="1">
        <f t="shared" si="33"/>
        <v>1332.784</v>
      </c>
      <c r="H2119" t="str">
        <f>VLOOKUP(C2119,[1]products!$A:$B,2,0)</f>
        <v>Sun Bicycles Spider 3i - 2017</v>
      </c>
      <c r="I2119">
        <f>VLOOKUP(H2119,[1]products!$B:$D,3,0)</f>
        <v>6</v>
      </c>
      <c r="J2119" t="str">
        <f>VLOOKUP(I2119,[2]categories!$A$2:$B$8,2,0)</f>
        <v>Mountain Bikes</v>
      </c>
    </row>
    <row r="2120" spans="1:10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 s="1">
        <f t="shared" si="33"/>
        <v>2399.992</v>
      </c>
      <c r="H2120" t="str">
        <f>VLOOKUP(C2120,[1]products!$A:$B,2,0)</f>
        <v>Trek Conduit+ - 2016</v>
      </c>
      <c r="I2120">
        <f>VLOOKUP(H2120,[1]products!$B:$D,3,0)</f>
        <v>5</v>
      </c>
      <c r="J2120" t="str">
        <f>VLOOKUP(I2120,[2]categories!$A$2:$B$8,2,0)</f>
        <v>Electric Bikes</v>
      </c>
    </row>
    <row r="2121" spans="1:10">
      <c r="A2121">
        <v>749</v>
      </c>
      <c r="B2121">
        <v>2</v>
      </c>
      <c r="C2121">
        <v>28</v>
      </c>
      <c r="D2121">
        <v>1</v>
      </c>
      <c r="E2121">
        <v>2499.99</v>
      </c>
      <c r="F2121">
        <v>0.05</v>
      </c>
      <c r="G2121" s="1">
        <f t="shared" si="33"/>
        <v>2374.9905</v>
      </c>
      <c r="H2121" t="str">
        <f>VLOOKUP(C2121,[1]products!$A:$B,2,0)</f>
        <v>Surly Karate Monkey 27.5+ Frameset - 2017</v>
      </c>
      <c r="I2121">
        <f>VLOOKUP(H2121,[1]products!$B:$D,3,0)</f>
        <v>6</v>
      </c>
      <c r="J2121" t="str">
        <f>VLOOKUP(I2121,[2]categories!$A$2:$B$8,2,0)</f>
        <v>Mountain Bikes</v>
      </c>
    </row>
    <row r="2122" spans="1:10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 s="1">
        <f t="shared" si="33"/>
        <v>322.392</v>
      </c>
      <c r="H2122" t="str">
        <f>VLOOKUP(C2122,[1]products!$A:$B,2,0)</f>
        <v>Sun Bicycles Boardwalk (24-inch Wheels) - 2017</v>
      </c>
      <c r="I2122">
        <f>VLOOKUP(H2122,[1]products!$B:$D,3,0)</f>
        <v>3</v>
      </c>
      <c r="J2122" t="str">
        <f>VLOOKUP(I2122,[2]categories!$A$2:$B$8,2,0)</f>
        <v>Cruisers Bicycles</v>
      </c>
    </row>
    <row r="2123" spans="1:10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 s="1">
        <f t="shared" si="33"/>
        <v>522.4905</v>
      </c>
      <c r="H2123" t="str">
        <f>VLOOKUP(C2123,[1]products!$A:$B,2,0)</f>
        <v>Electra Townie Original 21D - 2016</v>
      </c>
      <c r="I2123">
        <f>VLOOKUP(H2123,[1]products!$B:$D,3,0)</f>
        <v>3</v>
      </c>
      <c r="J2123" t="str">
        <f>VLOOKUP(I2123,[2]categories!$A$2:$B$8,2,0)</f>
        <v>Cruisers Bicycles</v>
      </c>
    </row>
    <row r="2124" spans="1:10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0.07</v>
      </c>
      <c r="G2124" s="1">
        <f t="shared" si="33"/>
        <v>4649.9907</v>
      </c>
      <c r="H2124" t="str">
        <f>VLOOKUP(C2124,[1]products!$A:$B,2,0)</f>
        <v>Trek Fuel EX 9.8 29 - 2017</v>
      </c>
      <c r="I2124">
        <f>VLOOKUP(H2124,[1]products!$B:$D,3,0)</f>
        <v>6</v>
      </c>
      <c r="J2124" t="str">
        <f>VLOOKUP(I2124,[2]categories!$A$2:$B$8,2,0)</f>
        <v>Mountain Bikes</v>
      </c>
    </row>
    <row r="2125" spans="1:10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 s="1">
        <f t="shared" si="33"/>
        <v>588.9905</v>
      </c>
      <c r="H2125" t="str">
        <f>VLOOKUP(C2125,[1]products!$A:$B,2,0)</f>
        <v>Sun Bicycles Biscayne Tandem 7 - 2017</v>
      </c>
      <c r="I2125">
        <f>VLOOKUP(H2125,[1]products!$B:$D,3,0)</f>
        <v>3</v>
      </c>
      <c r="J2125" t="str">
        <f>VLOOKUP(I2125,[2]categories!$A$2:$B$8,2,0)</f>
        <v>Cruisers Bicycles</v>
      </c>
    </row>
    <row r="2126" spans="1:10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 s="1">
        <f t="shared" si="33"/>
        <v>1166.382</v>
      </c>
      <c r="H2126" t="str">
        <f>VLOOKUP(C2126,[1]products!$A:$B,2,0)</f>
        <v>Sun Bicycles Biscayne Tandem CB - 2017</v>
      </c>
      <c r="I2126">
        <f>VLOOKUP(H2126,[1]products!$B:$D,3,0)</f>
        <v>3</v>
      </c>
      <c r="J2126" t="str">
        <f>VLOOKUP(I2126,[2]categories!$A$2:$B$8,2,0)</f>
        <v>Cruisers Bicycles</v>
      </c>
    </row>
    <row r="2127" spans="1:10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 s="1">
        <f t="shared" si="33"/>
        <v>1652.981</v>
      </c>
      <c r="H2127" t="str">
        <f>VLOOKUP(C2127,[1]products!$A:$B,2,0)</f>
        <v>Haro SR 1.2 - 2017</v>
      </c>
      <c r="I2127">
        <f>VLOOKUP(H2127,[1]products!$B:$D,3,0)</f>
        <v>6</v>
      </c>
      <c r="J2127" t="str">
        <f>VLOOKUP(I2127,[2]categories!$A$2:$B$8,2,0)</f>
        <v>Mountain Bikes</v>
      </c>
    </row>
    <row r="2128" spans="1:10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 s="1">
        <f t="shared" si="33"/>
        <v>1044.981</v>
      </c>
      <c r="H2128" t="str">
        <f>VLOOKUP(C2128,[1]products!$A:$B,2,0)</f>
        <v>Electra Townie Original 21D - 2016</v>
      </c>
      <c r="I2128">
        <f>VLOOKUP(H2128,[1]products!$B:$D,3,0)</f>
        <v>3</v>
      </c>
      <c r="J2128" t="str">
        <f>VLOOKUP(I2128,[2]categories!$A$2:$B$8,2,0)</f>
        <v>Cruisers Bicycles</v>
      </c>
    </row>
    <row r="2129" spans="1:10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 s="1">
        <f t="shared" si="33"/>
        <v>3102.681</v>
      </c>
      <c r="H2129" t="str">
        <f>VLOOKUP(C2129,[1]products!$A:$B,2,0)</f>
        <v>Surly Wednesday - 2017</v>
      </c>
      <c r="I2129">
        <f>VLOOKUP(H2129,[1]products!$B:$D,3,0)</f>
        <v>6</v>
      </c>
      <c r="J2129" t="str">
        <f>VLOOKUP(I2129,[2]categories!$A$2:$B$8,2,0)</f>
        <v>Mountain Bikes</v>
      </c>
    </row>
    <row r="2130" spans="1:10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0.07</v>
      </c>
      <c r="G2130" s="1">
        <f t="shared" si="33"/>
        <v>993.2214</v>
      </c>
      <c r="H2130" t="str">
        <f>VLOOKUP(C2130,[1]products!$A:$B,2,0)</f>
        <v>Sun Bicycles Streamway 7 - 2017</v>
      </c>
      <c r="I2130">
        <f>VLOOKUP(H2130,[1]products!$B:$D,3,0)</f>
        <v>2</v>
      </c>
      <c r="J2130" t="str">
        <f>VLOOKUP(I2130,[2]categories!$A$2:$B$8,2,0)</f>
        <v>Comfort Bicycles</v>
      </c>
    </row>
    <row r="2131" spans="1:10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 s="1">
        <f t="shared" si="33"/>
        <v>6399.984</v>
      </c>
      <c r="H2131" t="str">
        <f>VLOOKUP(C2131,[1]products!$A:$B,2,0)</f>
        <v>Trek Slash 8 27.5 - 2016</v>
      </c>
      <c r="I2131">
        <f>VLOOKUP(H2131,[1]products!$B:$D,3,0)</f>
        <v>6</v>
      </c>
      <c r="J2131" t="str">
        <f>VLOOKUP(I2131,[2]categories!$A$2:$B$8,2,0)</f>
        <v>Mountain Bikes</v>
      </c>
    </row>
    <row r="2132" spans="1:10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 s="1">
        <f t="shared" si="33"/>
        <v>1499.382</v>
      </c>
      <c r="H2132" t="str">
        <f>VLOOKUP(C2132,[1]products!$A:$B,2,0)</f>
        <v>Surly Troll Frameset - 2017</v>
      </c>
      <c r="I2132">
        <f>VLOOKUP(H2132,[1]products!$B:$D,3,0)</f>
        <v>6</v>
      </c>
      <c r="J2132" t="str">
        <f>VLOOKUP(I2132,[2]categories!$A$2:$B$8,2,0)</f>
        <v>Mountain Bikes</v>
      </c>
    </row>
    <row r="2133" spans="1:10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0.07</v>
      </c>
      <c r="G2133" s="1">
        <f t="shared" si="33"/>
        <v>278.9907</v>
      </c>
      <c r="H2133" t="str">
        <f>VLOOKUP(C2133,[1]products!$A:$B,2,0)</f>
        <v>Electra Girl's Hawaii 1 16" - 2017</v>
      </c>
      <c r="I2133">
        <f>VLOOKUP(H2133,[1]products!$B:$D,3,0)</f>
        <v>3</v>
      </c>
      <c r="J2133" t="str">
        <f>VLOOKUP(I2133,[2]categories!$A$2:$B$8,2,0)</f>
        <v>Cruisers Bicycles</v>
      </c>
    </row>
    <row r="2134" spans="1:10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 s="1">
        <f t="shared" si="33"/>
        <v>200.792</v>
      </c>
      <c r="H2134" t="str">
        <f>VLOOKUP(C2134,[1]products!$A:$B,2,0)</f>
        <v>Sun Bicycles Revolutions 24 - 2017</v>
      </c>
      <c r="I2134">
        <f>VLOOKUP(H2134,[1]products!$B:$D,3,0)</f>
        <v>3</v>
      </c>
      <c r="J2134" t="str">
        <f>VLOOKUP(I2134,[2]categories!$A$2:$B$8,2,0)</f>
        <v>Cruisers Bicycles</v>
      </c>
    </row>
    <row r="2135" spans="1:10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0.07</v>
      </c>
      <c r="G2135" s="1">
        <f t="shared" si="33"/>
        <v>818.3814</v>
      </c>
      <c r="H2135" t="str">
        <f>VLOOKUP(C2135,[1]products!$A:$B,2,0)</f>
        <v>Electra Cruiser Lux 1 - 2017</v>
      </c>
      <c r="I2135">
        <f>VLOOKUP(H2135,[1]products!$B:$D,3,0)</f>
        <v>3</v>
      </c>
      <c r="J2135" t="str">
        <f>VLOOKUP(I2135,[2]categories!$A$2:$B$8,2,0)</f>
        <v>Cruisers Bicycles</v>
      </c>
    </row>
    <row r="2136" spans="1:10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0.07</v>
      </c>
      <c r="G2136" s="1">
        <f t="shared" si="33"/>
        <v>1022.9814</v>
      </c>
      <c r="H2136" t="str">
        <f>VLOOKUP(C2136,[1]products!$A:$B,2,0)</f>
        <v>Electra Townie Original 21D - 2016</v>
      </c>
      <c r="I2136">
        <f>VLOOKUP(H2136,[1]products!$B:$D,3,0)</f>
        <v>3</v>
      </c>
      <c r="J2136" t="str">
        <f>VLOOKUP(I2136,[2]categories!$A$2:$B$8,2,0)</f>
        <v>Cruisers Bicycles</v>
      </c>
    </row>
    <row r="2137" spans="1:10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 s="1">
        <f t="shared" si="33"/>
        <v>949.9905</v>
      </c>
      <c r="H2137" t="str">
        <f>VLOOKUP(C2137,[1]products!$A:$B,2,0)</f>
        <v>Surly Wednesday Frameset - 2016</v>
      </c>
      <c r="I2137">
        <f>VLOOKUP(H2137,[1]products!$B:$D,3,0)</f>
        <v>6</v>
      </c>
      <c r="J2137" t="str">
        <f>VLOOKUP(I2137,[2]categories!$A$2:$B$8,2,0)</f>
        <v>Mountain Bikes</v>
      </c>
    </row>
    <row r="2138" spans="1:10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 s="1">
        <f t="shared" si="33"/>
        <v>476.881</v>
      </c>
      <c r="H2138" t="str">
        <f>VLOOKUP(C2138,[1]products!$A:$B,2,0)</f>
        <v>Sun Bicycles Revolutions 24 - Girl's - 2017</v>
      </c>
      <c r="I2138">
        <f>VLOOKUP(H2138,[1]products!$B:$D,3,0)</f>
        <v>3</v>
      </c>
      <c r="J2138" t="str">
        <f>VLOOKUP(I2138,[2]categories!$A$2:$B$8,2,0)</f>
        <v>Cruisers Bicycles</v>
      </c>
    </row>
    <row r="2139" spans="1:10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 s="1">
        <f t="shared" si="33"/>
        <v>3199.992</v>
      </c>
      <c r="H2139" t="str">
        <f>VLOOKUP(C2139,[1]products!$A:$B,2,0)</f>
        <v>Trek Slash 8 27.5 - 2016</v>
      </c>
      <c r="I2139">
        <f>VLOOKUP(H2139,[1]products!$B:$D,3,0)</f>
        <v>6</v>
      </c>
      <c r="J2139" t="str">
        <f>VLOOKUP(I2139,[2]categories!$A$2:$B$8,2,0)</f>
        <v>Mountain Bikes</v>
      </c>
    </row>
    <row r="2140" spans="1:10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0.07</v>
      </c>
      <c r="G2140" s="1">
        <f t="shared" si="33"/>
        <v>1417.3014</v>
      </c>
      <c r="H2140" t="str">
        <f>VLOOKUP(C2140,[1]products!$A:$B,2,0)</f>
        <v>Sun Bicycles Brickell Tandem CB - 2017</v>
      </c>
      <c r="I2140">
        <f>VLOOKUP(H2140,[1]products!$B:$D,3,0)</f>
        <v>3</v>
      </c>
      <c r="J2140" t="str">
        <f>VLOOKUP(I2140,[2]categories!$A$2:$B$8,2,0)</f>
        <v>Cruisers Bicycles</v>
      </c>
    </row>
    <row r="2141" spans="1:10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 s="1">
        <f t="shared" si="33"/>
        <v>10069.981</v>
      </c>
      <c r="H2141" t="str">
        <f>VLOOKUP(C2141,[1]products!$A:$B,2,0)</f>
        <v>Trek Fuel EX 9.8 27.5 Plus - 2017</v>
      </c>
      <c r="I2141">
        <f>VLOOKUP(H2141,[1]products!$B:$D,3,0)</f>
        <v>6</v>
      </c>
      <c r="J2141" t="str">
        <f>VLOOKUP(I2141,[2]categories!$A$2:$B$8,2,0)</f>
        <v>Mountain Bikes</v>
      </c>
    </row>
    <row r="2142" spans="1:10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 s="1">
        <f t="shared" si="33"/>
        <v>3599.982</v>
      </c>
      <c r="H2142" t="str">
        <f>VLOOKUP(C2142,[1]products!$A:$B,2,0)</f>
        <v>Trek Emonda S 5 - 2017</v>
      </c>
      <c r="I2142">
        <f>VLOOKUP(H2142,[1]products!$B:$D,3,0)</f>
        <v>7</v>
      </c>
      <c r="J2142" t="str">
        <f>VLOOKUP(I2142,[2]categories!$A$2:$B$8,2,0)</f>
        <v>Road Bikes</v>
      </c>
    </row>
    <row r="2143" spans="1:10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 s="1">
        <f t="shared" si="33"/>
        <v>440.991</v>
      </c>
      <c r="H2143" t="str">
        <f>VLOOKUP(C2143,[1]products!$A:$B,2,0)</f>
        <v>Electra Townie Original 7D - 2017</v>
      </c>
      <c r="I2143">
        <f>VLOOKUP(H2143,[1]products!$B:$D,3,0)</f>
        <v>3</v>
      </c>
      <c r="J2143" t="str">
        <f>VLOOKUP(I2143,[2]categories!$A$2:$B$8,2,0)</f>
        <v>Cruisers Bicycles</v>
      </c>
    </row>
    <row r="2144" spans="1:10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 s="1">
        <f t="shared" si="33"/>
        <v>815.1</v>
      </c>
      <c r="H2144" t="str">
        <f>VLOOKUP(C2144,[1]products!$A:$B,2,0)</f>
        <v>Pure Cycles Vine 8-Speed - 2016</v>
      </c>
      <c r="I2144">
        <f>VLOOKUP(H2144,[1]products!$B:$D,3,0)</f>
        <v>3</v>
      </c>
      <c r="J2144" t="str">
        <f>VLOOKUP(I2144,[2]categories!$A$2:$B$8,2,0)</f>
        <v>Cruisers Bicycles</v>
      </c>
    </row>
    <row r="2145" spans="1:10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 s="1">
        <f t="shared" si="33"/>
        <v>269.991</v>
      </c>
      <c r="H2145" t="str">
        <f>VLOOKUP(C2145,[1]products!$A:$B,2,0)</f>
        <v>Electra Girl's Hawaii 1 16" - 2017</v>
      </c>
      <c r="I2145">
        <f>VLOOKUP(H2145,[1]products!$B:$D,3,0)</f>
        <v>3</v>
      </c>
      <c r="J2145" t="str">
        <f>VLOOKUP(I2145,[2]categories!$A$2:$B$8,2,0)</f>
        <v>Cruisers Bicycles</v>
      </c>
    </row>
    <row r="2146" spans="1:10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0.07</v>
      </c>
      <c r="G2146" s="1">
        <f t="shared" si="33"/>
        <v>502.1814</v>
      </c>
      <c r="H2146" t="str">
        <f>VLOOKUP(C2146,[1]products!$A:$B,2,0)</f>
        <v>Electra Girl's Hawaii 1 (16-inch) - 2015/2016</v>
      </c>
      <c r="I2146">
        <f>VLOOKUP(H2146,[1]products!$B:$D,3,0)</f>
        <v>3</v>
      </c>
      <c r="J2146" t="str">
        <f>VLOOKUP(I2146,[2]categories!$A$2:$B$8,2,0)</f>
        <v>Cruisers Bicycles</v>
      </c>
    </row>
    <row r="2147" spans="1:10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 s="1">
        <f t="shared" si="33"/>
        <v>269.991</v>
      </c>
      <c r="H2147" t="str">
        <f>VLOOKUP(C2147,[1]products!$A:$B,2,0)</f>
        <v>Electra Sugar Skulls 1 (20-inch) - Girl's - 2017</v>
      </c>
      <c r="I2147">
        <f>VLOOKUP(H2147,[1]products!$B:$D,3,0)</f>
        <v>1</v>
      </c>
      <c r="J2147" t="str">
        <f>VLOOKUP(I2147,[2]categories!$A$2:$B$8,2,0)</f>
        <v>Children Bicycles</v>
      </c>
    </row>
    <row r="2148" spans="1:10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0.07</v>
      </c>
      <c r="G2148" s="1">
        <f t="shared" si="33"/>
        <v>929.9907</v>
      </c>
      <c r="H2148" t="str">
        <f>VLOOKUP(C2148,[1]products!$A:$B,2,0)</f>
        <v>Surly Big Dummy Frameset - 2017</v>
      </c>
      <c r="I2148">
        <f>VLOOKUP(H2148,[1]products!$B:$D,3,0)</f>
        <v>6</v>
      </c>
      <c r="J2148" t="str">
        <f>VLOOKUP(I2148,[2]categories!$A$2:$B$8,2,0)</f>
        <v>Mountain Bikes</v>
      </c>
    </row>
    <row r="2149" spans="1:10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0.07</v>
      </c>
      <c r="G2149" s="1">
        <f t="shared" si="33"/>
        <v>645.4014</v>
      </c>
      <c r="H2149" t="str">
        <f>VLOOKUP(C2149,[1]products!$A:$B,2,0)</f>
        <v>Sun Bicycles Lil Bolt Type-R - 2017</v>
      </c>
      <c r="I2149">
        <f>VLOOKUP(H2149,[1]products!$B:$D,3,0)</f>
        <v>3</v>
      </c>
      <c r="J2149" t="str">
        <f>VLOOKUP(I2149,[2]categories!$A$2:$B$8,2,0)</f>
        <v>Cruisers Bicycles</v>
      </c>
    </row>
    <row r="2150" spans="1:10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 s="1">
        <f t="shared" si="33"/>
        <v>333.592</v>
      </c>
      <c r="H2150" t="str">
        <f>VLOOKUP(C2150,[1]products!$A:$B,2,0)</f>
        <v>Sun Bicycles Cruz 7 - Women's - 2017</v>
      </c>
      <c r="I2150">
        <f>VLOOKUP(H2150,[1]products!$B:$D,3,0)</f>
        <v>2</v>
      </c>
      <c r="J2150" t="str">
        <f>VLOOKUP(I2150,[2]categories!$A$2:$B$8,2,0)</f>
        <v>Comfort Bicycles</v>
      </c>
    </row>
    <row r="2151" spans="1:10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 s="1">
        <f t="shared" si="33"/>
        <v>398.981</v>
      </c>
      <c r="H2151" t="str">
        <f>VLOOKUP(C2151,[1]products!$A:$B,2,0)</f>
        <v>Haro Shredder 20 Girls - 2017</v>
      </c>
      <c r="I2151">
        <f>VLOOKUP(H2151,[1]products!$B:$D,3,0)</f>
        <v>1</v>
      </c>
      <c r="J2151" t="str">
        <f>VLOOKUP(I2151,[2]categories!$A$2:$B$8,2,0)</f>
        <v>Children Bicycles</v>
      </c>
    </row>
    <row r="2152" spans="1:10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0.07</v>
      </c>
      <c r="G2152" s="1">
        <f t="shared" si="33"/>
        <v>602.6307</v>
      </c>
      <c r="H2152" t="str">
        <f>VLOOKUP(C2152,[1]products!$A:$B,2,0)</f>
        <v>Sun Bicycles Biscayne Tandem CB - 2017</v>
      </c>
      <c r="I2152">
        <f>VLOOKUP(H2152,[1]products!$B:$D,3,0)</f>
        <v>3</v>
      </c>
      <c r="J2152" t="str">
        <f>VLOOKUP(I2152,[2]categories!$A$2:$B$8,2,0)</f>
        <v>Cruisers Bicycles</v>
      </c>
    </row>
    <row r="2153" spans="1:10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0.07</v>
      </c>
      <c r="G2153" s="1">
        <f t="shared" si="33"/>
        <v>502.1814</v>
      </c>
      <c r="H2153" t="str">
        <f>VLOOKUP(C2153,[1]products!$A:$B,2,0)</f>
        <v>Electra Cruiser 1 (24-Inch) - 2016</v>
      </c>
      <c r="I2153">
        <f>VLOOKUP(H2153,[1]products!$B:$D,3,0)</f>
        <v>3</v>
      </c>
      <c r="J2153" t="str">
        <f>VLOOKUP(I2153,[2]categories!$A$2:$B$8,2,0)</f>
        <v>Cruisers Bicycles</v>
      </c>
    </row>
    <row r="2154" spans="1:10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0.07</v>
      </c>
      <c r="G2154" s="1">
        <f t="shared" si="33"/>
        <v>1859.9814</v>
      </c>
      <c r="H2154" t="str">
        <f>VLOOKUP(C2154,[1]products!$A:$B,2,0)</f>
        <v>Trek X-Caliber 8 - 2017</v>
      </c>
      <c r="I2154">
        <f>VLOOKUP(H2154,[1]products!$B:$D,3,0)</f>
        <v>6</v>
      </c>
      <c r="J2154" t="str">
        <f>VLOOKUP(I2154,[2]categories!$A$2:$B$8,2,0)</f>
        <v>Mountain Bikes</v>
      </c>
    </row>
    <row r="2155" spans="1:10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0.07</v>
      </c>
      <c r="G2155" s="1">
        <f t="shared" si="33"/>
        <v>4928.9907</v>
      </c>
      <c r="H2155" t="str">
        <f>VLOOKUP(C2155,[1]products!$A:$B,2,0)</f>
        <v>Trek Fuel EX 9.8 27.5 Plus - 2017</v>
      </c>
      <c r="I2155">
        <f>VLOOKUP(H2155,[1]products!$B:$D,3,0)</f>
        <v>6</v>
      </c>
      <c r="J2155" t="str">
        <f>VLOOKUP(I2155,[2]categories!$A$2:$B$8,2,0)</f>
        <v>Mountain Bikes</v>
      </c>
    </row>
    <row r="2156" spans="1:10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 s="1">
        <f t="shared" si="33"/>
        <v>1401.584</v>
      </c>
      <c r="H2156" t="str">
        <f>VLOOKUP(C2156,[1]products!$A:$B,2,0)</f>
        <v>Surly Steamroller - 2017</v>
      </c>
      <c r="I2156">
        <f>VLOOKUP(H2156,[1]products!$B:$D,3,0)</f>
        <v>7</v>
      </c>
      <c r="J2156" t="str">
        <f>VLOOKUP(I2156,[2]categories!$A$2:$B$8,2,0)</f>
        <v>Road Bikes</v>
      </c>
    </row>
    <row r="2157" spans="1:10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 s="1">
        <f t="shared" si="33"/>
        <v>930.981</v>
      </c>
      <c r="H2157" t="str">
        <f>VLOOKUP(C2157,[1]products!$A:$B,2,0)</f>
        <v>Electra Townie Original 7D - 2017</v>
      </c>
      <c r="I2157">
        <f>VLOOKUP(H2157,[1]products!$B:$D,3,0)</f>
        <v>3</v>
      </c>
      <c r="J2157" t="str">
        <f>VLOOKUP(I2157,[2]categories!$A$2:$B$8,2,0)</f>
        <v>Cruisers Bicycles</v>
      </c>
    </row>
    <row r="2158" spans="1:10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0.07</v>
      </c>
      <c r="G2158" s="1">
        <f t="shared" si="33"/>
        <v>195.2907</v>
      </c>
      <c r="H2158" t="str">
        <f>VLOOKUP(C2158,[1]products!$A:$B,2,0)</f>
        <v>Trek Precaliber 16 Girls - 2017</v>
      </c>
      <c r="I2158">
        <f>VLOOKUP(H2158,[1]products!$B:$D,3,0)</f>
        <v>1</v>
      </c>
      <c r="J2158" t="str">
        <f>VLOOKUP(I2158,[2]categories!$A$2:$B$8,2,0)</f>
        <v>Children Bicycles</v>
      </c>
    </row>
    <row r="2159" spans="1:10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 s="1">
        <f t="shared" si="33"/>
        <v>496.791</v>
      </c>
      <c r="H2159" t="str">
        <f>VLOOKUP(C2159,[1]products!$A:$B,2,0)</f>
        <v>Sun Bicycles Streamway 3 - 2017</v>
      </c>
      <c r="I2159">
        <f>VLOOKUP(H2159,[1]products!$B:$D,3,0)</f>
        <v>2</v>
      </c>
      <c r="J2159" t="str">
        <f>VLOOKUP(I2159,[2]categories!$A$2:$B$8,2,0)</f>
        <v>Comfort Bicycles</v>
      </c>
    </row>
    <row r="2160" spans="1:10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0.07</v>
      </c>
      <c r="G2160" s="1">
        <f t="shared" si="33"/>
        <v>2510.9907</v>
      </c>
      <c r="H2160" t="str">
        <f>VLOOKUP(C2160,[1]products!$A:$B,2,0)</f>
        <v>Trek Domane S 6 - 2017</v>
      </c>
      <c r="I2160">
        <f>VLOOKUP(H2160,[1]products!$B:$D,3,0)</f>
        <v>7</v>
      </c>
      <c r="J2160" t="str">
        <f>VLOOKUP(I2160,[2]categories!$A$2:$B$8,2,0)</f>
        <v>Road Bikes</v>
      </c>
    </row>
    <row r="2161" spans="1:10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 s="1">
        <f t="shared" si="33"/>
        <v>569.981</v>
      </c>
      <c r="H2161" t="str">
        <f>VLOOKUP(C2161,[1]products!$A:$B,2,0)</f>
        <v>Electra Girl's Hawaii 1 16" - 2017</v>
      </c>
      <c r="I2161">
        <f>VLOOKUP(H2161,[1]products!$B:$D,3,0)</f>
        <v>3</v>
      </c>
      <c r="J2161" t="str">
        <f>VLOOKUP(I2161,[2]categories!$A$2:$B$8,2,0)</f>
        <v>Cruisers Bicycles</v>
      </c>
    </row>
    <row r="2162" spans="1:10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0.07</v>
      </c>
      <c r="G2162" s="1">
        <f t="shared" si="33"/>
        <v>2045.9814</v>
      </c>
      <c r="H2162" t="str">
        <f>VLOOKUP(C2162,[1]products!$A:$B,2,0)</f>
        <v>Electra Amsterdam Fashion 7i Ladies' - 2017</v>
      </c>
      <c r="I2162">
        <f>VLOOKUP(H2162,[1]products!$B:$D,3,0)</f>
        <v>3</v>
      </c>
      <c r="J2162" t="str">
        <f>VLOOKUP(I2162,[2]categories!$A$2:$B$8,2,0)</f>
        <v>Cruisers Bicycles</v>
      </c>
    </row>
    <row r="2163" spans="1:10">
      <c r="A2163">
        <v>765</v>
      </c>
      <c r="B2163">
        <v>1</v>
      </c>
      <c r="C2163">
        <v>28</v>
      </c>
      <c r="D2163">
        <v>2</v>
      </c>
      <c r="E2163">
        <v>2499.99</v>
      </c>
      <c r="F2163">
        <v>0.2</v>
      </c>
      <c r="G2163" s="1">
        <f t="shared" si="33"/>
        <v>3999.984</v>
      </c>
      <c r="H2163" t="str">
        <f>VLOOKUP(C2163,[1]products!$A:$B,2,0)</f>
        <v>Surly Karate Monkey 27.5+ Frameset - 2017</v>
      </c>
      <c r="I2163">
        <f>VLOOKUP(H2163,[1]products!$B:$D,3,0)</f>
        <v>6</v>
      </c>
      <c r="J2163" t="str">
        <f>VLOOKUP(I2163,[2]categories!$A$2:$B$8,2,0)</f>
        <v>Mountain Bikes</v>
      </c>
    </row>
    <row r="2164" spans="1:10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0.07</v>
      </c>
      <c r="G2164" s="1">
        <f t="shared" si="33"/>
        <v>511.4907</v>
      </c>
      <c r="H2164" t="str">
        <f>VLOOKUP(C2164,[1]products!$A:$B,2,0)</f>
        <v>Electra Townie Original 21D - 2016</v>
      </c>
      <c r="I2164">
        <f>VLOOKUP(H2164,[1]products!$B:$D,3,0)</f>
        <v>3</v>
      </c>
      <c r="J2164" t="str">
        <f>VLOOKUP(I2164,[2]categories!$A$2:$B$8,2,0)</f>
        <v>Cruisers Bicycles</v>
      </c>
    </row>
    <row r="2165" spans="1:10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 s="1">
        <f t="shared" si="33"/>
        <v>399.992</v>
      </c>
      <c r="H2165" t="str">
        <f>VLOOKUP(C2165,[1]products!$A:$B,2,0)</f>
        <v>Electra Townie Original 7D - 2015/2016</v>
      </c>
      <c r="I2165">
        <f>VLOOKUP(H2165,[1]products!$B:$D,3,0)</f>
        <v>2</v>
      </c>
      <c r="J2165" t="str">
        <f>VLOOKUP(I2165,[2]categories!$A$2:$B$8,2,0)</f>
        <v>Comfort Bicycles</v>
      </c>
    </row>
    <row r="2166" spans="1:10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 s="1">
        <f t="shared" si="33"/>
        <v>599.992</v>
      </c>
      <c r="H2166" t="str">
        <f>VLOOKUP(C2166,[1]products!$A:$B,2,0)</f>
        <v>Surly Ogre Frameset - 2017</v>
      </c>
      <c r="I2166">
        <f>VLOOKUP(H2166,[1]products!$B:$D,3,0)</f>
        <v>7</v>
      </c>
      <c r="J2166" t="str">
        <f>VLOOKUP(I2166,[2]categories!$A$2:$B$8,2,0)</f>
        <v>Road Bikes</v>
      </c>
    </row>
    <row r="2167" spans="1:10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 s="1">
        <f t="shared" si="33"/>
        <v>329.6405</v>
      </c>
      <c r="H2167" t="str">
        <f>VLOOKUP(C2167,[1]products!$A:$B,2,0)</f>
        <v>Sun Bicycles Lil Bolt Type-R - 2017</v>
      </c>
      <c r="I2167">
        <f>VLOOKUP(H2167,[1]products!$B:$D,3,0)</f>
        <v>3</v>
      </c>
      <c r="J2167" t="str">
        <f>VLOOKUP(I2167,[2]categories!$A$2:$B$8,2,0)</f>
        <v>Cruisers Bicycles</v>
      </c>
    </row>
    <row r="2168" spans="1:10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 s="1">
        <f t="shared" si="33"/>
        <v>376.792</v>
      </c>
      <c r="H2168" t="str">
        <f>VLOOKUP(C2168,[1]products!$A:$B,2,0)</f>
        <v>Sun Bicycles Drifter 7 - Women's - 2017</v>
      </c>
      <c r="I2168">
        <f>VLOOKUP(H2168,[1]products!$B:$D,3,0)</f>
        <v>2</v>
      </c>
      <c r="J2168" t="str">
        <f>VLOOKUP(I2168,[2]categories!$A$2:$B$8,2,0)</f>
        <v>Comfort Bicycles</v>
      </c>
    </row>
    <row r="2169" spans="1:10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 s="1">
        <f t="shared" si="33"/>
        <v>3149.991</v>
      </c>
      <c r="H2169" t="str">
        <f>VLOOKUP(C2169,[1]products!$A:$B,2,0)</f>
        <v>Trek Boone Race Shop Limited - 2017</v>
      </c>
      <c r="I2169">
        <f>VLOOKUP(H2169,[1]products!$B:$D,3,0)</f>
        <v>4</v>
      </c>
      <c r="J2169" t="str">
        <f>VLOOKUP(I2169,[2]categories!$A$2:$B$8,2,0)</f>
        <v>Cyclocross Bicycles</v>
      </c>
    </row>
    <row r="2170" spans="1:10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0.07</v>
      </c>
      <c r="G2170" s="1">
        <f t="shared" si="33"/>
        <v>929.9907</v>
      </c>
      <c r="H2170" t="str">
        <f>VLOOKUP(C2170,[1]products!$A:$B,2,0)</f>
        <v>Trek X-Caliber 8 - 2017</v>
      </c>
      <c r="I2170">
        <f>VLOOKUP(H2170,[1]products!$B:$D,3,0)</f>
        <v>6</v>
      </c>
      <c r="J2170" t="str">
        <f>VLOOKUP(I2170,[2]categories!$A$2:$B$8,2,0)</f>
        <v>Mountain Bikes</v>
      </c>
    </row>
    <row r="2171" spans="1:10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 s="1">
        <f t="shared" si="33"/>
        <v>2792.981</v>
      </c>
      <c r="H2171" t="str">
        <f>VLOOKUP(C2171,[1]products!$A:$B,2,0)</f>
        <v>Haro Shift R3 - 2017</v>
      </c>
      <c r="I2171">
        <f>VLOOKUP(H2171,[1]products!$B:$D,3,0)</f>
        <v>6</v>
      </c>
      <c r="J2171" t="str">
        <f>VLOOKUP(I2171,[2]categories!$A$2:$B$8,2,0)</f>
        <v>Mountain Bikes</v>
      </c>
    </row>
    <row r="2172" spans="1:10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 s="1">
        <f t="shared" si="33"/>
        <v>1519.981</v>
      </c>
      <c r="H2172" t="str">
        <f>VLOOKUP(C2172,[1]products!$A:$B,2,0)</f>
        <v>Electra Glam Punk 3i Ladies' - 2017</v>
      </c>
      <c r="I2172">
        <f>VLOOKUP(H2172,[1]products!$B:$D,3,0)</f>
        <v>3</v>
      </c>
      <c r="J2172" t="str">
        <f>VLOOKUP(I2172,[2]categories!$A$2:$B$8,2,0)</f>
        <v>Cruisers Bicycles</v>
      </c>
    </row>
    <row r="2173" spans="1:10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 s="1">
        <f t="shared" si="33"/>
        <v>1306.392</v>
      </c>
      <c r="H2173" t="str">
        <f>VLOOKUP(C2173,[1]products!$A:$B,2,0)</f>
        <v>Surly Wednesday - 2017</v>
      </c>
      <c r="I2173">
        <f>VLOOKUP(H2173,[1]products!$B:$D,3,0)</f>
        <v>6</v>
      </c>
      <c r="J2173" t="str">
        <f>VLOOKUP(I2173,[2]categories!$A$2:$B$8,2,0)</f>
        <v>Mountain Bikes</v>
      </c>
    </row>
    <row r="2174" spans="1:10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 s="1">
        <f t="shared" si="33"/>
        <v>239.992</v>
      </c>
      <c r="H2174" t="str">
        <f>VLOOKUP(C2174,[1]products!$A:$B,2,0)</f>
        <v>Electra Girl's Hawaii 1 16" - 2017</v>
      </c>
      <c r="I2174">
        <f>VLOOKUP(H2174,[1]products!$B:$D,3,0)</f>
        <v>3</v>
      </c>
      <c r="J2174" t="str">
        <f>VLOOKUP(I2174,[2]categories!$A$2:$B$8,2,0)</f>
        <v>Cruisers Bicycles</v>
      </c>
    </row>
    <row r="2175" spans="1:10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 s="1">
        <f t="shared" si="33"/>
        <v>1619.991</v>
      </c>
      <c r="H2175" t="str">
        <f>VLOOKUP(C2175,[1]products!$A:$B,2,0)</f>
        <v>Trek Remedy 29 Carbon Frameset - 2016</v>
      </c>
      <c r="I2175">
        <f>VLOOKUP(H2175,[1]products!$B:$D,3,0)</f>
        <v>6</v>
      </c>
      <c r="J2175" t="str">
        <f>VLOOKUP(I2175,[2]categories!$A$2:$B$8,2,0)</f>
        <v>Mountain Bikes</v>
      </c>
    </row>
    <row r="2176" spans="1:10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 s="1">
        <f t="shared" si="33"/>
        <v>892.981</v>
      </c>
      <c r="H2176" t="str">
        <f>VLOOKUP(C2176,[1]products!$A:$B,2,0)</f>
        <v>Surly Ice Cream Truck Frameset - 2016</v>
      </c>
      <c r="I2176">
        <f>VLOOKUP(H2176,[1]products!$B:$D,3,0)</f>
        <v>6</v>
      </c>
      <c r="J2176" t="str">
        <f>VLOOKUP(I2176,[2]categories!$A$2:$B$8,2,0)</f>
        <v>Mountain Bikes</v>
      </c>
    </row>
    <row r="2177" spans="1:10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0.07</v>
      </c>
      <c r="G2177" s="1">
        <f t="shared" si="33"/>
        <v>1549.3614</v>
      </c>
      <c r="H2177" t="str">
        <f>VLOOKUP(C2177,[1]products!$A:$B,2,0)</f>
        <v>Surly Troll Frameset - 2017</v>
      </c>
      <c r="I2177">
        <f>VLOOKUP(H2177,[1]products!$B:$D,3,0)</f>
        <v>6</v>
      </c>
      <c r="J2177" t="str">
        <f>VLOOKUP(I2177,[2]categories!$A$2:$B$8,2,0)</f>
        <v>Mountain Bikes</v>
      </c>
    </row>
    <row r="2178" spans="1:10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 s="1">
        <f t="shared" ref="G2178:G2241" si="34">D2178*E2178*(1-F2178)</f>
        <v>447.4405</v>
      </c>
      <c r="H2178" t="str">
        <f>VLOOKUP(C2178,[1]products!$A:$B,2,0)</f>
        <v>Sun Bicycles Drifter 7 - 2017</v>
      </c>
      <c r="I2178">
        <f>VLOOKUP(H2178,[1]products!$B:$D,3,0)</f>
        <v>2</v>
      </c>
      <c r="J2178" t="str">
        <f>VLOOKUP(I2178,[2]categories!$A$2:$B$8,2,0)</f>
        <v>Comfort Bicycles</v>
      </c>
    </row>
    <row r="2179" spans="1:10">
      <c r="A2179">
        <v>770</v>
      </c>
      <c r="B2179">
        <v>2</v>
      </c>
      <c r="C2179">
        <v>42</v>
      </c>
      <c r="D2179">
        <v>1</v>
      </c>
      <c r="E2179">
        <v>2299.99</v>
      </c>
      <c r="F2179">
        <v>0.2</v>
      </c>
      <c r="G2179" s="1">
        <f t="shared" si="34"/>
        <v>1839.992</v>
      </c>
      <c r="H2179" t="str">
        <f>VLOOKUP(C2179,[1]products!$A:$B,2,0)</f>
        <v>Trek Fuel EX 5 27.5 Plus - 2017</v>
      </c>
      <c r="I2179">
        <f>VLOOKUP(H2179,[1]products!$B:$D,3,0)</f>
        <v>6</v>
      </c>
      <c r="J2179" t="str">
        <f>VLOOKUP(I2179,[2]categories!$A$2:$B$8,2,0)</f>
        <v>Mountain Bikes</v>
      </c>
    </row>
    <row r="2180" spans="1:10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 s="1">
        <f t="shared" si="34"/>
        <v>441.592</v>
      </c>
      <c r="H2180" t="str">
        <f>VLOOKUP(C2180,[1]products!$A:$B,2,0)</f>
        <v>Sun Bicycles Streamway 3 - 2017</v>
      </c>
      <c r="I2180">
        <f>VLOOKUP(H2180,[1]products!$B:$D,3,0)</f>
        <v>2</v>
      </c>
      <c r="J2180" t="str">
        <f>VLOOKUP(I2180,[2]categories!$A$2:$B$8,2,0)</f>
        <v>Comfort Bicycles</v>
      </c>
    </row>
    <row r="2181" spans="1:10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 s="1">
        <f t="shared" si="34"/>
        <v>3193.881</v>
      </c>
      <c r="H2181" t="str">
        <f>VLOOKUP(C2181,[1]products!$A:$B,2,0)</f>
        <v>Surly Straggler 650b - 2016</v>
      </c>
      <c r="I2181">
        <f>VLOOKUP(H2181,[1]products!$B:$D,3,0)</f>
        <v>4</v>
      </c>
      <c r="J2181" t="str">
        <f>VLOOKUP(I2181,[2]categories!$A$2:$B$8,2,0)</f>
        <v>Cyclocross Bicycles</v>
      </c>
    </row>
    <row r="2182" spans="1:10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 s="1">
        <f t="shared" si="34"/>
        <v>431.984</v>
      </c>
      <c r="H2182" t="str">
        <f>VLOOKUP(C2182,[1]products!$A:$B,2,0)</f>
        <v>Electra Cruiser 1 (24-Inch) - 2016</v>
      </c>
      <c r="I2182">
        <f>VLOOKUP(H2182,[1]products!$B:$D,3,0)</f>
        <v>3</v>
      </c>
      <c r="J2182" t="str">
        <f>VLOOKUP(I2182,[2]categories!$A$2:$B$8,2,0)</f>
        <v>Cruisers Bicycles</v>
      </c>
    </row>
    <row r="2183" spans="1:10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 s="1">
        <f t="shared" si="34"/>
        <v>151.992</v>
      </c>
      <c r="H2183" t="str">
        <f>VLOOKUP(C2183,[1]products!$A:$B,2,0)</f>
        <v>Trek Precaliber 12 Girls - 2017</v>
      </c>
      <c r="I2183">
        <f>VLOOKUP(H2183,[1]products!$B:$D,3,0)</f>
        <v>1</v>
      </c>
      <c r="J2183" t="str">
        <f>VLOOKUP(I2183,[2]categories!$A$2:$B$8,2,0)</f>
        <v>Children Bicycles</v>
      </c>
    </row>
    <row r="2184" spans="1:10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0.07</v>
      </c>
      <c r="G2184" s="1">
        <f t="shared" si="34"/>
        <v>513.3507</v>
      </c>
      <c r="H2184" t="str">
        <f>VLOOKUP(C2184,[1]products!$A:$B,2,0)</f>
        <v>Sun Bicycles Streamway 3 - 2017</v>
      </c>
      <c r="I2184">
        <f>VLOOKUP(H2184,[1]products!$B:$D,3,0)</f>
        <v>2</v>
      </c>
      <c r="J2184" t="str">
        <f>VLOOKUP(I2184,[2]categories!$A$2:$B$8,2,0)</f>
        <v>Comfort Bicycles</v>
      </c>
    </row>
    <row r="2185" spans="1:10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 s="1">
        <f t="shared" si="34"/>
        <v>188.991</v>
      </c>
      <c r="H2185" t="str">
        <f>VLOOKUP(C2185,[1]products!$A:$B,2,0)</f>
        <v>Haro Shredder 20 - 2017</v>
      </c>
      <c r="I2185">
        <f>VLOOKUP(H2185,[1]products!$B:$D,3,0)</f>
        <v>1</v>
      </c>
      <c r="J2185" t="str">
        <f>VLOOKUP(I2185,[2]categories!$A$2:$B$8,2,0)</f>
        <v>Children Bicycles</v>
      </c>
    </row>
    <row r="2186" spans="1:10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 s="1">
        <f t="shared" si="34"/>
        <v>256.4905</v>
      </c>
      <c r="H2186" t="str">
        <f>VLOOKUP(C2186,[1]products!$A:$B,2,0)</f>
        <v>Electra Girl's Hawaii 1 (16-inch) - 2015/2016</v>
      </c>
      <c r="I2186">
        <f>VLOOKUP(H2186,[1]products!$B:$D,3,0)</f>
        <v>3</v>
      </c>
      <c r="J2186" t="str">
        <f>VLOOKUP(I2186,[2]categories!$A$2:$B$8,2,0)</f>
        <v>Cruisers Bicycles</v>
      </c>
    </row>
    <row r="2187" spans="1:10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 s="1">
        <f t="shared" si="34"/>
        <v>686.4</v>
      </c>
      <c r="H2187" t="str">
        <f>VLOOKUP(C2187,[1]products!$A:$B,2,0)</f>
        <v>Pure Cycles Vine 8-Speed - 2016</v>
      </c>
      <c r="I2187">
        <f>VLOOKUP(H2187,[1]products!$B:$D,3,0)</f>
        <v>3</v>
      </c>
      <c r="J2187" t="str">
        <f>VLOOKUP(I2187,[2]categories!$A$2:$B$8,2,0)</f>
        <v>Cruisers Bicycles</v>
      </c>
    </row>
    <row r="2188" spans="1:10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0.07</v>
      </c>
      <c r="G2188" s="1">
        <f t="shared" si="34"/>
        <v>874.1814</v>
      </c>
      <c r="H2188" t="str">
        <f>VLOOKUP(C2188,[1]products!$A:$B,2,0)</f>
        <v>Surly Wednesday Frameset - 2017</v>
      </c>
      <c r="I2188">
        <f>VLOOKUP(H2188,[1]products!$B:$D,3,0)</f>
        <v>6</v>
      </c>
      <c r="J2188" t="str">
        <f>VLOOKUP(I2188,[2]categories!$A$2:$B$8,2,0)</f>
        <v>Mountain Bikes</v>
      </c>
    </row>
    <row r="2189" spans="1:10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 s="1">
        <f t="shared" si="34"/>
        <v>329.6405</v>
      </c>
      <c r="H2189" t="str">
        <f>VLOOKUP(C2189,[1]products!$A:$B,2,0)</f>
        <v>Sun Bicycles Lil Bolt Type-R - 2017</v>
      </c>
      <c r="I2189">
        <f>VLOOKUP(H2189,[1]products!$B:$D,3,0)</f>
        <v>3</v>
      </c>
      <c r="J2189" t="str">
        <f>VLOOKUP(I2189,[2]categories!$A$2:$B$8,2,0)</f>
        <v>Cruisers Bicycles</v>
      </c>
    </row>
    <row r="2190" spans="1:10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 s="1">
        <f t="shared" si="34"/>
        <v>1582.681</v>
      </c>
      <c r="H2190" t="str">
        <f>VLOOKUP(C2190,[1]products!$A:$B,2,0)</f>
        <v>Surly Troll Frameset - 2017</v>
      </c>
      <c r="I2190">
        <f>VLOOKUP(H2190,[1]products!$B:$D,3,0)</f>
        <v>6</v>
      </c>
      <c r="J2190" t="str">
        <f>VLOOKUP(I2190,[2]categories!$A$2:$B$8,2,0)</f>
        <v>Mountain Bikes</v>
      </c>
    </row>
    <row r="2191" spans="1:10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 s="1">
        <f t="shared" si="34"/>
        <v>479.992</v>
      </c>
      <c r="H2191" t="str">
        <f>VLOOKUP(C2191,[1]products!$A:$B,2,0)</f>
        <v>Electra Townie Original 7D EQ - Women's - 2016</v>
      </c>
      <c r="I2191">
        <f>VLOOKUP(H2191,[1]products!$B:$D,3,0)</f>
        <v>3</v>
      </c>
      <c r="J2191" t="str">
        <f>VLOOKUP(I2191,[2]categories!$A$2:$B$8,2,0)</f>
        <v>Cruisers Bicycles</v>
      </c>
    </row>
    <row r="2192" spans="1:10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 s="1">
        <f t="shared" si="34"/>
        <v>712.4905</v>
      </c>
      <c r="H2192" t="str">
        <f>VLOOKUP(C2192,[1]products!$A:$B,2,0)</f>
        <v>Sun Bicycles Brickell Tandem 7 - 2017</v>
      </c>
      <c r="I2192">
        <f>VLOOKUP(H2192,[1]products!$B:$D,3,0)</f>
        <v>3</v>
      </c>
      <c r="J2192" t="str">
        <f>VLOOKUP(I2192,[2]categories!$A$2:$B$8,2,0)</f>
        <v>Cruisers Bicycles</v>
      </c>
    </row>
    <row r="2193" spans="1:10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 s="1">
        <f t="shared" si="34"/>
        <v>8999.982</v>
      </c>
      <c r="H2193" t="str">
        <f>VLOOKUP(C2193,[1]products!$A:$B,2,0)</f>
        <v>Trek Madone 9.2 - 2017</v>
      </c>
      <c r="I2193">
        <f>VLOOKUP(H2193,[1]products!$B:$D,3,0)</f>
        <v>7</v>
      </c>
      <c r="J2193" t="str">
        <f>VLOOKUP(I2193,[2]categories!$A$2:$B$8,2,0)</f>
        <v>Road Bikes</v>
      </c>
    </row>
    <row r="2194" spans="1:10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0.07</v>
      </c>
      <c r="G2194" s="1">
        <f t="shared" si="34"/>
        <v>1394.9907</v>
      </c>
      <c r="H2194" t="str">
        <f>VLOOKUP(C2194,[1]products!$A:$B,2,0)</f>
        <v>Trek Stache 5 - 2017</v>
      </c>
      <c r="I2194">
        <f>VLOOKUP(H2194,[1]products!$B:$D,3,0)</f>
        <v>6</v>
      </c>
      <c r="J2194" t="str">
        <f>VLOOKUP(I2194,[2]categories!$A$2:$B$8,2,0)</f>
        <v>Mountain Bikes</v>
      </c>
    </row>
    <row r="2195" spans="1:10">
      <c r="A2195">
        <v>776</v>
      </c>
      <c r="B2195">
        <v>1</v>
      </c>
      <c r="C2195">
        <v>28</v>
      </c>
      <c r="D2195">
        <v>1</v>
      </c>
      <c r="E2195">
        <v>2499.99</v>
      </c>
      <c r="F2195">
        <v>0.2</v>
      </c>
      <c r="G2195" s="1">
        <f t="shared" si="34"/>
        <v>1999.992</v>
      </c>
      <c r="H2195" t="str">
        <f>VLOOKUP(C2195,[1]products!$A:$B,2,0)</f>
        <v>Surly Karate Monkey 27.5+ Frameset - 2017</v>
      </c>
      <c r="I2195">
        <f>VLOOKUP(H2195,[1]products!$B:$D,3,0)</f>
        <v>6</v>
      </c>
      <c r="J2195" t="str">
        <f>VLOOKUP(I2195,[2]categories!$A$2:$B$8,2,0)</f>
        <v>Mountain Bikes</v>
      </c>
    </row>
    <row r="2196" spans="1:10">
      <c r="A2196">
        <v>776</v>
      </c>
      <c r="B2196">
        <v>2</v>
      </c>
      <c r="C2196">
        <v>42</v>
      </c>
      <c r="D2196">
        <v>2</v>
      </c>
      <c r="E2196">
        <v>2299.99</v>
      </c>
      <c r="F2196">
        <v>0.2</v>
      </c>
      <c r="G2196" s="1">
        <f t="shared" si="34"/>
        <v>3679.984</v>
      </c>
      <c r="H2196" t="str">
        <f>VLOOKUP(C2196,[1]products!$A:$B,2,0)</f>
        <v>Trek Fuel EX 5 27.5 Plus - 2017</v>
      </c>
      <c r="I2196">
        <f>VLOOKUP(H2196,[1]products!$B:$D,3,0)</f>
        <v>6</v>
      </c>
      <c r="J2196" t="str">
        <f>VLOOKUP(I2196,[2]categories!$A$2:$B$8,2,0)</f>
        <v>Mountain Bikes</v>
      </c>
    </row>
    <row r="2197" spans="1:10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 s="1">
        <f t="shared" si="34"/>
        <v>375.291</v>
      </c>
      <c r="H2197" t="str">
        <f>VLOOKUP(C2197,[1]products!$A:$B,2,0)</f>
        <v>Sun Bicycles Atlas X-Type - 2017</v>
      </c>
      <c r="I2197">
        <f>VLOOKUP(H2197,[1]products!$B:$D,3,0)</f>
        <v>3</v>
      </c>
      <c r="J2197" t="str">
        <f>VLOOKUP(I2197,[2]categories!$A$2:$B$8,2,0)</f>
        <v>Cruisers Bicycles</v>
      </c>
    </row>
    <row r="2198" spans="1:10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 s="1">
        <f t="shared" si="34"/>
        <v>749.691</v>
      </c>
      <c r="H2198" t="str">
        <f>VLOOKUP(C2198,[1]products!$A:$B,2,0)</f>
        <v>Sun Bicycles Spider 3i - 2017</v>
      </c>
      <c r="I2198">
        <f>VLOOKUP(H2198,[1]products!$B:$D,3,0)</f>
        <v>6</v>
      </c>
      <c r="J2198" t="str">
        <f>VLOOKUP(I2198,[2]categories!$A$2:$B$8,2,0)</f>
        <v>Mountain Bikes</v>
      </c>
    </row>
    <row r="2199" spans="1:10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 s="1">
        <f t="shared" si="34"/>
        <v>1056.792</v>
      </c>
      <c r="H2199" t="str">
        <f>VLOOKUP(C2199,[1]products!$A:$B,2,0)</f>
        <v>Heller Shagamaw Frame - 2016</v>
      </c>
      <c r="I2199">
        <f>VLOOKUP(H2199,[1]products!$B:$D,3,0)</f>
        <v>6</v>
      </c>
      <c r="J2199" t="str">
        <f>VLOOKUP(I2199,[2]categories!$A$2:$B$8,2,0)</f>
        <v>Mountain Bikes</v>
      </c>
    </row>
    <row r="2200" spans="1:10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 s="1">
        <f t="shared" si="34"/>
        <v>6399.984</v>
      </c>
      <c r="H2200" t="str">
        <f>VLOOKUP(C2200,[1]products!$A:$B,2,0)</f>
        <v>Trek Slash 8 27.5 - 2016</v>
      </c>
      <c r="I2200">
        <f>VLOOKUP(H2200,[1]products!$B:$D,3,0)</f>
        <v>6</v>
      </c>
      <c r="J2200" t="str">
        <f>VLOOKUP(I2200,[2]categories!$A$2:$B$8,2,0)</f>
        <v>Mountain Bikes</v>
      </c>
    </row>
    <row r="2201" spans="1:10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 s="1">
        <f t="shared" si="34"/>
        <v>599.992</v>
      </c>
      <c r="H2201" t="str">
        <f>VLOOKUP(C2201,[1]products!$A:$B,2,0)</f>
        <v>Ritchey Timberwolf Frameset - 2016</v>
      </c>
      <c r="I2201">
        <f>VLOOKUP(H2201,[1]products!$B:$D,3,0)</f>
        <v>6</v>
      </c>
      <c r="J2201" t="str">
        <f>VLOOKUP(I2201,[2]categories!$A$2:$B$8,2,0)</f>
        <v>Mountain Bikes</v>
      </c>
    </row>
    <row r="2202" spans="1:10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 s="1">
        <f t="shared" si="34"/>
        <v>440.991</v>
      </c>
      <c r="H2202" t="str">
        <f>VLOOKUP(C2202,[1]products!$A:$B,2,0)</f>
        <v>Electra Townie Original 7D - 2017</v>
      </c>
      <c r="I2202">
        <f>VLOOKUP(H2202,[1]products!$B:$D,3,0)</f>
        <v>3</v>
      </c>
      <c r="J2202" t="str">
        <f>VLOOKUP(I2202,[2]categories!$A$2:$B$8,2,0)</f>
        <v>Cruisers Bicycles</v>
      </c>
    </row>
    <row r="2203" spans="1:10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 s="1">
        <f t="shared" si="34"/>
        <v>313.4905</v>
      </c>
      <c r="H2203" t="str">
        <f>VLOOKUP(C2203,[1]products!$A:$B,2,0)</f>
        <v>Haro Downtown 16 - 2017</v>
      </c>
      <c r="I2203">
        <f>VLOOKUP(H2203,[1]products!$B:$D,3,0)</f>
        <v>1</v>
      </c>
      <c r="J2203" t="str">
        <f>VLOOKUP(I2203,[2]categories!$A$2:$B$8,2,0)</f>
        <v>Children Bicycles</v>
      </c>
    </row>
    <row r="2204" spans="1:10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 s="1">
        <f t="shared" si="34"/>
        <v>322.9905</v>
      </c>
      <c r="H2204" t="str">
        <f>VLOOKUP(C2204,[1]products!$A:$B,2,0)</f>
        <v>Electra Townie 7D (20-inch) - Boys' - 2017</v>
      </c>
      <c r="I2204">
        <f>VLOOKUP(H2204,[1]products!$B:$D,3,0)</f>
        <v>1</v>
      </c>
      <c r="J2204" t="str">
        <f>VLOOKUP(I2204,[2]categories!$A$2:$B$8,2,0)</f>
        <v>Children Bicycles</v>
      </c>
    </row>
    <row r="2205" spans="1:10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 s="1">
        <f t="shared" si="34"/>
        <v>335.984</v>
      </c>
      <c r="H2205" t="str">
        <f>VLOOKUP(C2205,[1]products!$A:$B,2,0)</f>
        <v>Trek Precaliber 16 Girls - 2017</v>
      </c>
      <c r="I2205">
        <f>VLOOKUP(H2205,[1]products!$B:$D,3,0)</f>
        <v>1</v>
      </c>
      <c r="J2205" t="str">
        <f>VLOOKUP(I2205,[2]categories!$A$2:$B$8,2,0)</f>
        <v>Children Bicycles</v>
      </c>
    </row>
    <row r="2206" spans="1:10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 s="1">
        <f t="shared" si="34"/>
        <v>4239.992</v>
      </c>
      <c r="H2206" t="str">
        <f>VLOOKUP(C2206,[1]products!$A:$B,2,0)</f>
        <v>Trek Remedy 9.8 - 2017</v>
      </c>
      <c r="I2206">
        <f>VLOOKUP(H2206,[1]products!$B:$D,3,0)</f>
        <v>6</v>
      </c>
      <c r="J2206" t="str">
        <f>VLOOKUP(I2206,[2]categories!$A$2:$B$8,2,0)</f>
        <v>Mountain Bikes</v>
      </c>
    </row>
    <row r="2207" spans="1:10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 s="1">
        <f t="shared" si="34"/>
        <v>1439.992</v>
      </c>
      <c r="H2207" t="str">
        <f>VLOOKUP(C2207,[1]products!$A:$B,2,0)</f>
        <v>Trek Remedy 29 Carbon Frameset - 2016</v>
      </c>
      <c r="I2207">
        <f>VLOOKUP(H2207,[1]products!$B:$D,3,0)</f>
        <v>6</v>
      </c>
      <c r="J2207" t="str">
        <f>VLOOKUP(I2207,[2]categories!$A$2:$B$8,2,0)</f>
        <v>Mountain Bikes</v>
      </c>
    </row>
    <row r="2208" spans="1:10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 s="1">
        <f t="shared" si="34"/>
        <v>263.992</v>
      </c>
      <c r="H2208" t="str">
        <f>VLOOKUP(C2208,[1]products!$A:$B,2,0)</f>
        <v>Haro Downtown 16 - 2017</v>
      </c>
      <c r="I2208">
        <f>VLOOKUP(H2208,[1]products!$B:$D,3,0)</f>
        <v>1</v>
      </c>
      <c r="J2208" t="str">
        <f>VLOOKUP(I2208,[2]categories!$A$2:$B$8,2,0)</f>
        <v>Children Bicycles</v>
      </c>
    </row>
    <row r="2209" spans="1:10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 s="1">
        <f t="shared" si="34"/>
        <v>422.991</v>
      </c>
      <c r="H2209" t="str">
        <f>VLOOKUP(C2209,[1]products!$A:$B,2,0)</f>
        <v>Trek Farley Alloy Frameset - 2017</v>
      </c>
      <c r="I2209">
        <f>VLOOKUP(H2209,[1]products!$B:$D,3,0)</f>
        <v>6</v>
      </c>
      <c r="J2209" t="str">
        <f>VLOOKUP(I2209,[2]categories!$A$2:$B$8,2,0)</f>
        <v>Mountain Bikes</v>
      </c>
    </row>
    <row r="2210" spans="1:10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 s="1">
        <f t="shared" si="34"/>
        <v>792.281</v>
      </c>
      <c r="H2210" t="str">
        <f>VLOOKUP(C2210,[1]products!$A:$B,2,0)</f>
        <v>Sun Bicycles Cruz 7 - Women's - 2017</v>
      </c>
      <c r="I2210">
        <f>VLOOKUP(H2210,[1]products!$B:$D,3,0)</f>
        <v>2</v>
      </c>
      <c r="J2210" t="str">
        <f>VLOOKUP(I2210,[2]categories!$A$2:$B$8,2,0)</f>
        <v>Comfort Bicycles</v>
      </c>
    </row>
    <row r="2211" spans="1:10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 s="1">
        <f t="shared" si="34"/>
        <v>6399.984</v>
      </c>
      <c r="H2211" t="str">
        <f>VLOOKUP(C2211,[1]products!$A:$B,2,0)</f>
        <v>Trek Slash 8 27.5 - 2016</v>
      </c>
      <c r="I2211">
        <f>VLOOKUP(H2211,[1]products!$B:$D,3,0)</f>
        <v>6</v>
      </c>
      <c r="J2211" t="str">
        <f>VLOOKUP(I2211,[2]categories!$A$2:$B$8,2,0)</f>
        <v>Mountain Bikes</v>
      </c>
    </row>
    <row r="2212" spans="1:10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 s="1">
        <f t="shared" si="34"/>
        <v>3599.982</v>
      </c>
      <c r="H2212" t="str">
        <f>VLOOKUP(C2212,[1]products!$A:$B,2,0)</f>
        <v>Trek Emonda S 5 - 2017</v>
      </c>
      <c r="I2212">
        <f>VLOOKUP(H2212,[1]products!$B:$D,3,0)</f>
        <v>7</v>
      </c>
      <c r="J2212" t="str">
        <f>VLOOKUP(I2212,[2]categories!$A$2:$B$8,2,0)</f>
        <v>Road Bikes</v>
      </c>
    </row>
    <row r="2213" spans="1:10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0.07</v>
      </c>
      <c r="G2213" s="1">
        <f t="shared" si="34"/>
        <v>1115.9814</v>
      </c>
      <c r="H2213" t="str">
        <f>VLOOKUP(C2213,[1]products!$A:$B,2,0)</f>
        <v>Electra Townie Original 7D EQ - Women's - 2016</v>
      </c>
      <c r="I2213">
        <f>VLOOKUP(H2213,[1]products!$B:$D,3,0)</f>
        <v>3</v>
      </c>
      <c r="J2213" t="str">
        <f>VLOOKUP(I2213,[2]categories!$A$2:$B$8,2,0)</f>
        <v>Cruisers Bicycles</v>
      </c>
    </row>
    <row r="2214" spans="1:10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0.07</v>
      </c>
      <c r="G2214" s="1">
        <f t="shared" si="34"/>
        <v>1859.9907</v>
      </c>
      <c r="H2214" t="str">
        <f>VLOOKUP(C2214,[1]products!$A:$B,2,0)</f>
        <v>Trek Emonda S 5 - 2017</v>
      </c>
      <c r="I2214">
        <f>VLOOKUP(H2214,[1]products!$B:$D,3,0)</f>
        <v>7</v>
      </c>
      <c r="J2214" t="str">
        <f>VLOOKUP(I2214,[2]categories!$A$2:$B$8,2,0)</f>
        <v>Road Bikes</v>
      </c>
    </row>
    <row r="2215" spans="1:10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0.07</v>
      </c>
      <c r="G2215" s="1">
        <f t="shared" si="34"/>
        <v>278.9907</v>
      </c>
      <c r="H2215" t="str">
        <f>VLOOKUP(C2215,[1]products!$A:$B,2,0)</f>
        <v>Electra Sugar Skulls 1 (20-inch) - Girl's - 2017</v>
      </c>
      <c r="I2215">
        <f>VLOOKUP(H2215,[1]products!$B:$D,3,0)</f>
        <v>1</v>
      </c>
      <c r="J2215" t="str">
        <f>VLOOKUP(I2215,[2]categories!$A$2:$B$8,2,0)</f>
        <v>Children Bicycles</v>
      </c>
    </row>
    <row r="2216" spans="1:10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 s="1">
        <f t="shared" si="34"/>
        <v>959.984</v>
      </c>
      <c r="H2216" t="str">
        <f>VLOOKUP(C2216,[1]products!$A:$B,2,0)</f>
        <v>Electra Townie Original 7D EQ - 2016</v>
      </c>
      <c r="I2216">
        <f>VLOOKUP(H2216,[1]products!$B:$D,3,0)</f>
        <v>3</v>
      </c>
      <c r="J2216" t="str">
        <f>VLOOKUP(I2216,[2]categories!$A$2:$B$8,2,0)</f>
        <v>Cruisers Bicycles</v>
      </c>
    </row>
    <row r="2217" spans="1:10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 s="1">
        <f t="shared" si="34"/>
        <v>167.992</v>
      </c>
      <c r="H2217" t="str">
        <f>VLOOKUP(C2217,[1]products!$A:$B,2,0)</f>
        <v>Haro Shredder 20 - 2017</v>
      </c>
      <c r="I2217">
        <f>VLOOKUP(H2217,[1]products!$B:$D,3,0)</f>
        <v>1</v>
      </c>
      <c r="J2217" t="str">
        <f>VLOOKUP(I2217,[2]categories!$A$2:$B$8,2,0)</f>
        <v>Children Bicycles</v>
      </c>
    </row>
    <row r="2218" spans="1:10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 s="1">
        <f t="shared" si="34"/>
        <v>512.981</v>
      </c>
      <c r="H2218" t="str">
        <f>VLOOKUP(C2218,[1]products!$A:$B,2,0)</f>
        <v>Electra Girl's Hawaii 1 (16-inch) - 2015/2016</v>
      </c>
      <c r="I2218">
        <f>VLOOKUP(H2218,[1]products!$B:$D,3,0)</f>
        <v>3</v>
      </c>
      <c r="J2218" t="str">
        <f>VLOOKUP(I2218,[2]categories!$A$2:$B$8,2,0)</f>
        <v>Cruisers Bicycles</v>
      </c>
    </row>
    <row r="2219" spans="1:10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 s="1">
        <f t="shared" si="34"/>
        <v>237.4905</v>
      </c>
      <c r="H2219" t="str">
        <f>VLOOKUP(C2219,[1]products!$A:$B,2,0)</f>
        <v>Haro Shredder Pro 20 - 2017</v>
      </c>
      <c r="I2219">
        <f>VLOOKUP(H2219,[1]products!$B:$D,3,0)</f>
        <v>1</v>
      </c>
      <c r="J2219" t="str">
        <f>VLOOKUP(I2219,[2]categories!$A$2:$B$8,2,0)</f>
        <v>Children Bicycles</v>
      </c>
    </row>
    <row r="2220" spans="1:10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 s="1">
        <f t="shared" si="34"/>
        <v>899.991</v>
      </c>
      <c r="H2220" t="str">
        <f>VLOOKUP(C2220,[1]products!$A:$B,2,0)</f>
        <v>Trek X-Caliber 8 - 2017</v>
      </c>
      <c r="I2220">
        <f>VLOOKUP(H2220,[1]products!$B:$D,3,0)</f>
        <v>6</v>
      </c>
      <c r="J2220" t="str">
        <f>VLOOKUP(I2220,[2]categories!$A$2:$B$8,2,0)</f>
        <v>Mountain Bikes</v>
      </c>
    </row>
    <row r="2221" spans="1:10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0.07</v>
      </c>
      <c r="G2221" s="1">
        <f t="shared" si="34"/>
        <v>251.0907</v>
      </c>
      <c r="H2221" t="str">
        <f>VLOOKUP(C2221,[1]products!$A:$B,2,0)</f>
        <v>Electra Girl's Hawaii 1 (16-inch) - 2015/2016</v>
      </c>
      <c r="I2221">
        <f>VLOOKUP(H2221,[1]products!$B:$D,3,0)</f>
        <v>3</v>
      </c>
      <c r="J2221" t="str">
        <f>VLOOKUP(I2221,[2]categories!$A$2:$B$8,2,0)</f>
        <v>Cruisers Bicycles</v>
      </c>
    </row>
    <row r="2222" spans="1:10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 s="1">
        <f t="shared" si="34"/>
        <v>1115.982</v>
      </c>
      <c r="H2222" t="str">
        <f>VLOOKUP(C2222,[1]products!$A:$B,2,0)</f>
        <v>Sun Bicycles Biscayne Tandem 7 - 2017</v>
      </c>
      <c r="I2222">
        <f>VLOOKUP(H2222,[1]products!$B:$D,3,0)</f>
        <v>3</v>
      </c>
      <c r="J2222" t="str">
        <f>VLOOKUP(I2222,[2]categories!$A$2:$B$8,2,0)</f>
        <v>Cruisers Bicycles</v>
      </c>
    </row>
    <row r="2223" spans="1:10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 s="1">
        <f t="shared" si="34"/>
        <v>479.992</v>
      </c>
      <c r="H2223" t="str">
        <f>VLOOKUP(C2223,[1]products!$A:$B,2,0)</f>
        <v>Electra Townie Original 7D EQ - 2016</v>
      </c>
      <c r="I2223">
        <f>VLOOKUP(H2223,[1]products!$B:$D,3,0)</f>
        <v>3</v>
      </c>
      <c r="J2223" t="str">
        <f>VLOOKUP(I2223,[2]categories!$A$2:$B$8,2,0)</f>
        <v>Cruisers Bicycles</v>
      </c>
    </row>
    <row r="2224" spans="1:10">
      <c r="A2224">
        <v>785</v>
      </c>
      <c r="B2224">
        <v>1</v>
      </c>
      <c r="C2224">
        <v>59</v>
      </c>
      <c r="D2224">
        <v>2</v>
      </c>
      <c r="E2224">
        <v>2599.99</v>
      </c>
      <c r="F2224">
        <v>0.2</v>
      </c>
      <c r="G2224" s="1">
        <f t="shared" si="34"/>
        <v>4159.984</v>
      </c>
      <c r="H2224" t="str">
        <f>VLOOKUP(C2224,[1]products!$A:$B,2,0)</f>
        <v>Trek Domane S 5 Disc - 2017</v>
      </c>
      <c r="I2224">
        <f>VLOOKUP(H2224,[1]products!$B:$D,3,0)</f>
        <v>7</v>
      </c>
      <c r="J2224" t="str">
        <f>VLOOKUP(I2224,[2]categories!$A$2:$B$8,2,0)</f>
        <v>Road Bikes</v>
      </c>
    </row>
    <row r="2225" spans="1:10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0.07</v>
      </c>
      <c r="G2225" s="1">
        <f t="shared" si="34"/>
        <v>4649.9907</v>
      </c>
      <c r="H2225" t="str">
        <f>VLOOKUP(C2225,[1]products!$A:$B,2,0)</f>
        <v>Trek Fuel EX 9.8 29 - 2017</v>
      </c>
      <c r="I2225">
        <f>VLOOKUP(H2225,[1]products!$B:$D,3,0)</f>
        <v>6</v>
      </c>
      <c r="J2225" t="str">
        <f>VLOOKUP(I2225,[2]categories!$A$2:$B$8,2,0)</f>
        <v>Mountain Bikes</v>
      </c>
    </row>
    <row r="2226" spans="1:10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0.07</v>
      </c>
      <c r="G2226" s="1">
        <f t="shared" si="34"/>
        <v>464.9907</v>
      </c>
      <c r="H2226" t="str">
        <f>VLOOKUP(C2226,[1]products!$A:$B,2,0)</f>
        <v>Electra Townie Original 7D - 2015/2016</v>
      </c>
      <c r="I2226">
        <f>VLOOKUP(H2226,[1]products!$B:$D,3,0)</f>
        <v>2</v>
      </c>
      <c r="J2226" t="str">
        <f>VLOOKUP(I2226,[2]categories!$A$2:$B$8,2,0)</f>
        <v>Comfort Bicycles</v>
      </c>
    </row>
    <row r="2227" spans="1:10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 s="1">
        <f t="shared" si="34"/>
        <v>723.8905</v>
      </c>
      <c r="H2227" t="str">
        <f>VLOOKUP(C2227,[1]products!$A:$B,2,0)</f>
        <v>Sun Bicycles Brickell Tandem CB - 2017</v>
      </c>
      <c r="I2227">
        <f>VLOOKUP(H2227,[1]products!$B:$D,3,0)</f>
        <v>3</v>
      </c>
      <c r="J2227" t="str">
        <f>VLOOKUP(I2227,[2]categories!$A$2:$B$8,2,0)</f>
        <v>Cruisers Bicycles</v>
      </c>
    </row>
    <row r="2228" spans="1:10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0.07</v>
      </c>
      <c r="G2228" s="1">
        <f t="shared" si="34"/>
        <v>12089.9814</v>
      </c>
      <c r="H2228" t="str">
        <f>VLOOKUP(C2228,[1]products!$A:$B,2,0)</f>
        <v>Trek Silque SLR 8 Women's - 2017</v>
      </c>
      <c r="I2228">
        <f>VLOOKUP(H2228,[1]products!$B:$D,3,0)</f>
        <v>7</v>
      </c>
      <c r="J2228" t="str">
        <f>VLOOKUP(I2228,[2]categories!$A$2:$B$8,2,0)</f>
        <v>Road Bikes</v>
      </c>
    </row>
    <row r="2229" spans="1:10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 s="1">
        <f t="shared" si="34"/>
        <v>451.782</v>
      </c>
      <c r="H2229" t="str">
        <f>VLOOKUP(C2229,[1]products!$A:$B,2,0)</f>
        <v>Sun Bicycles Revolutions 24 - 2017</v>
      </c>
      <c r="I2229">
        <f>VLOOKUP(H2229,[1]products!$B:$D,3,0)</f>
        <v>3</v>
      </c>
      <c r="J2229" t="str">
        <f>VLOOKUP(I2229,[2]categories!$A$2:$B$8,2,0)</f>
        <v>Cruisers Bicycles</v>
      </c>
    </row>
    <row r="2230" spans="1:10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 s="1">
        <f t="shared" si="34"/>
        <v>1199.992</v>
      </c>
      <c r="H2230" t="str">
        <f>VLOOKUP(C2230,[1]products!$A:$B,2,0)</f>
        <v>Trek Emonda S 4 - 2017</v>
      </c>
      <c r="I2230">
        <f>VLOOKUP(H2230,[1]products!$B:$D,3,0)</f>
        <v>7</v>
      </c>
      <c r="J2230" t="str">
        <f>VLOOKUP(I2230,[2]categories!$A$2:$B$8,2,0)</f>
        <v>Road Bikes</v>
      </c>
    </row>
    <row r="2231" spans="1:10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 s="1">
        <f t="shared" si="34"/>
        <v>404.1</v>
      </c>
      <c r="H2231" t="str">
        <f>VLOOKUP(C2231,[1]products!$A:$B,2,0)</f>
        <v>Pure Cycles William 3-Speed - 2016</v>
      </c>
      <c r="I2231">
        <f>VLOOKUP(H2231,[1]products!$B:$D,3,0)</f>
        <v>3</v>
      </c>
      <c r="J2231" t="str">
        <f>VLOOKUP(I2231,[2]categories!$A$2:$B$8,2,0)</f>
        <v>Cruisers Bicycles</v>
      </c>
    </row>
    <row r="2232" spans="1:10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 s="1">
        <f t="shared" si="34"/>
        <v>256.4905</v>
      </c>
      <c r="H2232" t="str">
        <f>VLOOKUP(C2232,[1]products!$A:$B,2,0)</f>
        <v>Electra Cruiser 1 (24-Inch) - 2016</v>
      </c>
      <c r="I2232">
        <f>VLOOKUP(H2232,[1]products!$B:$D,3,0)</f>
        <v>3</v>
      </c>
      <c r="J2232" t="str">
        <f>VLOOKUP(I2232,[2]categories!$A$2:$B$8,2,0)</f>
        <v>Cruisers Bicycles</v>
      </c>
    </row>
    <row r="2233" spans="1:10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 s="1">
        <f t="shared" si="34"/>
        <v>783.984</v>
      </c>
      <c r="H2233" t="str">
        <f>VLOOKUP(C2233,[1]products!$A:$B,2,0)</f>
        <v>Electra Townie 3i EQ (20-inch) - Boys' - 2017</v>
      </c>
      <c r="I2233">
        <f>VLOOKUP(H2233,[1]products!$B:$D,3,0)</f>
        <v>1</v>
      </c>
      <c r="J2233" t="str">
        <f>VLOOKUP(I2233,[2]categories!$A$2:$B$8,2,0)</f>
        <v>Children Bicycles</v>
      </c>
    </row>
    <row r="2234" spans="1:10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0.07</v>
      </c>
      <c r="G2234" s="1">
        <f t="shared" si="34"/>
        <v>390.5814</v>
      </c>
      <c r="H2234" t="str">
        <f>VLOOKUP(C2234,[1]products!$A:$B,2,0)</f>
        <v>Haro Shredder 20 Girls - 2017</v>
      </c>
      <c r="I2234">
        <f>VLOOKUP(H2234,[1]products!$B:$D,3,0)</f>
        <v>1</v>
      </c>
      <c r="J2234" t="str">
        <f>VLOOKUP(I2234,[2]categories!$A$2:$B$8,2,0)</f>
        <v>Children Bicycles</v>
      </c>
    </row>
    <row r="2235" spans="1:10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0.07</v>
      </c>
      <c r="G2235" s="1">
        <f t="shared" si="34"/>
        <v>6509.9814</v>
      </c>
      <c r="H2235" t="str">
        <f>VLOOKUP(C2235,[1]products!$A:$B,2,0)</f>
        <v>Trek Boone 7 - 2017</v>
      </c>
      <c r="I2235">
        <f>VLOOKUP(H2235,[1]products!$B:$D,3,0)</f>
        <v>4</v>
      </c>
      <c r="J2235" t="str">
        <f>VLOOKUP(I2235,[2]categories!$A$2:$B$8,2,0)</f>
        <v>Cyclocross Bicycles</v>
      </c>
    </row>
    <row r="2236" spans="1:10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 s="1">
        <f t="shared" si="34"/>
        <v>314.991</v>
      </c>
      <c r="H2236" t="str">
        <f>VLOOKUP(C2236,[1]products!$A:$B,2,0)</f>
        <v>Trek Precaliber 24 (21-Speed) - Girls - 2017</v>
      </c>
      <c r="I2236">
        <f>VLOOKUP(H2236,[1]products!$B:$D,3,0)</f>
        <v>1</v>
      </c>
      <c r="J2236" t="str">
        <f>VLOOKUP(I2236,[2]categories!$A$2:$B$8,2,0)</f>
        <v>Children Bicycles</v>
      </c>
    </row>
    <row r="2237" spans="1:10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 s="1">
        <f t="shared" si="34"/>
        <v>2559.992</v>
      </c>
      <c r="H2237" t="str">
        <f>VLOOKUP(C2237,[1]products!$A:$B,2,0)</f>
        <v>Trek Domane SL Disc Frameset - 2017</v>
      </c>
      <c r="I2237">
        <f>VLOOKUP(H2237,[1]products!$B:$D,3,0)</f>
        <v>7</v>
      </c>
      <c r="J2237" t="str">
        <f>VLOOKUP(I2237,[2]categories!$A$2:$B$8,2,0)</f>
        <v>Road Bikes</v>
      </c>
    </row>
    <row r="2238" spans="1:10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0.07</v>
      </c>
      <c r="G2238" s="1">
        <f t="shared" si="34"/>
        <v>929.9814</v>
      </c>
      <c r="H2238" t="str">
        <f>VLOOKUP(C2238,[1]products!$A:$B,2,0)</f>
        <v>Electra Townie Original 7D - 2015/2016</v>
      </c>
      <c r="I2238">
        <f>VLOOKUP(H2238,[1]products!$B:$D,3,0)</f>
        <v>2</v>
      </c>
      <c r="J2238" t="str">
        <f>VLOOKUP(I2238,[2]categories!$A$2:$B$8,2,0)</f>
        <v>Comfort Bicycles</v>
      </c>
    </row>
    <row r="2239" spans="1:10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 s="1">
        <f t="shared" si="34"/>
        <v>959.984</v>
      </c>
      <c r="H2239" t="str">
        <f>VLOOKUP(C2239,[1]products!$A:$B,2,0)</f>
        <v>Electra Townie Original 7D EQ - 2016</v>
      </c>
      <c r="I2239">
        <f>VLOOKUP(H2239,[1]products!$B:$D,3,0)</f>
        <v>3</v>
      </c>
      <c r="J2239" t="str">
        <f>VLOOKUP(I2239,[2]categories!$A$2:$B$8,2,0)</f>
        <v>Cruisers Bicycles</v>
      </c>
    </row>
    <row r="2240" spans="1:10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 s="1">
        <f t="shared" si="34"/>
        <v>1199.992</v>
      </c>
      <c r="H2240" t="str">
        <f>VLOOKUP(C2240,[1]products!$A:$B,2,0)</f>
        <v>Trek Stache 5 - 2017</v>
      </c>
      <c r="I2240">
        <f>VLOOKUP(H2240,[1]products!$B:$D,3,0)</f>
        <v>6</v>
      </c>
      <c r="J2240" t="str">
        <f>VLOOKUP(I2240,[2]categories!$A$2:$B$8,2,0)</f>
        <v>Mountain Bikes</v>
      </c>
    </row>
    <row r="2241" spans="1:10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 s="1">
        <f t="shared" si="34"/>
        <v>4399.992</v>
      </c>
      <c r="H2241" t="str">
        <f>VLOOKUP(C2241,[1]products!$A:$B,2,0)</f>
        <v>Trek Domane SLR 6 Disc - 2017</v>
      </c>
      <c r="I2241">
        <f>VLOOKUP(H2241,[1]products!$B:$D,3,0)</f>
        <v>7</v>
      </c>
      <c r="J2241" t="str">
        <f>VLOOKUP(I2241,[2]categories!$A$2:$B$8,2,0)</f>
        <v>Road Bikes</v>
      </c>
    </row>
    <row r="2242" spans="1:10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 s="1">
        <f t="shared" ref="G2242:G2305" si="35">D2242*E2242*(1-F2242)</f>
        <v>949.9905</v>
      </c>
      <c r="H2242" t="str">
        <f>VLOOKUP(C2242,[1]products!$A:$B,2,0)</f>
        <v>Surly Ice Cream Truck Frameset - 2017</v>
      </c>
      <c r="I2242">
        <f>VLOOKUP(H2242,[1]products!$B:$D,3,0)</f>
        <v>6</v>
      </c>
      <c r="J2242" t="str">
        <f>VLOOKUP(I2242,[2]categories!$A$2:$B$8,2,0)</f>
        <v>Mountain Bikes</v>
      </c>
    </row>
    <row r="2243" spans="1:10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 s="1">
        <f t="shared" si="35"/>
        <v>599.992</v>
      </c>
      <c r="H2243" t="str">
        <f>VLOOKUP(C2243,[1]products!$A:$B,2,0)</f>
        <v>Ritchey Timberwolf Frameset - 2016</v>
      </c>
      <c r="I2243">
        <f>VLOOKUP(H2243,[1]products!$B:$D,3,0)</f>
        <v>6</v>
      </c>
      <c r="J2243" t="str">
        <f>VLOOKUP(I2243,[2]categories!$A$2:$B$8,2,0)</f>
        <v>Mountain Bikes</v>
      </c>
    </row>
    <row r="2244" spans="1:10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 s="1">
        <f t="shared" si="35"/>
        <v>1481.9905</v>
      </c>
      <c r="H2244" t="str">
        <f>VLOOKUP(C2244,[1]products!$A:$B,2,0)</f>
        <v>Sun Bicycles ElectroLite - 2017</v>
      </c>
      <c r="I2244">
        <f>VLOOKUP(H2244,[1]products!$B:$D,3,0)</f>
        <v>5</v>
      </c>
      <c r="J2244" t="str">
        <f>VLOOKUP(I2244,[2]categories!$A$2:$B$8,2,0)</f>
        <v>Electric Bikes</v>
      </c>
    </row>
    <row r="2245" spans="1:10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 s="1">
        <f t="shared" si="35"/>
        <v>569.981</v>
      </c>
      <c r="H2245" t="str">
        <f>VLOOKUP(C2245,[1]products!$A:$B,2,0)</f>
        <v>Electra Girl's Hawaii 1 16" - 2017</v>
      </c>
      <c r="I2245">
        <f>VLOOKUP(H2245,[1]products!$B:$D,3,0)</f>
        <v>3</v>
      </c>
      <c r="J2245" t="str">
        <f>VLOOKUP(I2245,[2]categories!$A$2:$B$8,2,0)</f>
        <v>Cruisers Bicycles</v>
      </c>
    </row>
    <row r="2246" spans="1:10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 s="1">
        <f t="shared" si="35"/>
        <v>1139.981</v>
      </c>
      <c r="H2246" t="str">
        <f>VLOOKUP(C2246,[1]products!$A:$B,2,0)</f>
        <v>Electra Cruiser Lux Fat Tire 1 Ladies - 2017</v>
      </c>
      <c r="I2246">
        <f>VLOOKUP(H2246,[1]products!$B:$D,3,0)</f>
        <v>3</v>
      </c>
      <c r="J2246" t="str">
        <f>VLOOKUP(I2246,[2]categories!$A$2:$B$8,2,0)</f>
        <v>Cruisers Bicycles</v>
      </c>
    </row>
    <row r="2247" spans="1:10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 s="1">
        <f t="shared" si="35"/>
        <v>2792.981</v>
      </c>
      <c r="H2247" t="str">
        <f>VLOOKUP(C2247,[1]products!$A:$B,2,0)</f>
        <v>Haro Shift R3 - 2017</v>
      </c>
      <c r="I2247">
        <f>VLOOKUP(H2247,[1]products!$B:$D,3,0)</f>
        <v>6</v>
      </c>
      <c r="J2247" t="str">
        <f>VLOOKUP(I2247,[2]categories!$A$2:$B$8,2,0)</f>
        <v>Mountain Bikes</v>
      </c>
    </row>
    <row r="2248" spans="1:10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 s="1">
        <f t="shared" si="35"/>
        <v>359.992</v>
      </c>
      <c r="H2248" t="str">
        <f>VLOOKUP(C2248,[1]products!$A:$B,2,0)</f>
        <v>Sun Bicycles Cruz 3 - 2017</v>
      </c>
      <c r="I2248">
        <f>VLOOKUP(H2248,[1]products!$B:$D,3,0)</f>
        <v>3</v>
      </c>
      <c r="J2248" t="str">
        <f>VLOOKUP(I2248,[2]categories!$A$2:$B$8,2,0)</f>
        <v>Cruisers Bicycles</v>
      </c>
    </row>
    <row r="2249" spans="1:10">
      <c r="A2249">
        <v>794</v>
      </c>
      <c r="B2249">
        <v>3</v>
      </c>
      <c r="C2249">
        <v>17</v>
      </c>
      <c r="D2249">
        <v>1</v>
      </c>
      <c r="E2249">
        <v>429</v>
      </c>
      <c r="F2249">
        <v>0.07</v>
      </c>
      <c r="G2249" s="1">
        <f t="shared" si="35"/>
        <v>398.97</v>
      </c>
      <c r="H2249" t="str">
        <f>VLOOKUP(C2249,[1]products!$A:$B,2,0)</f>
        <v>Pure Cycles Vine 8-Speed - 2016</v>
      </c>
      <c r="I2249">
        <f>VLOOKUP(H2249,[1]products!$B:$D,3,0)</f>
        <v>3</v>
      </c>
      <c r="J2249" t="str">
        <f>VLOOKUP(I2249,[2]categories!$A$2:$B$8,2,0)</f>
        <v>Cruisers Bicycles</v>
      </c>
    </row>
    <row r="2250" spans="1:10">
      <c r="A2250">
        <v>794</v>
      </c>
      <c r="B2250">
        <v>4</v>
      </c>
      <c r="C2250">
        <v>28</v>
      </c>
      <c r="D2250">
        <v>1</v>
      </c>
      <c r="E2250">
        <v>2499.99</v>
      </c>
      <c r="F2250">
        <v>0.1</v>
      </c>
      <c r="G2250" s="1">
        <f t="shared" si="35"/>
        <v>2249.991</v>
      </c>
      <c r="H2250" t="str">
        <f>VLOOKUP(C2250,[1]products!$A:$B,2,0)</f>
        <v>Surly Karate Monkey 27.5+ Frameset - 2017</v>
      </c>
      <c r="I2250">
        <f>VLOOKUP(H2250,[1]products!$B:$D,3,0)</f>
        <v>6</v>
      </c>
      <c r="J2250" t="str">
        <f>VLOOKUP(I2250,[2]categories!$A$2:$B$8,2,0)</f>
        <v>Mountain Bikes</v>
      </c>
    </row>
    <row r="2251" spans="1:10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 s="1">
        <f t="shared" si="35"/>
        <v>569.981</v>
      </c>
      <c r="H2251" t="str">
        <f>VLOOKUP(C2251,[1]products!$A:$B,2,0)</f>
        <v>Electra Girl's Hawaii 1 16" - 2017</v>
      </c>
      <c r="I2251">
        <f>VLOOKUP(H2251,[1]products!$B:$D,3,0)</f>
        <v>3</v>
      </c>
      <c r="J2251" t="str">
        <f>VLOOKUP(I2251,[2]categories!$A$2:$B$8,2,0)</f>
        <v>Cruisers Bicycles</v>
      </c>
    </row>
    <row r="2252" spans="1:10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 s="1">
        <f t="shared" si="35"/>
        <v>569.981</v>
      </c>
      <c r="H2252" t="str">
        <f>VLOOKUP(C2252,[1]products!$A:$B,2,0)</f>
        <v>Electra Sugar Skulls 1 (20-inch) - Girl's - 2017</v>
      </c>
      <c r="I2252">
        <f>VLOOKUP(H2252,[1]products!$B:$D,3,0)</f>
        <v>1</v>
      </c>
      <c r="J2252" t="str">
        <f>VLOOKUP(I2252,[2]categories!$A$2:$B$8,2,0)</f>
        <v>Children Bicycles</v>
      </c>
    </row>
    <row r="2253" spans="1:10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 s="1">
        <f t="shared" si="35"/>
        <v>751.984</v>
      </c>
      <c r="H2253" t="str">
        <f>VLOOKUP(C2253,[1]products!$A:$B,2,0)</f>
        <v>Surly Ice Cream Truck Frameset - 2016</v>
      </c>
      <c r="I2253">
        <f>VLOOKUP(H2253,[1]products!$B:$D,3,0)</f>
        <v>6</v>
      </c>
      <c r="J2253" t="str">
        <f>VLOOKUP(I2253,[2]categories!$A$2:$B$8,2,0)</f>
        <v>Mountain Bikes</v>
      </c>
    </row>
    <row r="2254" spans="1:10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0.07</v>
      </c>
      <c r="G2254" s="1">
        <f t="shared" si="35"/>
        <v>1563.3207</v>
      </c>
      <c r="H2254" t="str">
        <f>VLOOKUP(C2254,[1]products!$A:$B,2,0)</f>
        <v>Surly Straggler 650b - 2016</v>
      </c>
      <c r="I2254">
        <f>VLOOKUP(H2254,[1]products!$B:$D,3,0)</f>
        <v>4</v>
      </c>
      <c r="J2254" t="str">
        <f>VLOOKUP(I2254,[2]categories!$A$2:$B$8,2,0)</f>
        <v>Cyclocross Bicycles</v>
      </c>
    </row>
    <row r="2255" spans="1:10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 s="1">
        <f t="shared" si="35"/>
        <v>396.1405</v>
      </c>
      <c r="H2255" t="str">
        <f>VLOOKUP(C2255,[1]products!$A:$B,2,0)</f>
        <v>Sun Bicycles Cruz 7 - 2017</v>
      </c>
      <c r="I2255">
        <f>VLOOKUP(H2255,[1]products!$B:$D,3,0)</f>
        <v>3</v>
      </c>
      <c r="J2255" t="str">
        <f>VLOOKUP(I2255,[2]categories!$A$2:$B$8,2,0)</f>
        <v>Cruisers Bicycles</v>
      </c>
    </row>
    <row r="2256" spans="1:10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 s="1">
        <f t="shared" si="35"/>
        <v>395.991</v>
      </c>
      <c r="H2256" t="str">
        <f>VLOOKUP(C2256,[1]products!$A:$B,2,0)</f>
        <v>Electra Cruiser Lux 1 - 2017</v>
      </c>
      <c r="I2256">
        <f>VLOOKUP(H2256,[1]products!$B:$D,3,0)</f>
        <v>3</v>
      </c>
      <c r="J2256" t="str">
        <f>VLOOKUP(I2256,[2]categories!$A$2:$B$8,2,0)</f>
        <v>Cruisers Bicycles</v>
      </c>
    </row>
    <row r="2257" spans="1:10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 s="1">
        <f t="shared" si="35"/>
        <v>6079.981</v>
      </c>
      <c r="H2257" t="str">
        <f>VLOOKUP(C2257,[1]products!$A:$B,2,0)</f>
        <v>Trek Domane SL Disc Frameset - 2017</v>
      </c>
      <c r="I2257">
        <f>VLOOKUP(H2257,[1]products!$B:$D,3,0)</f>
        <v>7</v>
      </c>
      <c r="J2257" t="str">
        <f>VLOOKUP(I2257,[2]categories!$A$2:$B$8,2,0)</f>
        <v>Road Bikes</v>
      </c>
    </row>
    <row r="2258" spans="1:10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 s="1">
        <f t="shared" si="35"/>
        <v>6299.982</v>
      </c>
      <c r="H2258" t="str">
        <f>VLOOKUP(C2258,[1]products!$A:$B,2,0)</f>
        <v>Trek Boone 7 - 2017</v>
      </c>
      <c r="I2258">
        <f>VLOOKUP(H2258,[1]products!$B:$D,3,0)</f>
        <v>4</v>
      </c>
      <c r="J2258" t="str">
        <f>VLOOKUP(I2258,[2]categories!$A$2:$B$8,2,0)</f>
        <v>Cyclocross Bicycles</v>
      </c>
    </row>
    <row r="2259" spans="1:10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 s="1">
        <f t="shared" si="35"/>
        <v>269.991</v>
      </c>
      <c r="H2259" t="str">
        <f>VLOOKUP(C2259,[1]products!$A:$B,2,0)</f>
        <v>Electra Girl's Hawaii 1 (20-inch) - 2015/2016</v>
      </c>
      <c r="I2259">
        <f>VLOOKUP(H2259,[1]products!$B:$D,3,0)</f>
        <v>1</v>
      </c>
      <c r="J2259" t="str">
        <f>VLOOKUP(I2259,[2]categories!$A$2:$B$8,2,0)</f>
        <v>Children Bicycles</v>
      </c>
    </row>
    <row r="2260" spans="1:10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 s="1">
        <f t="shared" si="35"/>
        <v>199.4905</v>
      </c>
      <c r="H2260" t="str">
        <f>VLOOKUP(C2260,[1]products!$A:$B,2,0)</f>
        <v>Trek Precaliber 16 Girls - 2017</v>
      </c>
      <c r="I2260">
        <f>VLOOKUP(H2260,[1]products!$B:$D,3,0)</f>
        <v>1</v>
      </c>
      <c r="J2260" t="str">
        <f>VLOOKUP(I2260,[2]categories!$A$2:$B$8,2,0)</f>
        <v>Children Bicycles</v>
      </c>
    </row>
    <row r="2261" spans="1:10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0.07</v>
      </c>
      <c r="G2261" s="1">
        <f t="shared" si="35"/>
        <v>650.9814</v>
      </c>
      <c r="H2261" t="str">
        <f>VLOOKUP(C2261,[1]products!$A:$B,2,0)</f>
        <v>Trek Precaliber 24 (21-Speed) - Girls - 2017</v>
      </c>
      <c r="I2261">
        <f>VLOOKUP(H2261,[1]products!$B:$D,3,0)</f>
        <v>1</v>
      </c>
      <c r="J2261" t="str">
        <f>VLOOKUP(I2261,[2]categories!$A$2:$B$8,2,0)</f>
        <v>Children Bicycles</v>
      </c>
    </row>
    <row r="2262" spans="1:10">
      <c r="A2262">
        <v>798</v>
      </c>
      <c r="B2262">
        <v>4</v>
      </c>
      <c r="C2262">
        <v>42</v>
      </c>
      <c r="D2262">
        <v>1</v>
      </c>
      <c r="E2262">
        <v>2299.99</v>
      </c>
      <c r="F2262">
        <v>0.2</v>
      </c>
      <c r="G2262" s="1">
        <f t="shared" si="35"/>
        <v>1839.992</v>
      </c>
      <c r="H2262" t="str">
        <f>VLOOKUP(C2262,[1]products!$A:$B,2,0)</f>
        <v>Trek Fuel EX 5 27.5 Plus - 2017</v>
      </c>
      <c r="I2262">
        <f>VLOOKUP(H2262,[1]products!$B:$D,3,0)</f>
        <v>6</v>
      </c>
      <c r="J2262" t="str">
        <f>VLOOKUP(I2262,[2]categories!$A$2:$B$8,2,0)</f>
        <v>Mountain Bikes</v>
      </c>
    </row>
    <row r="2263" spans="1:10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 s="1">
        <f t="shared" si="35"/>
        <v>1139.981</v>
      </c>
      <c r="H2263" t="str">
        <f>VLOOKUP(C2263,[1]products!$A:$B,2,0)</f>
        <v>Electra Townie Original 7D EQ - 2016</v>
      </c>
      <c r="I2263">
        <f>VLOOKUP(H2263,[1]products!$B:$D,3,0)</f>
        <v>3</v>
      </c>
      <c r="J2263" t="str">
        <f>VLOOKUP(I2263,[2]categories!$A$2:$B$8,2,0)</f>
        <v>Cruisers Bicycles</v>
      </c>
    </row>
    <row r="2264" spans="1:10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 s="1">
        <f t="shared" si="35"/>
        <v>2377.782</v>
      </c>
      <c r="H2264" t="str">
        <f>VLOOKUP(C2264,[1]products!$A:$B,2,0)</f>
        <v>Heller Shagamaw Frame - 2016</v>
      </c>
      <c r="I2264">
        <f>VLOOKUP(H2264,[1]products!$B:$D,3,0)</f>
        <v>6</v>
      </c>
      <c r="J2264" t="str">
        <f>VLOOKUP(I2264,[2]categories!$A$2:$B$8,2,0)</f>
        <v>Mountain Bikes</v>
      </c>
    </row>
    <row r="2265" spans="1:10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 s="1">
        <f t="shared" si="35"/>
        <v>892.981</v>
      </c>
      <c r="H2265" t="str">
        <f>VLOOKUP(C2265,[1]products!$A:$B,2,0)</f>
        <v>Trek Session DH 27.5 Carbon Frameset - 2017</v>
      </c>
      <c r="I2265">
        <f>VLOOKUP(H2265,[1]products!$B:$D,3,0)</f>
        <v>6</v>
      </c>
      <c r="J2265" t="str">
        <f>VLOOKUP(I2265,[2]categories!$A$2:$B$8,2,0)</f>
        <v>Mountain Bikes</v>
      </c>
    </row>
    <row r="2266" spans="1:10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0.07</v>
      </c>
      <c r="G2266" s="1">
        <f t="shared" si="35"/>
        <v>1859.9814</v>
      </c>
      <c r="H2266" t="str">
        <f>VLOOKUP(C2266,[1]products!$A:$B,2,0)</f>
        <v>Trek X-Caliber 8 - 2017</v>
      </c>
      <c r="I2266">
        <f>VLOOKUP(H2266,[1]products!$B:$D,3,0)</f>
        <v>6</v>
      </c>
      <c r="J2266" t="str">
        <f>VLOOKUP(I2266,[2]categories!$A$2:$B$8,2,0)</f>
        <v>Mountain Bikes</v>
      </c>
    </row>
    <row r="2267" spans="1:10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 s="1">
        <f t="shared" si="35"/>
        <v>3149.991</v>
      </c>
      <c r="H2267" t="str">
        <f>VLOOKUP(C2267,[1]products!$A:$B,2,0)</f>
        <v>Trek Boone Race Shop Limited - 2017</v>
      </c>
      <c r="I2267">
        <f>VLOOKUP(H2267,[1]products!$B:$D,3,0)</f>
        <v>4</v>
      </c>
      <c r="J2267" t="str">
        <f>VLOOKUP(I2267,[2]categories!$A$2:$B$8,2,0)</f>
        <v>Cyclocross Bicycles</v>
      </c>
    </row>
    <row r="2268" spans="1:10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0.07</v>
      </c>
      <c r="G2268" s="1">
        <f t="shared" si="35"/>
        <v>9299.9814</v>
      </c>
      <c r="H2268" t="str">
        <f>VLOOKUP(C2268,[1]products!$A:$B,2,0)</f>
        <v>Trek Madone 9.2 - 2017</v>
      </c>
      <c r="I2268">
        <f>VLOOKUP(H2268,[1]products!$B:$D,3,0)</f>
        <v>7</v>
      </c>
      <c r="J2268" t="str">
        <f>VLOOKUP(I2268,[2]categories!$A$2:$B$8,2,0)</f>
        <v>Road Bikes</v>
      </c>
    </row>
    <row r="2269" spans="1:10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 s="1">
        <f t="shared" si="35"/>
        <v>624.582</v>
      </c>
      <c r="H2269" t="str">
        <f>VLOOKUP(C2269,[1]products!$A:$B,2,0)</f>
        <v>Sun Bicycles Lil Bolt Type-R - 2017</v>
      </c>
      <c r="I2269">
        <f>VLOOKUP(H2269,[1]products!$B:$D,3,0)</f>
        <v>3</v>
      </c>
      <c r="J2269" t="str">
        <f>VLOOKUP(I2269,[2]categories!$A$2:$B$8,2,0)</f>
        <v>Cruisers Bicycles</v>
      </c>
    </row>
    <row r="2270" spans="1:10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0.07</v>
      </c>
      <c r="G2270" s="1">
        <f t="shared" si="35"/>
        <v>2975.9907</v>
      </c>
      <c r="H2270" t="str">
        <f>VLOOKUP(C2270,[1]products!$A:$B,2,0)</f>
        <v>Trek Domane SL Disc Frameset - 2017</v>
      </c>
      <c r="I2270">
        <f>VLOOKUP(H2270,[1]products!$B:$D,3,0)</f>
        <v>7</v>
      </c>
      <c r="J2270" t="str">
        <f>VLOOKUP(I2270,[2]categories!$A$2:$B$8,2,0)</f>
        <v>Road Bikes</v>
      </c>
    </row>
    <row r="2271" spans="1:10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 s="1">
        <f t="shared" si="35"/>
        <v>892.981</v>
      </c>
      <c r="H2271" t="str">
        <f>VLOOKUP(C2271,[1]products!$A:$B,2,0)</f>
        <v>Surly Ice Cream Truck Frameset - 2016</v>
      </c>
      <c r="I2271">
        <f>VLOOKUP(H2271,[1]products!$B:$D,3,0)</f>
        <v>6</v>
      </c>
      <c r="J2271" t="str">
        <f>VLOOKUP(I2271,[2]categories!$A$2:$B$8,2,0)</f>
        <v>Mountain Bikes</v>
      </c>
    </row>
    <row r="2272" spans="1:10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 s="1">
        <f t="shared" si="35"/>
        <v>788.391</v>
      </c>
      <c r="H2272" t="str">
        <f>VLOOKUP(C2272,[1]products!$A:$B,2,0)</f>
        <v>Surly Steamroller - 2017</v>
      </c>
      <c r="I2272">
        <f>VLOOKUP(H2272,[1]products!$B:$D,3,0)</f>
        <v>7</v>
      </c>
      <c r="J2272" t="str">
        <f>VLOOKUP(I2272,[2]categories!$A$2:$B$8,2,0)</f>
        <v>Road Bikes</v>
      </c>
    </row>
    <row r="2273" spans="1:10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 s="1">
        <f t="shared" si="35"/>
        <v>569.981</v>
      </c>
      <c r="H2273" t="str">
        <f>VLOOKUP(C2273,[1]products!$A:$B,2,0)</f>
        <v>Electra Girl's Hawaii 1 16" - 2017</v>
      </c>
      <c r="I2273">
        <f>VLOOKUP(H2273,[1]products!$B:$D,3,0)</f>
        <v>3</v>
      </c>
      <c r="J2273" t="str">
        <f>VLOOKUP(I2273,[2]categories!$A$2:$B$8,2,0)</f>
        <v>Cruisers Bicycles</v>
      </c>
    </row>
    <row r="2274" spans="1:10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0.07</v>
      </c>
      <c r="G2274" s="1">
        <f t="shared" si="35"/>
        <v>316.1907</v>
      </c>
      <c r="H2274" t="str">
        <f>VLOOKUP(C2274,[1]products!$A:$B,2,0)</f>
        <v>Electra Townie 7D (20-inch) - Boys' - 2017</v>
      </c>
      <c r="I2274">
        <f>VLOOKUP(H2274,[1]products!$B:$D,3,0)</f>
        <v>1</v>
      </c>
      <c r="J2274" t="str">
        <f>VLOOKUP(I2274,[2]categories!$A$2:$B$8,2,0)</f>
        <v>Children Bicycles</v>
      </c>
    </row>
    <row r="2275" spans="1:10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 s="1">
        <f t="shared" si="35"/>
        <v>949.9905</v>
      </c>
      <c r="H2275" t="str">
        <f>VLOOKUP(C2275,[1]products!$A:$B,2,0)</f>
        <v>Surly Ice Cream Truck Frameset - 2017</v>
      </c>
      <c r="I2275">
        <f>VLOOKUP(H2275,[1]products!$B:$D,3,0)</f>
        <v>6</v>
      </c>
      <c r="J2275" t="str">
        <f>VLOOKUP(I2275,[2]categories!$A$2:$B$8,2,0)</f>
        <v>Mountain Bikes</v>
      </c>
    </row>
    <row r="2276" spans="1:10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 s="1">
        <f t="shared" si="35"/>
        <v>1332.784</v>
      </c>
      <c r="H2276" t="str">
        <f>VLOOKUP(C2276,[1]products!$A:$B,2,0)</f>
        <v>Surly Troll Frameset - 2017</v>
      </c>
      <c r="I2276">
        <f>VLOOKUP(H2276,[1]products!$B:$D,3,0)</f>
        <v>6</v>
      </c>
      <c r="J2276" t="str">
        <f>VLOOKUP(I2276,[2]categories!$A$2:$B$8,2,0)</f>
        <v>Mountain Bikes</v>
      </c>
    </row>
    <row r="2277" spans="1:10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 s="1">
        <f t="shared" si="35"/>
        <v>4499.991</v>
      </c>
      <c r="H2277" t="str">
        <f>VLOOKUP(C2277,[1]products!$A:$B,2,0)</f>
        <v>Trek Fuel EX 9.8 29 - 2017</v>
      </c>
      <c r="I2277">
        <f>VLOOKUP(H2277,[1]products!$B:$D,3,0)</f>
        <v>6</v>
      </c>
      <c r="J2277" t="str">
        <f>VLOOKUP(I2277,[2]categories!$A$2:$B$8,2,0)</f>
        <v>Mountain Bikes</v>
      </c>
    </row>
    <row r="2278" spans="1:10">
      <c r="A2278">
        <v>802</v>
      </c>
      <c r="B2278">
        <v>4</v>
      </c>
      <c r="C2278">
        <v>28</v>
      </c>
      <c r="D2278">
        <v>1</v>
      </c>
      <c r="E2278">
        <v>2499.99</v>
      </c>
      <c r="F2278">
        <v>0.05</v>
      </c>
      <c r="G2278" s="1">
        <f t="shared" si="35"/>
        <v>2374.9905</v>
      </c>
      <c r="H2278" t="str">
        <f>VLOOKUP(C2278,[1]products!$A:$B,2,0)</f>
        <v>Surly Karate Monkey 27.5+ Frameset - 2017</v>
      </c>
      <c r="I2278">
        <f>VLOOKUP(H2278,[1]products!$B:$D,3,0)</f>
        <v>6</v>
      </c>
      <c r="J2278" t="str">
        <f>VLOOKUP(I2278,[2]categories!$A$2:$B$8,2,0)</f>
        <v>Mountain Bikes</v>
      </c>
    </row>
    <row r="2279" spans="1:10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0.07</v>
      </c>
      <c r="G2279" s="1">
        <f t="shared" si="35"/>
        <v>438.0207</v>
      </c>
      <c r="H2279" t="str">
        <f>VLOOKUP(C2279,[1]products!$A:$B,2,0)</f>
        <v>Sun Bicycles Drifter 7 - Women's - 2017</v>
      </c>
      <c r="I2279">
        <f>VLOOKUP(H2279,[1]products!$B:$D,3,0)</f>
        <v>2</v>
      </c>
      <c r="J2279" t="str">
        <f>VLOOKUP(I2279,[2]categories!$A$2:$B$8,2,0)</f>
        <v>Comfort Bicycles</v>
      </c>
    </row>
    <row r="2280" spans="1:10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 s="1">
        <f t="shared" si="35"/>
        <v>1664.381</v>
      </c>
      <c r="H2280" t="str">
        <f>VLOOKUP(C2280,[1]products!$A:$B,2,0)</f>
        <v>Surly Steamroller - 2017</v>
      </c>
      <c r="I2280">
        <f>VLOOKUP(H2280,[1]products!$B:$D,3,0)</f>
        <v>7</v>
      </c>
      <c r="J2280" t="str">
        <f>VLOOKUP(I2280,[2]categories!$A$2:$B$8,2,0)</f>
        <v>Road Bikes</v>
      </c>
    </row>
    <row r="2281" spans="1:10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0.07</v>
      </c>
      <c r="G2281" s="1">
        <f t="shared" si="35"/>
        <v>455.6907</v>
      </c>
      <c r="H2281" t="str">
        <f>VLOOKUP(C2281,[1]products!$A:$B,2,0)</f>
        <v>Electra Townie Original 7D - 2017</v>
      </c>
      <c r="I2281">
        <f>VLOOKUP(H2281,[1]products!$B:$D,3,0)</f>
        <v>3</v>
      </c>
      <c r="J2281" t="str">
        <f>VLOOKUP(I2281,[2]categories!$A$2:$B$8,2,0)</f>
        <v>Cruisers Bicycles</v>
      </c>
    </row>
    <row r="2282" spans="1:10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 s="1">
        <f t="shared" si="35"/>
        <v>284.981</v>
      </c>
      <c r="H2282" t="str">
        <f>VLOOKUP(C2282,[1]products!$A:$B,2,0)</f>
        <v>Trek Boy's Kickster - 2015/2017</v>
      </c>
      <c r="I2282">
        <f>VLOOKUP(H2282,[1]products!$B:$D,3,0)</f>
        <v>1</v>
      </c>
      <c r="J2282" t="str">
        <f>VLOOKUP(I2282,[2]categories!$A$2:$B$8,2,0)</f>
        <v>Children Bicycles</v>
      </c>
    </row>
    <row r="2283" spans="1:10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 s="1">
        <f t="shared" si="35"/>
        <v>335.984</v>
      </c>
      <c r="H2283" t="str">
        <f>VLOOKUP(C2283,[1]products!$A:$B,2,0)</f>
        <v>Trek Precaliber 16 Boys - 2017</v>
      </c>
      <c r="I2283">
        <f>VLOOKUP(H2283,[1]products!$B:$D,3,0)</f>
        <v>1</v>
      </c>
      <c r="J2283" t="str">
        <f>VLOOKUP(I2283,[2]categories!$A$2:$B$8,2,0)</f>
        <v>Children Bicycles</v>
      </c>
    </row>
    <row r="2284" spans="1:10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0.07</v>
      </c>
      <c r="G2284" s="1">
        <f t="shared" si="35"/>
        <v>697.4907</v>
      </c>
      <c r="H2284" t="str">
        <f>VLOOKUP(C2284,[1]products!$A:$B,2,0)</f>
        <v>Surly Ogre Frameset - 2017</v>
      </c>
      <c r="I2284">
        <f>VLOOKUP(H2284,[1]products!$B:$D,3,0)</f>
        <v>7</v>
      </c>
      <c r="J2284" t="str">
        <f>VLOOKUP(I2284,[2]categories!$A$2:$B$8,2,0)</f>
        <v>Road Bikes</v>
      </c>
    </row>
    <row r="2285" spans="1:10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 s="1">
        <f t="shared" si="35"/>
        <v>11399.981</v>
      </c>
      <c r="H2285" t="str">
        <f>VLOOKUP(C2285,[1]products!$A:$B,2,0)</f>
        <v>Trek Silque SLR 7 Women's - 2017</v>
      </c>
      <c r="I2285">
        <f>VLOOKUP(H2285,[1]products!$B:$D,3,0)</f>
        <v>7</v>
      </c>
      <c r="J2285" t="str">
        <f>VLOOKUP(I2285,[2]categories!$A$2:$B$8,2,0)</f>
        <v>Road Bikes</v>
      </c>
    </row>
    <row r="2286" spans="1:10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 s="1">
        <f t="shared" si="35"/>
        <v>522.4905</v>
      </c>
      <c r="H2286" t="str">
        <f>VLOOKUP(C2286,[1]products!$A:$B,2,0)</f>
        <v>Electra Townie Original 21D - 2016</v>
      </c>
      <c r="I2286">
        <f>VLOOKUP(H2286,[1]products!$B:$D,3,0)</f>
        <v>3</v>
      </c>
      <c r="J2286" t="str">
        <f>VLOOKUP(I2286,[2]categories!$A$2:$B$8,2,0)</f>
        <v>Cruisers Bicycles</v>
      </c>
    </row>
    <row r="2287" spans="1:10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 s="1">
        <f t="shared" si="35"/>
        <v>751.984</v>
      </c>
      <c r="H2287" t="str">
        <f>VLOOKUP(C2287,[1]products!$A:$B,2,0)</f>
        <v>Surly Wednesday Frameset - 2017</v>
      </c>
      <c r="I2287">
        <f>VLOOKUP(H2287,[1]products!$B:$D,3,0)</f>
        <v>6</v>
      </c>
      <c r="J2287" t="str">
        <f>VLOOKUP(I2287,[2]categories!$A$2:$B$8,2,0)</f>
        <v>Mountain Bikes</v>
      </c>
    </row>
    <row r="2288" spans="1:10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 s="1">
        <f t="shared" si="35"/>
        <v>5599.984</v>
      </c>
      <c r="H2288" t="str">
        <f>VLOOKUP(C2288,[1]products!$A:$B,2,0)</f>
        <v>Trek Boone 7 - 2017</v>
      </c>
      <c r="I2288">
        <f>VLOOKUP(H2288,[1]products!$B:$D,3,0)</f>
        <v>4</v>
      </c>
      <c r="J2288" t="str">
        <f>VLOOKUP(I2288,[2]categories!$A$2:$B$8,2,0)</f>
        <v>Cyclocross Bicycles</v>
      </c>
    </row>
    <row r="2289" spans="1:10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0.07</v>
      </c>
      <c r="G2289" s="1">
        <f t="shared" si="35"/>
        <v>437.0907</v>
      </c>
      <c r="H2289" t="str">
        <f>VLOOKUP(C2289,[1]products!$A:$B,2,0)</f>
        <v>Trek Farley Alloy Frameset - 2017</v>
      </c>
      <c r="I2289">
        <f>VLOOKUP(H2289,[1]products!$B:$D,3,0)</f>
        <v>6</v>
      </c>
      <c r="J2289" t="str">
        <f>VLOOKUP(I2289,[2]categories!$A$2:$B$8,2,0)</f>
        <v>Mountain Bikes</v>
      </c>
    </row>
    <row r="2290" spans="1:10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 s="1">
        <f t="shared" si="35"/>
        <v>892.981</v>
      </c>
      <c r="H2290" t="str">
        <f>VLOOKUP(C2290,[1]products!$A:$B,2,0)</f>
        <v>Surly Ice Cream Truck Frameset - 2016</v>
      </c>
      <c r="I2290">
        <f>VLOOKUP(H2290,[1]products!$B:$D,3,0)</f>
        <v>6</v>
      </c>
      <c r="J2290" t="str">
        <f>VLOOKUP(I2290,[2]categories!$A$2:$B$8,2,0)</f>
        <v>Mountain Bikes</v>
      </c>
    </row>
    <row r="2291" spans="1:10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 s="1">
        <f t="shared" si="35"/>
        <v>377.982</v>
      </c>
      <c r="H2291" t="str">
        <f>VLOOKUP(C2291,[1]products!$A:$B,2,0)</f>
        <v>Haro Shredder 20 Girls - 2017</v>
      </c>
      <c r="I2291">
        <f>VLOOKUP(H2291,[1]products!$B:$D,3,0)</f>
        <v>1</v>
      </c>
      <c r="J2291" t="str">
        <f>VLOOKUP(I2291,[2]categories!$A$2:$B$8,2,0)</f>
        <v>Children Bicycles</v>
      </c>
    </row>
    <row r="2292" spans="1:10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 s="1">
        <f t="shared" si="35"/>
        <v>279.992</v>
      </c>
      <c r="H2292" t="str">
        <f>VLOOKUP(C2292,[1]products!$A:$B,2,0)</f>
        <v>Electra Savannah 3i (20-inch) - Girl's - 2017</v>
      </c>
      <c r="I2292">
        <f>VLOOKUP(H2292,[1]products!$B:$D,3,0)</f>
        <v>1</v>
      </c>
      <c r="J2292" t="str">
        <f>VLOOKUP(I2292,[2]categories!$A$2:$B$8,2,0)</f>
        <v>Children Bicycles</v>
      </c>
    </row>
    <row r="2293" spans="1:10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 s="1">
        <f t="shared" si="35"/>
        <v>1439.982</v>
      </c>
      <c r="H2293" t="str">
        <f>VLOOKUP(C2293,[1]products!$A:$B,2,0)</f>
        <v>Electra Glam Punk 3i Ladies' - 2017</v>
      </c>
      <c r="I2293">
        <f>VLOOKUP(H2293,[1]products!$B:$D,3,0)</f>
        <v>3</v>
      </c>
      <c r="J2293" t="str">
        <f>VLOOKUP(I2293,[2]categories!$A$2:$B$8,2,0)</f>
        <v>Cruisers Bicycles</v>
      </c>
    </row>
    <row r="2294" spans="1:10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 s="1">
        <f t="shared" si="35"/>
        <v>1055.984</v>
      </c>
      <c r="H2294" t="str">
        <f>VLOOKUP(C2294,[1]products!$A:$B,2,0)</f>
        <v>Electra Amsterdam Original 3i Ladies' - 2017</v>
      </c>
      <c r="I2294">
        <f>VLOOKUP(H2294,[1]products!$B:$D,3,0)</f>
        <v>3</v>
      </c>
      <c r="J2294" t="str">
        <f>VLOOKUP(I2294,[2]categories!$A$2:$B$8,2,0)</f>
        <v>Cruisers Bicycles</v>
      </c>
    </row>
    <row r="2295" spans="1:10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0.07</v>
      </c>
      <c r="G2295" s="1">
        <f t="shared" si="35"/>
        <v>650.9814</v>
      </c>
      <c r="H2295" t="str">
        <f>VLOOKUP(C2295,[1]products!$A:$B,2,0)</f>
        <v>Trek Precaliber 24 (21-Speed) - Girls - 2017</v>
      </c>
      <c r="I2295">
        <f>VLOOKUP(H2295,[1]products!$B:$D,3,0)</f>
        <v>1</v>
      </c>
      <c r="J2295" t="str">
        <f>VLOOKUP(I2295,[2]categories!$A$2:$B$8,2,0)</f>
        <v>Children Bicycles</v>
      </c>
    </row>
    <row r="2296" spans="1:10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 s="1">
        <f t="shared" si="35"/>
        <v>431.984</v>
      </c>
      <c r="H2296" t="str">
        <f>VLOOKUP(C2296,[1]products!$A:$B,2,0)</f>
        <v>Electra Cruiser 1 (24-Inch) - 2016</v>
      </c>
      <c r="I2296">
        <f>VLOOKUP(H2296,[1]products!$B:$D,3,0)</f>
        <v>3</v>
      </c>
      <c r="J2296" t="str">
        <f>VLOOKUP(I2296,[2]categories!$A$2:$B$8,2,0)</f>
        <v>Cruisers Bicycles</v>
      </c>
    </row>
    <row r="2297" spans="1:10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0.07</v>
      </c>
      <c r="G2297" s="1">
        <f t="shared" si="35"/>
        <v>437.0907</v>
      </c>
      <c r="H2297" t="str">
        <f>VLOOKUP(C2297,[1]products!$A:$B,2,0)</f>
        <v>Surly Ice Cream Truck Frameset - 2016</v>
      </c>
      <c r="I2297">
        <f>VLOOKUP(H2297,[1]products!$B:$D,3,0)</f>
        <v>6</v>
      </c>
      <c r="J2297" t="str">
        <f>VLOOKUP(I2297,[2]categories!$A$2:$B$8,2,0)</f>
        <v>Mountain Bikes</v>
      </c>
    </row>
    <row r="2298" spans="1:10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0.07</v>
      </c>
      <c r="G2298" s="1">
        <f t="shared" si="35"/>
        <v>1859.9814</v>
      </c>
      <c r="H2298" t="str">
        <f>VLOOKUP(C2298,[1]products!$A:$B,2,0)</f>
        <v>Surly Wednesday Frameset - 2016</v>
      </c>
      <c r="I2298">
        <f>VLOOKUP(H2298,[1]products!$B:$D,3,0)</f>
        <v>6</v>
      </c>
      <c r="J2298" t="str">
        <f>VLOOKUP(I2298,[2]categories!$A$2:$B$8,2,0)</f>
        <v>Mountain Bikes</v>
      </c>
    </row>
    <row r="2299" spans="1:10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 s="1">
        <f t="shared" si="35"/>
        <v>4799.984</v>
      </c>
      <c r="H2299" t="str">
        <f>VLOOKUP(C2299,[1]products!$A:$B,2,0)</f>
        <v>Trek Conduit+ - 2016</v>
      </c>
      <c r="I2299">
        <f>VLOOKUP(H2299,[1]products!$B:$D,3,0)</f>
        <v>5</v>
      </c>
      <c r="J2299" t="str">
        <f>VLOOKUP(I2299,[2]categories!$A$2:$B$8,2,0)</f>
        <v>Electric Bikes</v>
      </c>
    </row>
    <row r="2300" spans="1:10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 s="1">
        <f t="shared" si="35"/>
        <v>479.992</v>
      </c>
      <c r="H2300" t="str">
        <f>VLOOKUP(C2300,[1]products!$A:$B,2,0)</f>
        <v>Electra Townie Original 7D EQ - 2016</v>
      </c>
      <c r="I2300">
        <f>VLOOKUP(H2300,[1]products!$B:$D,3,0)</f>
        <v>3</v>
      </c>
      <c r="J2300" t="str">
        <f>VLOOKUP(I2300,[2]categories!$A$2:$B$8,2,0)</f>
        <v>Cruisers Bicycles</v>
      </c>
    </row>
    <row r="2301" spans="1:10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 s="1">
        <f t="shared" si="35"/>
        <v>664.981</v>
      </c>
      <c r="H2301" t="str">
        <f>VLOOKUP(C2301,[1]products!$A:$B,2,0)</f>
        <v>Electra Moto 3i (20-inch) - Boy's - 2017</v>
      </c>
      <c r="I2301">
        <f>VLOOKUP(H2301,[1]products!$B:$D,3,0)</f>
        <v>1</v>
      </c>
      <c r="J2301" t="str">
        <f>VLOOKUP(I2301,[2]categories!$A$2:$B$8,2,0)</f>
        <v>Children Bicycles</v>
      </c>
    </row>
    <row r="2302" spans="1:10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 s="1">
        <f t="shared" si="35"/>
        <v>426.55</v>
      </c>
      <c r="H2302" t="str">
        <f>VLOOKUP(C2302,[1]products!$A:$B,2,0)</f>
        <v>Pure Cycles Western 3-Speed - Women's - 2015/2016</v>
      </c>
      <c r="I2302">
        <f>VLOOKUP(H2302,[1]products!$B:$D,3,0)</f>
        <v>3</v>
      </c>
      <c r="J2302" t="str">
        <f>VLOOKUP(I2302,[2]categories!$A$2:$B$8,2,0)</f>
        <v>Cruisers Bicycles</v>
      </c>
    </row>
    <row r="2303" spans="1:10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 s="1">
        <f t="shared" si="35"/>
        <v>313.4905</v>
      </c>
      <c r="H2303" t="str">
        <f>VLOOKUP(C2303,[1]products!$A:$B,2,0)</f>
        <v>Haro Downtown 16 - 2017</v>
      </c>
      <c r="I2303">
        <f>VLOOKUP(H2303,[1]products!$B:$D,3,0)</f>
        <v>1</v>
      </c>
      <c r="J2303" t="str">
        <f>VLOOKUP(I2303,[2]categories!$A$2:$B$8,2,0)</f>
        <v>Children Bicycles</v>
      </c>
    </row>
    <row r="2304" spans="1:10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 s="1">
        <f t="shared" si="35"/>
        <v>853.1</v>
      </c>
      <c r="H2304" t="str">
        <f>VLOOKUP(C2304,[1]products!$A:$B,2,0)</f>
        <v>Pure Cycles William 3-Speed - 2016</v>
      </c>
      <c r="I2304">
        <f>VLOOKUP(H2304,[1]products!$B:$D,3,0)</f>
        <v>3</v>
      </c>
      <c r="J2304" t="str">
        <f>VLOOKUP(I2304,[2]categories!$A$2:$B$8,2,0)</f>
        <v>Cruisers Bicycles</v>
      </c>
    </row>
    <row r="2305" spans="1:10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 s="1">
        <f t="shared" si="35"/>
        <v>583.191</v>
      </c>
      <c r="H2305" t="str">
        <f>VLOOKUP(C2305,[1]products!$A:$B,2,0)</f>
        <v>Sun Bicycles Biscayne Tandem CB - 2017</v>
      </c>
      <c r="I2305">
        <f>VLOOKUP(H2305,[1]products!$B:$D,3,0)</f>
        <v>3</v>
      </c>
      <c r="J2305" t="str">
        <f>VLOOKUP(I2305,[2]categories!$A$2:$B$8,2,0)</f>
        <v>Cruisers Bicycles</v>
      </c>
    </row>
    <row r="2306" spans="1:10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 s="1">
        <f t="shared" ref="G2306:G2369" si="36">D2306*E2306*(1-F2306)</f>
        <v>479.992</v>
      </c>
      <c r="H2306" t="str">
        <f>VLOOKUP(C2306,[1]products!$A:$B,2,0)</f>
        <v>Electra Townie Original 7D EQ - 2016</v>
      </c>
      <c r="I2306">
        <f>VLOOKUP(H2306,[1]products!$B:$D,3,0)</f>
        <v>3</v>
      </c>
      <c r="J2306" t="str">
        <f>VLOOKUP(I2306,[2]categories!$A$2:$B$8,2,0)</f>
        <v>Cruisers Bicycles</v>
      </c>
    </row>
    <row r="2307" spans="1:10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 s="1">
        <f t="shared" si="36"/>
        <v>377.982</v>
      </c>
      <c r="H2307" t="str">
        <f>VLOOKUP(C2307,[1]products!$A:$B,2,0)</f>
        <v>Haro Shredder 20 - 2017</v>
      </c>
      <c r="I2307">
        <f>VLOOKUP(H2307,[1]products!$B:$D,3,0)</f>
        <v>1</v>
      </c>
      <c r="J2307" t="str">
        <f>VLOOKUP(I2307,[2]categories!$A$2:$B$8,2,0)</f>
        <v>Children Bicycles</v>
      </c>
    </row>
    <row r="2308" spans="1:10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 s="1">
        <f t="shared" si="36"/>
        <v>1048.781</v>
      </c>
      <c r="H2308" t="str">
        <f>VLOOKUP(C2308,[1]products!$A:$B,2,0)</f>
        <v>Sun Bicycles Streamway 3 - 2017</v>
      </c>
      <c r="I2308">
        <f>VLOOKUP(H2308,[1]products!$B:$D,3,0)</f>
        <v>2</v>
      </c>
      <c r="J2308" t="str">
        <f>VLOOKUP(I2308,[2]categories!$A$2:$B$8,2,0)</f>
        <v>Comfort Bicycles</v>
      </c>
    </row>
    <row r="2309" spans="1:10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 s="1">
        <f t="shared" si="36"/>
        <v>391.992</v>
      </c>
      <c r="H2309" t="str">
        <f>VLOOKUP(C2309,[1]products!$A:$B,2,0)</f>
        <v>Electra Townie 3i EQ (20-inch) - Boys' - 2017</v>
      </c>
      <c r="I2309">
        <f>VLOOKUP(H2309,[1]products!$B:$D,3,0)</f>
        <v>1</v>
      </c>
      <c r="J2309" t="str">
        <f>VLOOKUP(I2309,[2]categories!$A$2:$B$8,2,0)</f>
        <v>Children Bicycles</v>
      </c>
    </row>
    <row r="2310" spans="1:10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 s="1">
        <f t="shared" si="36"/>
        <v>5224.9905</v>
      </c>
      <c r="H2310" t="str">
        <f>VLOOKUP(C2310,[1]products!$A:$B,2,0)</f>
        <v>Trek Domane SLR 6 Disc - 2017</v>
      </c>
      <c r="I2310">
        <f>VLOOKUP(H2310,[1]products!$B:$D,3,0)</f>
        <v>7</v>
      </c>
      <c r="J2310" t="str">
        <f>VLOOKUP(I2310,[2]categories!$A$2:$B$8,2,0)</f>
        <v>Road Bikes</v>
      </c>
    </row>
    <row r="2311" spans="1:10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 s="1">
        <f t="shared" si="36"/>
        <v>215.992</v>
      </c>
      <c r="H2311" t="str">
        <f>VLOOKUP(C2311,[1]products!$A:$B,2,0)</f>
        <v>Electra Girl's Hawaii 1 (16-inch) - 2015/2016</v>
      </c>
      <c r="I2311">
        <f>VLOOKUP(H2311,[1]products!$B:$D,3,0)</f>
        <v>3</v>
      </c>
      <c r="J2311" t="str">
        <f>VLOOKUP(I2311,[2]categories!$A$2:$B$8,2,0)</f>
        <v>Cruisers Bicycles</v>
      </c>
    </row>
    <row r="2312" spans="1:10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0.07</v>
      </c>
      <c r="G2312" s="1">
        <f t="shared" si="36"/>
        <v>1618.1814</v>
      </c>
      <c r="H2312" t="str">
        <f>VLOOKUP(C2312,[1]products!$A:$B,2,0)</f>
        <v>Haro SR 1.2 - 2017</v>
      </c>
      <c r="I2312">
        <f>VLOOKUP(H2312,[1]products!$B:$D,3,0)</f>
        <v>6</v>
      </c>
      <c r="J2312" t="str">
        <f>VLOOKUP(I2312,[2]categories!$A$2:$B$8,2,0)</f>
        <v>Mountain Bikes</v>
      </c>
    </row>
    <row r="2313" spans="1:10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 s="1">
        <f t="shared" si="36"/>
        <v>2559.992</v>
      </c>
      <c r="H2313" t="str">
        <f>VLOOKUP(C2313,[1]products!$A:$B,2,0)</f>
        <v>Trek Domane SL Disc Frameset - 2017</v>
      </c>
      <c r="I2313">
        <f>VLOOKUP(H2313,[1]products!$B:$D,3,0)</f>
        <v>7</v>
      </c>
      <c r="J2313" t="str">
        <f>VLOOKUP(I2313,[2]categories!$A$2:$B$8,2,0)</f>
        <v>Road Bikes</v>
      </c>
    </row>
    <row r="2314" spans="1:10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0.07</v>
      </c>
      <c r="G2314" s="1">
        <f t="shared" si="36"/>
        <v>613.7907</v>
      </c>
      <c r="H2314" t="str">
        <f>VLOOKUP(C2314,[1]products!$A:$B,2,0)</f>
        <v>Electra Amsterdam Original 3i - 2015/2017</v>
      </c>
      <c r="I2314">
        <f>VLOOKUP(H2314,[1]products!$B:$D,3,0)</f>
        <v>3</v>
      </c>
      <c r="J2314" t="str">
        <f>VLOOKUP(I2314,[2]categories!$A$2:$B$8,2,0)</f>
        <v>Cruisers Bicycles</v>
      </c>
    </row>
    <row r="2315" spans="1:10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 s="1">
        <f t="shared" si="36"/>
        <v>225.891</v>
      </c>
      <c r="H2315" t="str">
        <f>VLOOKUP(C2315,[1]products!$A:$B,2,0)</f>
        <v>Sun Bicycles Revolutions 24 - 2017</v>
      </c>
      <c r="I2315">
        <f>VLOOKUP(H2315,[1]products!$B:$D,3,0)</f>
        <v>3</v>
      </c>
      <c r="J2315" t="str">
        <f>VLOOKUP(I2315,[2]categories!$A$2:$B$8,2,0)</f>
        <v>Cruisers Bicycles</v>
      </c>
    </row>
    <row r="2316" spans="1:10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 s="1">
        <f t="shared" si="36"/>
        <v>539.982</v>
      </c>
      <c r="H2316" t="str">
        <f>VLOOKUP(C2316,[1]products!$A:$B,2,0)</f>
        <v>Electra Girl's Hawaii 1 16" - 2017</v>
      </c>
      <c r="I2316">
        <f>VLOOKUP(H2316,[1]products!$B:$D,3,0)</f>
        <v>3</v>
      </c>
      <c r="J2316" t="str">
        <f>VLOOKUP(I2316,[2]categories!$A$2:$B$8,2,0)</f>
        <v>Cruisers Bicycles</v>
      </c>
    </row>
    <row r="2317" spans="1:10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 s="1">
        <f t="shared" si="36"/>
        <v>3999.992</v>
      </c>
      <c r="H2317" t="str">
        <f>VLOOKUP(C2317,[1]products!$A:$B,2,0)</f>
        <v>Trek Fuel EX 9.8 29 - 2017</v>
      </c>
      <c r="I2317">
        <f>VLOOKUP(H2317,[1]products!$B:$D,3,0)</f>
        <v>6</v>
      </c>
      <c r="J2317" t="str">
        <f>VLOOKUP(I2317,[2]categories!$A$2:$B$8,2,0)</f>
        <v>Mountain Bikes</v>
      </c>
    </row>
    <row r="2318" spans="1:10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 s="1">
        <f t="shared" si="36"/>
        <v>629.982</v>
      </c>
      <c r="H2318" t="str">
        <f>VLOOKUP(C2318,[1]products!$A:$B,2,0)</f>
        <v>Electra Moto 3i (20-inch) - Boy's - 2017</v>
      </c>
      <c r="I2318">
        <f>VLOOKUP(H2318,[1]products!$B:$D,3,0)</f>
        <v>1</v>
      </c>
      <c r="J2318" t="str">
        <f>VLOOKUP(I2318,[2]categories!$A$2:$B$8,2,0)</f>
        <v>Children Bicycles</v>
      </c>
    </row>
    <row r="2319" spans="1:10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 s="1">
        <f t="shared" si="36"/>
        <v>527.984</v>
      </c>
      <c r="H2319" t="str">
        <f>VLOOKUP(C2319,[1]products!$A:$B,2,0)</f>
        <v>Haro Downtown 16 - 2017</v>
      </c>
      <c r="I2319">
        <f>VLOOKUP(H2319,[1]products!$B:$D,3,0)</f>
        <v>1</v>
      </c>
      <c r="J2319" t="str">
        <f>VLOOKUP(I2319,[2]categories!$A$2:$B$8,2,0)</f>
        <v>Children Bicycles</v>
      </c>
    </row>
    <row r="2320" spans="1:10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 s="1">
        <f t="shared" si="36"/>
        <v>751.984</v>
      </c>
      <c r="H2320" t="str">
        <f>VLOOKUP(C2320,[1]products!$A:$B,2,0)</f>
        <v>Surly Wednesday Frameset - 2017</v>
      </c>
      <c r="I2320">
        <f>VLOOKUP(H2320,[1]products!$B:$D,3,0)</f>
        <v>6</v>
      </c>
      <c r="J2320" t="str">
        <f>VLOOKUP(I2320,[2]categories!$A$2:$B$8,2,0)</f>
        <v>Mountain Bikes</v>
      </c>
    </row>
    <row r="2321" spans="1:10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0.07</v>
      </c>
      <c r="G2321" s="1">
        <f t="shared" si="36"/>
        <v>1115.9814</v>
      </c>
      <c r="H2321" t="str">
        <f>VLOOKUP(C2321,[1]products!$A:$B,2,0)</f>
        <v>Electra Townie Original 7D EQ - 2016</v>
      </c>
      <c r="I2321">
        <f>VLOOKUP(H2321,[1]products!$B:$D,3,0)</f>
        <v>3</v>
      </c>
      <c r="J2321" t="str">
        <f>VLOOKUP(I2321,[2]categories!$A$2:$B$8,2,0)</f>
        <v>Cruisers Bicycles</v>
      </c>
    </row>
    <row r="2322" spans="1:10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 s="1">
        <f t="shared" si="36"/>
        <v>792.281</v>
      </c>
      <c r="H2322" t="str">
        <f>VLOOKUP(C2322,[1]products!$A:$B,2,0)</f>
        <v>Sun Bicycles Atlas X-Type - 2017</v>
      </c>
      <c r="I2322">
        <f>VLOOKUP(H2322,[1]products!$B:$D,3,0)</f>
        <v>3</v>
      </c>
      <c r="J2322" t="str">
        <f>VLOOKUP(I2322,[2]categories!$A$2:$B$8,2,0)</f>
        <v>Cruisers Bicycles</v>
      </c>
    </row>
    <row r="2323" spans="1:10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 s="1">
        <f t="shared" si="36"/>
        <v>750.582</v>
      </c>
      <c r="H2323" t="str">
        <f>VLOOKUP(C2323,[1]products!$A:$B,2,0)</f>
        <v>Sun Bicycles Cruz 7 - 2017</v>
      </c>
      <c r="I2323">
        <f>VLOOKUP(H2323,[1]products!$B:$D,3,0)</f>
        <v>3</v>
      </c>
      <c r="J2323" t="str">
        <f>VLOOKUP(I2323,[2]categories!$A$2:$B$8,2,0)</f>
        <v>Cruisers Bicycles</v>
      </c>
    </row>
    <row r="2324" spans="1:10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 s="1">
        <f t="shared" si="36"/>
        <v>440.991</v>
      </c>
      <c r="H2324" t="str">
        <f>VLOOKUP(C2324,[1]products!$A:$B,2,0)</f>
        <v>Electra Townie 3i EQ (20-inch) - Boys' - 2017</v>
      </c>
      <c r="I2324">
        <f>VLOOKUP(H2324,[1]products!$B:$D,3,0)</f>
        <v>1</v>
      </c>
      <c r="J2324" t="str">
        <f>VLOOKUP(I2324,[2]categories!$A$2:$B$8,2,0)</f>
        <v>Children Bicycles</v>
      </c>
    </row>
    <row r="2325" spans="1:10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 s="1">
        <f t="shared" si="36"/>
        <v>277.592</v>
      </c>
      <c r="H2325" t="str">
        <f>VLOOKUP(C2325,[1]products!$A:$B,2,0)</f>
        <v>Sun Bicycles Lil Bolt Type-R - 2017</v>
      </c>
      <c r="I2325">
        <f>VLOOKUP(H2325,[1]products!$B:$D,3,0)</f>
        <v>3</v>
      </c>
      <c r="J2325" t="str">
        <f>VLOOKUP(I2325,[2]categories!$A$2:$B$8,2,0)</f>
        <v>Cruisers Bicycles</v>
      </c>
    </row>
    <row r="2326" spans="1:10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 s="1">
        <f t="shared" si="36"/>
        <v>284.981</v>
      </c>
      <c r="H2326" t="str">
        <f>VLOOKUP(C2326,[1]products!$A:$B,2,0)</f>
        <v>Trek Boy's Kickster - 2015/2017</v>
      </c>
      <c r="I2326">
        <f>VLOOKUP(H2326,[1]products!$B:$D,3,0)</f>
        <v>1</v>
      </c>
      <c r="J2326" t="str">
        <f>VLOOKUP(I2326,[2]categories!$A$2:$B$8,2,0)</f>
        <v>Children Bicycles</v>
      </c>
    </row>
    <row r="2327" spans="1:10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 s="1">
        <f t="shared" si="36"/>
        <v>854.384</v>
      </c>
      <c r="H2327" t="str">
        <f>VLOOKUP(C2327,[1]products!$A:$B,2,0)</f>
        <v>Sun Bicycles Streamway 7 - 2017</v>
      </c>
      <c r="I2327">
        <f>VLOOKUP(H2327,[1]products!$B:$D,3,0)</f>
        <v>2</v>
      </c>
      <c r="J2327" t="str">
        <f>VLOOKUP(I2327,[2]categories!$A$2:$B$8,2,0)</f>
        <v>Comfort Bicycles</v>
      </c>
    </row>
    <row r="2328" spans="1:10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 s="1">
        <f t="shared" si="36"/>
        <v>783.984</v>
      </c>
      <c r="H2328" t="str">
        <f>VLOOKUP(C2328,[1]products!$A:$B,2,0)</f>
        <v>Electra Townie Original 7D - 2017</v>
      </c>
      <c r="I2328">
        <f>VLOOKUP(H2328,[1]products!$B:$D,3,0)</f>
        <v>3</v>
      </c>
      <c r="J2328" t="str">
        <f>VLOOKUP(I2328,[2]categories!$A$2:$B$8,2,0)</f>
        <v>Cruisers Bicycles</v>
      </c>
    </row>
    <row r="2329" spans="1:10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 s="1">
        <f t="shared" si="36"/>
        <v>341.982</v>
      </c>
      <c r="H2329" t="str">
        <f>VLOOKUP(C2329,[1]products!$A:$B,2,0)</f>
        <v>Trek Precaliber 12 Boys - 2017</v>
      </c>
      <c r="I2329">
        <f>VLOOKUP(H2329,[1]products!$B:$D,3,0)</f>
        <v>1</v>
      </c>
      <c r="J2329" t="str">
        <f>VLOOKUP(I2329,[2]categories!$A$2:$B$8,2,0)</f>
        <v>Children Bicycles</v>
      </c>
    </row>
    <row r="2330" spans="1:10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0.07</v>
      </c>
      <c r="G2330" s="1">
        <f t="shared" si="36"/>
        <v>278.9907</v>
      </c>
      <c r="H2330" t="str">
        <f>VLOOKUP(C2330,[1]products!$A:$B,2,0)</f>
        <v>Electra Girl's Hawaii 1 (20-inch) - 2015/2016</v>
      </c>
      <c r="I2330">
        <f>VLOOKUP(H2330,[1]products!$B:$D,3,0)</f>
        <v>1</v>
      </c>
      <c r="J2330" t="str">
        <f>VLOOKUP(I2330,[2]categories!$A$2:$B$8,2,0)</f>
        <v>Children Bicycles</v>
      </c>
    </row>
    <row r="2331" spans="1:10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 s="1">
        <f t="shared" si="36"/>
        <v>1079.982</v>
      </c>
      <c r="H2331" t="str">
        <f>VLOOKUP(C2331,[1]products!$A:$B,2,0)</f>
        <v>Electra Cruiser Lux Fat Tire 1 Ladies - 2017</v>
      </c>
      <c r="I2331">
        <f>VLOOKUP(H2331,[1]products!$B:$D,3,0)</f>
        <v>3</v>
      </c>
      <c r="J2331" t="str">
        <f>VLOOKUP(I2331,[2]categories!$A$2:$B$8,2,0)</f>
        <v>Cruisers Bicycles</v>
      </c>
    </row>
    <row r="2332" spans="1:10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 s="1">
        <f t="shared" si="36"/>
        <v>783.984</v>
      </c>
      <c r="H2332" t="str">
        <f>VLOOKUP(C2332,[1]products!$A:$B,2,0)</f>
        <v>Electra Townie Original 7D - 2017</v>
      </c>
      <c r="I2332">
        <f>VLOOKUP(H2332,[1]products!$B:$D,3,0)</f>
        <v>3</v>
      </c>
      <c r="J2332" t="str">
        <f>VLOOKUP(I2332,[2]categories!$A$2:$B$8,2,0)</f>
        <v>Cruisers Bicycles</v>
      </c>
    </row>
    <row r="2333" spans="1:10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 s="1">
        <f t="shared" si="36"/>
        <v>313.4905</v>
      </c>
      <c r="H2333" t="str">
        <f>VLOOKUP(C2333,[1]products!$A:$B,2,0)</f>
        <v>Haro Downtown 16 - 2017</v>
      </c>
      <c r="I2333">
        <f>VLOOKUP(H2333,[1]products!$B:$D,3,0)</f>
        <v>1</v>
      </c>
      <c r="J2333" t="str">
        <f>VLOOKUP(I2333,[2]categories!$A$2:$B$8,2,0)</f>
        <v>Children Bicycles</v>
      </c>
    </row>
    <row r="2334" spans="1:10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0.07</v>
      </c>
      <c r="G2334" s="1">
        <f t="shared" si="36"/>
        <v>993.2214</v>
      </c>
      <c r="H2334" t="str">
        <f>VLOOKUP(C2334,[1]products!$A:$B,2,0)</f>
        <v>Sun Bicycles Streamway 7 - 2017</v>
      </c>
      <c r="I2334">
        <f>VLOOKUP(H2334,[1]products!$B:$D,3,0)</f>
        <v>2</v>
      </c>
      <c r="J2334" t="str">
        <f>VLOOKUP(I2334,[2]categories!$A$2:$B$8,2,0)</f>
        <v>Comfort Bicycles</v>
      </c>
    </row>
    <row r="2335" spans="1:10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 s="1">
        <f t="shared" si="36"/>
        <v>2849.981</v>
      </c>
      <c r="H2335" t="str">
        <f>VLOOKUP(C2335,[1]products!$A:$B,2,0)</f>
        <v>Trek Emonda S 4 - 2017</v>
      </c>
      <c r="I2335">
        <f>VLOOKUP(H2335,[1]products!$B:$D,3,0)</f>
        <v>7</v>
      </c>
      <c r="J2335" t="str">
        <f>VLOOKUP(I2335,[2]categories!$A$2:$B$8,2,0)</f>
        <v>Road Bikes</v>
      </c>
    </row>
    <row r="2336" spans="1:10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 s="1">
        <f t="shared" si="36"/>
        <v>524.3905</v>
      </c>
      <c r="H2336" t="str">
        <f>VLOOKUP(C2336,[1]products!$A:$B,2,0)</f>
        <v>Sun Bicycles Streamway 3 - 2017</v>
      </c>
      <c r="I2336">
        <f>VLOOKUP(H2336,[1]products!$B:$D,3,0)</f>
        <v>2</v>
      </c>
      <c r="J2336" t="str">
        <f>VLOOKUP(I2336,[2]categories!$A$2:$B$8,2,0)</f>
        <v>Comfort Bicycles</v>
      </c>
    </row>
    <row r="2337" spans="1:10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0.07</v>
      </c>
      <c r="G2337" s="1">
        <f t="shared" si="36"/>
        <v>1004.3814</v>
      </c>
      <c r="H2337" t="str">
        <f>VLOOKUP(C2337,[1]products!$A:$B,2,0)</f>
        <v>Haro SR 1.1 - 2017</v>
      </c>
      <c r="I2337">
        <f>VLOOKUP(H2337,[1]products!$B:$D,3,0)</f>
        <v>6</v>
      </c>
      <c r="J2337" t="str">
        <f>VLOOKUP(I2337,[2]categories!$A$2:$B$8,2,0)</f>
        <v>Mountain Bikes</v>
      </c>
    </row>
    <row r="2338" spans="1:10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 s="1">
        <f t="shared" si="36"/>
        <v>853.1</v>
      </c>
      <c r="H2338" t="str">
        <f>VLOOKUP(C2338,[1]products!$A:$B,2,0)</f>
        <v>Pure Cycles William 3-Speed - 2016</v>
      </c>
      <c r="I2338">
        <f>VLOOKUP(H2338,[1]products!$B:$D,3,0)</f>
        <v>3</v>
      </c>
      <c r="J2338" t="str">
        <f>VLOOKUP(I2338,[2]categories!$A$2:$B$8,2,0)</f>
        <v>Cruisers Bicycles</v>
      </c>
    </row>
    <row r="2339" spans="1:10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 s="1">
        <f t="shared" si="36"/>
        <v>2849.981</v>
      </c>
      <c r="H2339" t="str">
        <f>VLOOKUP(C2339,[1]products!$A:$B,2,0)</f>
        <v>Trek Emonda S 4 - 2017</v>
      </c>
      <c r="I2339">
        <f>VLOOKUP(H2339,[1]products!$B:$D,3,0)</f>
        <v>7</v>
      </c>
      <c r="J2339" t="str">
        <f>VLOOKUP(I2339,[2]categories!$A$2:$B$8,2,0)</f>
        <v>Road Bikes</v>
      </c>
    </row>
    <row r="2340" spans="1:10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 s="1">
        <f t="shared" si="36"/>
        <v>199.992</v>
      </c>
      <c r="H2340" t="str">
        <f>VLOOKUP(C2340,[1]products!$A:$B,2,0)</f>
        <v>Haro Shredder Pro 20 - 2017</v>
      </c>
      <c r="I2340">
        <f>VLOOKUP(H2340,[1]products!$B:$D,3,0)</f>
        <v>1</v>
      </c>
      <c r="J2340" t="str">
        <f>VLOOKUP(I2340,[2]categories!$A$2:$B$8,2,0)</f>
        <v>Children Bicycles</v>
      </c>
    </row>
    <row r="2341" spans="1:10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 s="1">
        <f t="shared" si="36"/>
        <v>396.1405</v>
      </c>
      <c r="H2341" t="str">
        <f>VLOOKUP(C2341,[1]products!$A:$B,2,0)</f>
        <v>Sun Bicycles Cruz 7 - 2017</v>
      </c>
      <c r="I2341">
        <f>VLOOKUP(H2341,[1]products!$B:$D,3,0)</f>
        <v>3</v>
      </c>
      <c r="J2341" t="str">
        <f>VLOOKUP(I2341,[2]categories!$A$2:$B$8,2,0)</f>
        <v>Cruisers Bicycles</v>
      </c>
    </row>
    <row r="2342" spans="1:10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0.07</v>
      </c>
      <c r="G2342" s="1">
        <f t="shared" si="36"/>
        <v>455.6907</v>
      </c>
      <c r="H2342" t="str">
        <f>VLOOKUP(C2342,[1]products!$A:$B,2,0)</f>
        <v>Electra Townie Original 7D - 2017</v>
      </c>
      <c r="I2342">
        <f>VLOOKUP(H2342,[1]products!$B:$D,3,0)</f>
        <v>3</v>
      </c>
      <c r="J2342" t="str">
        <f>VLOOKUP(I2342,[2]categories!$A$2:$B$8,2,0)</f>
        <v>Cruisers Bicycles</v>
      </c>
    </row>
    <row r="2343" spans="1:10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 s="1">
        <f t="shared" si="36"/>
        <v>1055.984</v>
      </c>
      <c r="H2343" t="str">
        <f>VLOOKUP(C2343,[1]products!$A:$B,2,0)</f>
        <v>Electra Amsterdam Original 3i - 2015/2017</v>
      </c>
      <c r="I2343">
        <f>VLOOKUP(H2343,[1]products!$B:$D,3,0)</f>
        <v>3</v>
      </c>
      <c r="J2343" t="str">
        <f>VLOOKUP(I2343,[2]categories!$A$2:$B$8,2,0)</f>
        <v>Cruisers Bicycles</v>
      </c>
    </row>
    <row r="2344" spans="1:10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 s="1">
        <f t="shared" si="36"/>
        <v>375.992</v>
      </c>
      <c r="H2344" t="str">
        <f>VLOOKUP(C2344,[1]products!$A:$B,2,0)</f>
        <v>Surly Ice Cream Truck Frameset - 2016</v>
      </c>
      <c r="I2344">
        <f>VLOOKUP(H2344,[1]products!$B:$D,3,0)</f>
        <v>6</v>
      </c>
      <c r="J2344" t="str">
        <f>VLOOKUP(I2344,[2]categories!$A$2:$B$8,2,0)</f>
        <v>Mountain Bikes</v>
      </c>
    </row>
    <row r="2345" spans="1:10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 s="1">
        <f t="shared" si="36"/>
        <v>396.1405</v>
      </c>
      <c r="H2345" t="str">
        <f>VLOOKUP(C2345,[1]products!$A:$B,2,0)</f>
        <v>Sun Bicycles Cruz 7 - 2017</v>
      </c>
      <c r="I2345">
        <f>VLOOKUP(H2345,[1]products!$B:$D,3,0)</f>
        <v>3</v>
      </c>
      <c r="J2345" t="str">
        <f>VLOOKUP(I2345,[2]categories!$A$2:$B$8,2,0)</f>
        <v>Cruisers Bicycles</v>
      </c>
    </row>
    <row r="2346" spans="1:10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 s="1">
        <f t="shared" si="36"/>
        <v>712.4905</v>
      </c>
      <c r="H2346" t="str">
        <f>VLOOKUP(C2346,[1]products!$A:$B,2,0)</f>
        <v>Surly Ogre Frameset - 2017</v>
      </c>
      <c r="I2346">
        <f>VLOOKUP(H2346,[1]products!$B:$D,3,0)</f>
        <v>7</v>
      </c>
      <c r="J2346" t="str">
        <f>VLOOKUP(I2346,[2]categories!$A$2:$B$8,2,0)</f>
        <v>Road Bikes</v>
      </c>
    </row>
    <row r="2347" spans="1:10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 s="1">
        <f t="shared" si="36"/>
        <v>495.992</v>
      </c>
      <c r="H2347" t="str">
        <f>VLOOKUP(C2347,[1]products!$A:$B,2,0)</f>
        <v>Sun Bicycles Biscayne Tandem 7 - 2017</v>
      </c>
      <c r="I2347">
        <f>VLOOKUP(H2347,[1]products!$B:$D,3,0)</f>
        <v>3</v>
      </c>
      <c r="J2347" t="str">
        <f>VLOOKUP(I2347,[2]categories!$A$2:$B$8,2,0)</f>
        <v>Cruisers Bicycles</v>
      </c>
    </row>
    <row r="2348" spans="1:10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0.07</v>
      </c>
      <c r="G2348" s="1">
        <f t="shared" si="36"/>
        <v>10229.9814</v>
      </c>
      <c r="H2348" t="str">
        <f>VLOOKUP(C2348,[1]products!$A:$B,2,0)</f>
        <v>Trek Domane SLR 6 Disc - 2017</v>
      </c>
      <c r="I2348">
        <f>VLOOKUP(H2348,[1]products!$B:$D,3,0)</f>
        <v>7</v>
      </c>
      <c r="J2348" t="str">
        <f>VLOOKUP(I2348,[2]categories!$A$2:$B$8,2,0)</f>
        <v>Road Bikes</v>
      </c>
    </row>
    <row r="2349" spans="1:10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 s="1">
        <f t="shared" si="36"/>
        <v>239.984</v>
      </c>
      <c r="H2349" t="str">
        <f>VLOOKUP(C2349,[1]products!$A:$B,2,0)</f>
        <v>Trek Girl's Kickster - 2017</v>
      </c>
      <c r="I2349">
        <f>VLOOKUP(H2349,[1]products!$B:$D,3,0)</f>
        <v>1</v>
      </c>
      <c r="J2349" t="str">
        <f>VLOOKUP(I2349,[2]categories!$A$2:$B$8,2,0)</f>
        <v>Children Bicycles</v>
      </c>
    </row>
    <row r="2350" spans="1:10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 s="1">
        <f t="shared" si="36"/>
        <v>879.992</v>
      </c>
      <c r="H2350" t="str">
        <f>VLOOKUP(C2350,[1]products!$A:$B,2,0)</f>
        <v>Electra Amsterdam Fashion 7i Ladies' - 2017</v>
      </c>
      <c r="I2350">
        <f>VLOOKUP(H2350,[1]products!$B:$D,3,0)</f>
        <v>3</v>
      </c>
      <c r="J2350" t="str">
        <f>VLOOKUP(I2350,[2]categories!$A$2:$B$8,2,0)</f>
        <v>Cruisers Bicycles</v>
      </c>
    </row>
    <row r="2351" spans="1:10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 s="1">
        <f t="shared" si="36"/>
        <v>377.982</v>
      </c>
      <c r="H2351" t="str">
        <f>VLOOKUP(C2351,[1]products!$A:$B,2,0)</f>
        <v>Haro Shredder 20 - 2017</v>
      </c>
      <c r="I2351">
        <f>VLOOKUP(H2351,[1]products!$B:$D,3,0)</f>
        <v>1</v>
      </c>
      <c r="J2351" t="str">
        <f>VLOOKUP(I2351,[2]categories!$A$2:$B$8,2,0)</f>
        <v>Children Bicycles</v>
      </c>
    </row>
    <row r="2352" spans="1:10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 s="1">
        <f t="shared" si="36"/>
        <v>404.1</v>
      </c>
      <c r="H2352" t="str">
        <f>VLOOKUP(C2352,[1]products!$A:$B,2,0)</f>
        <v>Pure Cycles William 3-Speed - 2016</v>
      </c>
      <c r="I2352">
        <f>VLOOKUP(H2352,[1]products!$B:$D,3,0)</f>
        <v>3</v>
      </c>
      <c r="J2352" t="str">
        <f>VLOOKUP(I2352,[2]categories!$A$2:$B$8,2,0)</f>
        <v>Cruisers Bicycles</v>
      </c>
    </row>
    <row r="2353" spans="1:10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 s="1">
        <f t="shared" si="36"/>
        <v>1599.984</v>
      </c>
      <c r="H2353" t="str">
        <f>VLOOKUP(C2353,[1]products!$A:$B,2,0)</f>
        <v>Surly Ice Cream Truck Frameset - 2017</v>
      </c>
      <c r="I2353">
        <f>VLOOKUP(H2353,[1]products!$B:$D,3,0)</f>
        <v>6</v>
      </c>
      <c r="J2353" t="str">
        <f>VLOOKUP(I2353,[2]categories!$A$2:$B$8,2,0)</f>
        <v>Mountain Bikes</v>
      </c>
    </row>
    <row r="2354" spans="1:10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 s="1">
        <f t="shared" si="36"/>
        <v>1391.984</v>
      </c>
      <c r="H2354" t="str">
        <f>VLOOKUP(C2354,[1]products!$A:$B,2,0)</f>
        <v>Haro SR 1.2 - 2017</v>
      </c>
      <c r="I2354">
        <f>VLOOKUP(H2354,[1]products!$B:$D,3,0)</f>
        <v>6</v>
      </c>
      <c r="J2354" t="str">
        <f>VLOOKUP(I2354,[2]categories!$A$2:$B$8,2,0)</f>
        <v>Mountain Bikes</v>
      </c>
    </row>
    <row r="2355" spans="1:10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 s="1">
        <f t="shared" si="36"/>
        <v>749.691</v>
      </c>
      <c r="H2355" t="str">
        <f>VLOOKUP(C2355,[1]products!$A:$B,2,0)</f>
        <v>Surly Troll Frameset - 2017</v>
      </c>
      <c r="I2355">
        <f>VLOOKUP(H2355,[1]products!$B:$D,3,0)</f>
        <v>6</v>
      </c>
      <c r="J2355" t="str">
        <f>VLOOKUP(I2355,[2]categories!$A$2:$B$8,2,0)</f>
        <v>Mountain Bikes</v>
      </c>
    </row>
    <row r="2356" spans="1:10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 s="1">
        <f t="shared" si="36"/>
        <v>5034.9905</v>
      </c>
      <c r="H2356" t="str">
        <f>VLOOKUP(C2356,[1]products!$A:$B,2,0)</f>
        <v>Trek Fuel EX 9.8 27.5 Plus - 2017</v>
      </c>
      <c r="I2356">
        <f>VLOOKUP(H2356,[1]products!$B:$D,3,0)</f>
        <v>6</v>
      </c>
      <c r="J2356" t="str">
        <f>VLOOKUP(I2356,[2]categories!$A$2:$B$8,2,0)</f>
        <v>Mountain Bikes</v>
      </c>
    </row>
    <row r="2357" spans="1:10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 s="1">
        <f t="shared" si="36"/>
        <v>1175.992</v>
      </c>
      <c r="H2357" t="str">
        <f>VLOOKUP(C2357,[1]products!$A:$B,2,0)</f>
        <v>Haro Shift R3 - 2017</v>
      </c>
      <c r="I2357">
        <f>VLOOKUP(H2357,[1]products!$B:$D,3,0)</f>
        <v>6</v>
      </c>
      <c r="J2357" t="str">
        <f>VLOOKUP(I2357,[2]categories!$A$2:$B$8,2,0)</f>
        <v>Mountain Bikes</v>
      </c>
    </row>
    <row r="2358" spans="1:10">
      <c r="A2358">
        <v>827</v>
      </c>
      <c r="B2358">
        <v>3</v>
      </c>
      <c r="C2358">
        <v>28</v>
      </c>
      <c r="D2358">
        <v>1</v>
      </c>
      <c r="E2358">
        <v>2499.99</v>
      </c>
      <c r="F2358">
        <v>0.2</v>
      </c>
      <c r="G2358" s="1">
        <f t="shared" si="36"/>
        <v>1999.992</v>
      </c>
      <c r="H2358" t="str">
        <f>VLOOKUP(C2358,[1]products!$A:$B,2,0)</f>
        <v>Surly Karate Monkey 27.5+ Frameset - 2017</v>
      </c>
      <c r="I2358">
        <f>VLOOKUP(H2358,[1]products!$B:$D,3,0)</f>
        <v>6</v>
      </c>
      <c r="J2358" t="str">
        <f>VLOOKUP(I2358,[2]categories!$A$2:$B$8,2,0)</f>
        <v>Mountain Bikes</v>
      </c>
    </row>
    <row r="2359" spans="1:10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 s="1">
        <f t="shared" si="36"/>
        <v>359.992</v>
      </c>
      <c r="H2359" t="str">
        <f>VLOOKUP(C2359,[1]products!$A:$B,2,0)</f>
        <v>Sun Bicycles Cruz 3 - Women's - 2017</v>
      </c>
      <c r="I2359">
        <f>VLOOKUP(H2359,[1]products!$B:$D,3,0)</f>
        <v>2</v>
      </c>
      <c r="J2359" t="str">
        <f>VLOOKUP(I2359,[2]categories!$A$2:$B$8,2,0)</f>
        <v>Comfort Bicycles</v>
      </c>
    </row>
    <row r="2360" spans="1:10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 s="1">
        <f t="shared" si="36"/>
        <v>799.984</v>
      </c>
      <c r="H2360" t="str">
        <f>VLOOKUP(C2360,[1]products!$A:$B,2,0)</f>
        <v>Electra Townie Original 7D - 2015/2016</v>
      </c>
      <c r="I2360">
        <f>VLOOKUP(H2360,[1]products!$B:$D,3,0)</f>
        <v>2</v>
      </c>
      <c r="J2360" t="str">
        <f>VLOOKUP(I2360,[2]categories!$A$2:$B$8,2,0)</f>
        <v>Comfort Bicycles</v>
      </c>
    </row>
    <row r="2361" spans="1:10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 s="1">
        <f t="shared" si="36"/>
        <v>439.992</v>
      </c>
      <c r="H2361" t="str">
        <f>VLOOKUP(C2361,[1]products!$A:$B,2,0)</f>
        <v>Electra Townie Original 21D - 2016</v>
      </c>
      <c r="I2361">
        <f>VLOOKUP(H2361,[1]products!$B:$D,3,0)</f>
        <v>3</v>
      </c>
      <c r="J2361" t="str">
        <f>VLOOKUP(I2361,[2]categories!$A$2:$B$8,2,0)</f>
        <v>Cruisers Bicycles</v>
      </c>
    </row>
    <row r="2362" spans="1:10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0.07</v>
      </c>
      <c r="G2362" s="1">
        <f t="shared" si="36"/>
        <v>5021.9814</v>
      </c>
      <c r="H2362" t="str">
        <f>VLOOKUP(C2362,[1]products!$A:$B,2,0)</f>
        <v>Trek Domane S 6 - 2017</v>
      </c>
      <c r="I2362">
        <f>VLOOKUP(H2362,[1]products!$B:$D,3,0)</f>
        <v>7</v>
      </c>
      <c r="J2362" t="str">
        <f>VLOOKUP(I2362,[2]categories!$A$2:$B$8,2,0)</f>
        <v>Road Bikes</v>
      </c>
    </row>
    <row r="2363" spans="1:10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 s="1">
        <f t="shared" si="36"/>
        <v>441.592</v>
      </c>
      <c r="H2363" t="str">
        <f>VLOOKUP(C2363,[1]products!$A:$B,2,0)</f>
        <v>Sun Bicycles Streamway 3 - 2017</v>
      </c>
      <c r="I2363">
        <f>VLOOKUP(H2363,[1]products!$B:$D,3,0)</f>
        <v>2</v>
      </c>
      <c r="J2363" t="str">
        <f>VLOOKUP(I2363,[2]categories!$A$2:$B$8,2,0)</f>
        <v>Comfort Bicycles</v>
      </c>
    </row>
    <row r="2364" spans="1:10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 s="1">
        <f t="shared" si="36"/>
        <v>961.182</v>
      </c>
      <c r="H2364" t="str">
        <f>VLOOKUP(C2364,[1]products!$A:$B,2,0)</f>
        <v>Sun Bicycles Streamway 7 - 2017</v>
      </c>
      <c r="I2364">
        <f>VLOOKUP(H2364,[1]products!$B:$D,3,0)</f>
        <v>2</v>
      </c>
      <c r="J2364" t="str">
        <f>VLOOKUP(I2364,[2]categories!$A$2:$B$8,2,0)</f>
        <v>Comfort Bicycles</v>
      </c>
    </row>
    <row r="2365" spans="1:10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 s="1">
        <f t="shared" si="36"/>
        <v>527.984</v>
      </c>
      <c r="H2365" t="str">
        <f>VLOOKUP(C2365,[1]products!$A:$B,2,0)</f>
        <v>Haro Downtown 16 - 2017</v>
      </c>
      <c r="I2365">
        <f>VLOOKUP(H2365,[1]products!$B:$D,3,0)</f>
        <v>1</v>
      </c>
      <c r="J2365" t="str">
        <f>VLOOKUP(I2365,[2]categories!$A$2:$B$8,2,0)</f>
        <v>Children Bicycles</v>
      </c>
    </row>
    <row r="2366" spans="1:10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0.07</v>
      </c>
      <c r="G2366" s="1">
        <f t="shared" si="36"/>
        <v>911.3814</v>
      </c>
      <c r="H2366" t="str">
        <f>VLOOKUP(C2366,[1]products!$A:$B,2,0)</f>
        <v>Electra Townie 3i EQ (20-inch) - Boys' - 2017</v>
      </c>
      <c r="I2366">
        <f>VLOOKUP(H2366,[1]products!$B:$D,3,0)</f>
        <v>1</v>
      </c>
      <c r="J2366" t="str">
        <f>VLOOKUP(I2366,[2]categories!$A$2:$B$8,2,0)</f>
        <v>Children Bicycles</v>
      </c>
    </row>
    <row r="2367" spans="1:10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 s="1">
        <f t="shared" si="36"/>
        <v>559.984</v>
      </c>
      <c r="H2367" t="str">
        <f>VLOOKUP(C2367,[1]products!$A:$B,2,0)</f>
        <v>Electra Moto 3i (20-inch) - Boy's - 2017</v>
      </c>
      <c r="I2367">
        <f>VLOOKUP(H2367,[1]products!$B:$D,3,0)</f>
        <v>1</v>
      </c>
      <c r="J2367" t="str">
        <f>VLOOKUP(I2367,[2]categories!$A$2:$B$8,2,0)</f>
        <v>Children Bicycles</v>
      </c>
    </row>
    <row r="2368" spans="1:10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 s="1">
        <f t="shared" si="36"/>
        <v>200.792</v>
      </c>
      <c r="H2368" t="str">
        <f>VLOOKUP(C2368,[1]products!$A:$B,2,0)</f>
        <v>Sun Bicycles Revolutions 24 - Girl's - 2017</v>
      </c>
      <c r="I2368">
        <f>VLOOKUP(H2368,[1]products!$B:$D,3,0)</f>
        <v>3</v>
      </c>
      <c r="J2368" t="str">
        <f>VLOOKUP(I2368,[2]categories!$A$2:$B$8,2,0)</f>
        <v>Cruisers Bicycles</v>
      </c>
    </row>
    <row r="2369" spans="1:10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 s="1">
        <f t="shared" si="36"/>
        <v>1344.792</v>
      </c>
      <c r="H2369" t="str">
        <f>VLOOKUP(C2369,[1]products!$A:$B,2,0)</f>
        <v>Surly Straggler 650b - 2016</v>
      </c>
      <c r="I2369">
        <f>VLOOKUP(H2369,[1]products!$B:$D,3,0)</f>
        <v>4</v>
      </c>
      <c r="J2369" t="str">
        <f>VLOOKUP(I2369,[2]categories!$A$2:$B$8,2,0)</f>
        <v>Cyclocross Bicycles</v>
      </c>
    </row>
    <row r="2370" spans="1:10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 s="1">
        <f t="shared" ref="G2370:G2433" si="37">D2370*E2370*(1-F2370)</f>
        <v>404.991</v>
      </c>
      <c r="H2370" t="str">
        <f>VLOOKUP(C2370,[1]products!$A:$B,2,0)</f>
        <v>Sun Bicycles Cruz 3 - 2017</v>
      </c>
      <c r="I2370">
        <f>VLOOKUP(H2370,[1]products!$B:$D,3,0)</f>
        <v>3</v>
      </c>
      <c r="J2370" t="str">
        <f>VLOOKUP(I2370,[2]categories!$A$2:$B$8,2,0)</f>
        <v>Cruisers Bicycles</v>
      </c>
    </row>
    <row r="2371" spans="1:10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 s="1">
        <f t="shared" si="37"/>
        <v>3039.9905</v>
      </c>
      <c r="H2371" t="str">
        <f>VLOOKUP(C2371,[1]products!$A:$B,2,0)</f>
        <v>Trek Domane SL Disc Frameset - 2017</v>
      </c>
      <c r="I2371">
        <f>VLOOKUP(H2371,[1]products!$B:$D,3,0)</f>
        <v>7</v>
      </c>
      <c r="J2371" t="str">
        <f>VLOOKUP(I2371,[2]categories!$A$2:$B$8,2,0)</f>
        <v>Road Bikes</v>
      </c>
    </row>
    <row r="2372" spans="1:10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 s="1">
        <f t="shared" si="37"/>
        <v>695.992</v>
      </c>
      <c r="H2372" t="str">
        <f>VLOOKUP(C2372,[1]products!$A:$B,2,0)</f>
        <v>Haro SR 1.2 - 2017</v>
      </c>
      <c r="I2372">
        <f>VLOOKUP(H2372,[1]products!$B:$D,3,0)</f>
        <v>6</v>
      </c>
      <c r="J2372" t="str">
        <f>VLOOKUP(I2372,[2]categories!$A$2:$B$8,2,0)</f>
        <v>Mountain Bikes</v>
      </c>
    </row>
    <row r="2373" spans="1:10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0.07</v>
      </c>
      <c r="G2373" s="1">
        <f t="shared" si="37"/>
        <v>929.9907</v>
      </c>
      <c r="H2373" t="str">
        <f>VLOOKUP(C2373,[1]products!$A:$B,2,0)</f>
        <v>Surly Big Dummy Frameset - 2017</v>
      </c>
      <c r="I2373">
        <f>VLOOKUP(H2373,[1]products!$B:$D,3,0)</f>
        <v>6</v>
      </c>
      <c r="J2373" t="str">
        <f>VLOOKUP(I2373,[2]categories!$A$2:$B$8,2,0)</f>
        <v>Mountain Bikes</v>
      </c>
    </row>
    <row r="2374" spans="1:10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 s="1">
        <f t="shared" si="37"/>
        <v>1079.982</v>
      </c>
      <c r="H2374" t="str">
        <f>VLOOKUP(C2374,[1]products!$A:$B,2,0)</f>
        <v>Electra Townie Original 7D EQ - 2016</v>
      </c>
      <c r="I2374">
        <f>VLOOKUP(H2374,[1]products!$B:$D,3,0)</f>
        <v>3</v>
      </c>
      <c r="J2374" t="str">
        <f>VLOOKUP(I2374,[2]categories!$A$2:$B$8,2,0)</f>
        <v>Cruisers Bicycles</v>
      </c>
    </row>
    <row r="2375" spans="1:10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 s="1">
        <f t="shared" si="37"/>
        <v>1139.981</v>
      </c>
      <c r="H2375" t="str">
        <f>VLOOKUP(C2375,[1]products!$A:$B,2,0)</f>
        <v>Electra Townie Original 7D EQ - Women's - 2016</v>
      </c>
      <c r="I2375">
        <f>VLOOKUP(H2375,[1]products!$B:$D,3,0)</f>
        <v>3</v>
      </c>
      <c r="J2375" t="str">
        <f>VLOOKUP(I2375,[2]categories!$A$2:$B$8,2,0)</f>
        <v>Cruisers Bicycles</v>
      </c>
    </row>
    <row r="2376" spans="1:10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0.07</v>
      </c>
      <c r="G2376" s="1">
        <f t="shared" si="37"/>
        <v>2975.9907</v>
      </c>
      <c r="H2376" t="str">
        <f>VLOOKUP(C2376,[1]products!$A:$B,2,0)</f>
        <v>Trek Domane SL Disc Frameset - 2017</v>
      </c>
      <c r="I2376">
        <f>VLOOKUP(H2376,[1]products!$B:$D,3,0)</f>
        <v>7</v>
      </c>
      <c r="J2376" t="str">
        <f>VLOOKUP(I2376,[2]categories!$A$2:$B$8,2,0)</f>
        <v>Road Bikes</v>
      </c>
    </row>
    <row r="2377" spans="1:10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 s="1">
        <f t="shared" si="37"/>
        <v>256.4905</v>
      </c>
      <c r="H2377" t="str">
        <f>VLOOKUP(C2377,[1]products!$A:$B,2,0)</f>
        <v>Electra Cruiser 1 (24-Inch) - 2016</v>
      </c>
      <c r="I2377">
        <f>VLOOKUP(H2377,[1]products!$B:$D,3,0)</f>
        <v>3</v>
      </c>
      <c r="J2377" t="str">
        <f>VLOOKUP(I2377,[2]categories!$A$2:$B$8,2,0)</f>
        <v>Cruisers Bicycles</v>
      </c>
    </row>
    <row r="2378" spans="1:10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 s="1">
        <f t="shared" si="37"/>
        <v>518.392</v>
      </c>
      <c r="H2378" t="str">
        <f>VLOOKUP(C2378,[1]products!$A:$B,2,0)</f>
        <v>Sun Bicycles Biscayne Tandem CB - 2017</v>
      </c>
      <c r="I2378">
        <f>VLOOKUP(H2378,[1]products!$B:$D,3,0)</f>
        <v>3</v>
      </c>
      <c r="J2378" t="str">
        <f>VLOOKUP(I2378,[2]categories!$A$2:$B$8,2,0)</f>
        <v>Cruisers Bicycles</v>
      </c>
    </row>
    <row r="2379" spans="1:10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0.07</v>
      </c>
      <c r="G2379" s="1">
        <f t="shared" si="37"/>
        <v>645.4014</v>
      </c>
      <c r="H2379" t="str">
        <f>VLOOKUP(C2379,[1]products!$A:$B,2,0)</f>
        <v>Sun Bicycles Lil Bolt Type-R - 2017</v>
      </c>
      <c r="I2379">
        <f>VLOOKUP(H2379,[1]products!$B:$D,3,0)</f>
        <v>3</v>
      </c>
      <c r="J2379" t="str">
        <f>VLOOKUP(I2379,[2]categories!$A$2:$B$8,2,0)</f>
        <v>Cruisers Bicycles</v>
      </c>
    </row>
    <row r="2380" spans="1:10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 s="1">
        <f t="shared" si="37"/>
        <v>527.992</v>
      </c>
      <c r="H2380" t="str">
        <f>VLOOKUP(C2380,[1]products!$A:$B,2,0)</f>
        <v>Electra Amsterdam Original 3i Ladies' - 2017</v>
      </c>
      <c r="I2380">
        <f>VLOOKUP(H2380,[1]products!$B:$D,3,0)</f>
        <v>3</v>
      </c>
      <c r="J2380" t="str">
        <f>VLOOKUP(I2380,[2]categories!$A$2:$B$8,2,0)</f>
        <v>Cruisers Bicycles</v>
      </c>
    </row>
    <row r="2381" spans="1:10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 s="1">
        <f t="shared" si="37"/>
        <v>712.4905</v>
      </c>
      <c r="H2381" t="str">
        <f>VLOOKUP(C2381,[1]products!$A:$B,2,0)</f>
        <v>Ritchey Timberwolf Frameset - 2016</v>
      </c>
      <c r="I2381">
        <f>VLOOKUP(H2381,[1]products!$B:$D,3,0)</f>
        <v>6</v>
      </c>
      <c r="J2381" t="str">
        <f>VLOOKUP(I2381,[2]categories!$A$2:$B$8,2,0)</f>
        <v>Mountain Bikes</v>
      </c>
    </row>
    <row r="2382" spans="1:10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 s="1">
        <f t="shared" si="37"/>
        <v>719.984</v>
      </c>
      <c r="H2382" t="str">
        <f>VLOOKUP(C2382,[1]products!$A:$B,2,0)</f>
        <v>Sun Bicycles Cruz 3 - Women's - 2017</v>
      </c>
      <c r="I2382">
        <f>VLOOKUP(H2382,[1]products!$B:$D,3,0)</f>
        <v>2</v>
      </c>
      <c r="J2382" t="str">
        <f>VLOOKUP(I2382,[2]categories!$A$2:$B$8,2,0)</f>
        <v>Comfort Bicycles</v>
      </c>
    </row>
    <row r="2383" spans="1:10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 s="1">
        <f t="shared" si="37"/>
        <v>6174.9905</v>
      </c>
      <c r="H2383" t="str">
        <f>VLOOKUP(C2383,[1]products!$A:$B,2,0)</f>
        <v>Trek Silque SLR 8 Women's - 2017</v>
      </c>
      <c r="I2383">
        <f>VLOOKUP(H2383,[1]products!$B:$D,3,0)</f>
        <v>7</v>
      </c>
      <c r="J2383" t="str">
        <f>VLOOKUP(I2383,[2]categories!$A$2:$B$8,2,0)</f>
        <v>Road Bikes</v>
      </c>
    </row>
    <row r="2384" spans="1:10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 s="1">
        <f t="shared" si="37"/>
        <v>314.991</v>
      </c>
      <c r="H2384" t="str">
        <f>VLOOKUP(C2384,[1]products!$A:$B,2,0)</f>
        <v>Electra Savannah 3i (20-inch) - Girl's - 2017</v>
      </c>
      <c r="I2384">
        <f>VLOOKUP(H2384,[1]products!$B:$D,3,0)</f>
        <v>1</v>
      </c>
      <c r="J2384" t="str">
        <f>VLOOKUP(I2384,[2]categories!$A$2:$B$8,2,0)</f>
        <v>Children Bicycles</v>
      </c>
    </row>
    <row r="2385" spans="1:10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 s="1">
        <f t="shared" si="37"/>
        <v>303.984</v>
      </c>
      <c r="H2385" t="str">
        <f>VLOOKUP(C2385,[1]products!$A:$B,2,0)</f>
        <v>Trek Precaliber 12 Boys - 2017</v>
      </c>
      <c r="I2385">
        <f>VLOOKUP(H2385,[1]products!$B:$D,3,0)</f>
        <v>1</v>
      </c>
      <c r="J2385" t="str">
        <f>VLOOKUP(I2385,[2]categories!$A$2:$B$8,2,0)</f>
        <v>Children Bicycles</v>
      </c>
    </row>
    <row r="2386" spans="1:10">
      <c r="A2386">
        <v>838</v>
      </c>
      <c r="B2386">
        <v>1</v>
      </c>
      <c r="C2386">
        <v>28</v>
      </c>
      <c r="D2386">
        <v>1</v>
      </c>
      <c r="E2386">
        <v>2499.99</v>
      </c>
      <c r="F2386">
        <v>0.1</v>
      </c>
      <c r="G2386" s="1">
        <f t="shared" si="37"/>
        <v>2249.991</v>
      </c>
      <c r="H2386" t="str">
        <f>VLOOKUP(C2386,[1]products!$A:$B,2,0)</f>
        <v>Surly Karate Monkey 27.5+ Frameset - 2017</v>
      </c>
      <c r="I2386">
        <f>VLOOKUP(H2386,[1]products!$B:$D,3,0)</f>
        <v>6</v>
      </c>
      <c r="J2386" t="str">
        <f>VLOOKUP(I2386,[2]categories!$A$2:$B$8,2,0)</f>
        <v>Mountain Bikes</v>
      </c>
    </row>
    <row r="2387" spans="1:10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 s="1">
        <f t="shared" si="37"/>
        <v>1394.1</v>
      </c>
      <c r="H2387" t="str">
        <f>VLOOKUP(C2387,[1]products!$A:$B,2,0)</f>
        <v>Surly Straggler - 2016</v>
      </c>
      <c r="I2387">
        <f>VLOOKUP(H2387,[1]products!$B:$D,3,0)</f>
        <v>4</v>
      </c>
      <c r="J2387" t="str">
        <f>VLOOKUP(I2387,[2]categories!$A$2:$B$8,2,0)</f>
        <v>Cyclocross Bicycles</v>
      </c>
    </row>
    <row r="2388" spans="1:10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 s="1">
        <f t="shared" si="37"/>
        <v>930.981</v>
      </c>
      <c r="H2388" t="str">
        <f>VLOOKUP(C2388,[1]products!$A:$B,2,0)</f>
        <v>Electra Townie 3i EQ (20-inch) - Boys' - 2017</v>
      </c>
      <c r="I2388">
        <f>VLOOKUP(H2388,[1]products!$B:$D,3,0)</f>
        <v>1</v>
      </c>
      <c r="J2388" t="str">
        <f>VLOOKUP(I2388,[2]categories!$A$2:$B$8,2,0)</f>
        <v>Children Bicycles</v>
      </c>
    </row>
    <row r="2389" spans="1:10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0.07</v>
      </c>
      <c r="G2389" s="1">
        <f t="shared" si="37"/>
        <v>645.4014</v>
      </c>
      <c r="H2389" t="str">
        <f>VLOOKUP(C2389,[1]products!$A:$B,2,0)</f>
        <v>Sun Bicycles Lil Bolt Type-R - 2017</v>
      </c>
      <c r="I2389">
        <f>VLOOKUP(H2389,[1]products!$B:$D,3,0)</f>
        <v>3</v>
      </c>
      <c r="J2389" t="str">
        <f>VLOOKUP(I2389,[2]categories!$A$2:$B$8,2,0)</f>
        <v>Cruisers Bicycles</v>
      </c>
    </row>
    <row r="2390" spans="1:10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0.07</v>
      </c>
      <c r="G2390" s="1">
        <f t="shared" si="37"/>
        <v>2510.9907</v>
      </c>
      <c r="H2390" t="str">
        <f>VLOOKUP(C2390,[1]products!$A:$B,2,0)</f>
        <v>Trek Domane S 6 - 2017</v>
      </c>
      <c r="I2390">
        <f>VLOOKUP(H2390,[1]products!$B:$D,3,0)</f>
        <v>7</v>
      </c>
      <c r="J2390" t="str">
        <f>VLOOKUP(I2390,[2]categories!$A$2:$B$8,2,0)</f>
        <v>Road Bikes</v>
      </c>
    </row>
    <row r="2391" spans="1:10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 s="1">
        <f t="shared" si="37"/>
        <v>296.991</v>
      </c>
      <c r="H2391" t="str">
        <f>VLOOKUP(C2391,[1]products!$A:$B,2,0)</f>
        <v>Haro Downtown 16 - 2017</v>
      </c>
      <c r="I2391">
        <f>VLOOKUP(H2391,[1]products!$B:$D,3,0)</f>
        <v>1</v>
      </c>
      <c r="J2391" t="str">
        <f>VLOOKUP(I2391,[2]categories!$A$2:$B$8,2,0)</f>
        <v>Children Bicycles</v>
      </c>
    </row>
    <row r="2392" spans="1:10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 s="1">
        <f t="shared" si="37"/>
        <v>9499.981</v>
      </c>
      <c r="H2392" t="str">
        <f>VLOOKUP(C2392,[1]products!$A:$B,2,0)</f>
        <v>Trek Madone 9.2 - 2017</v>
      </c>
      <c r="I2392">
        <f>VLOOKUP(H2392,[1]products!$B:$D,3,0)</f>
        <v>7</v>
      </c>
      <c r="J2392" t="str">
        <f>VLOOKUP(I2392,[2]categories!$A$2:$B$8,2,0)</f>
        <v>Road Bikes</v>
      </c>
    </row>
    <row r="2393" spans="1:10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0.07</v>
      </c>
      <c r="G2393" s="1">
        <f t="shared" si="37"/>
        <v>929.9907</v>
      </c>
      <c r="H2393" t="str">
        <f>VLOOKUP(C2393,[1]products!$A:$B,2,0)</f>
        <v>Surly Big Dummy Frameset - 2017</v>
      </c>
      <c r="I2393">
        <f>VLOOKUP(H2393,[1]products!$B:$D,3,0)</f>
        <v>6</v>
      </c>
      <c r="J2393" t="str">
        <f>VLOOKUP(I2393,[2]categories!$A$2:$B$8,2,0)</f>
        <v>Mountain Bikes</v>
      </c>
    </row>
    <row r="2394" spans="1:10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0.07</v>
      </c>
      <c r="G2394" s="1">
        <f t="shared" si="37"/>
        <v>4928.9907</v>
      </c>
      <c r="H2394" t="str">
        <f>VLOOKUP(C2394,[1]products!$A:$B,2,0)</f>
        <v>Trek Fuel EX 9.8 27.5 Plus - 2017</v>
      </c>
      <c r="I2394">
        <f>VLOOKUP(H2394,[1]products!$B:$D,3,0)</f>
        <v>6</v>
      </c>
      <c r="J2394" t="str">
        <f>VLOOKUP(I2394,[2]categories!$A$2:$B$8,2,0)</f>
        <v>Mountain Bikes</v>
      </c>
    </row>
    <row r="2395" spans="1:10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 s="1">
        <f t="shared" si="37"/>
        <v>719.984</v>
      </c>
      <c r="H2395" t="str">
        <f>VLOOKUP(C2395,[1]products!$A:$B,2,0)</f>
        <v>Sun Bicycles Cruz 3 - 2017</v>
      </c>
      <c r="I2395">
        <f>VLOOKUP(H2395,[1]products!$B:$D,3,0)</f>
        <v>3</v>
      </c>
      <c r="J2395" t="str">
        <f>VLOOKUP(I2395,[2]categories!$A$2:$B$8,2,0)</f>
        <v>Cruisers Bicycles</v>
      </c>
    </row>
    <row r="2396" spans="1:10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 s="1">
        <f t="shared" si="37"/>
        <v>485.982</v>
      </c>
      <c r="H2396" t="str">
        <f>VLOOKUP(C2396,[1]products!$A:$B,2,0)</f>
        <v>Electra Girl's Hawaii 1 (16-inch) - 2015/2016</v>
      </c>
      <c r="I2396">
        <f>VLOOKUP(H2396,[1]products!$B:$D,3,0)</f>
        <v>3</v>
      </c>
      <c r="J2396" t="str">
        <f>VLOOKUP(I2396,[2]categories!$A$2:$B$8,2,0)</f>
        <v>Cruisers Bicycles</v>
      </c>
    </row>
    <row r="2397" spans="1:10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 s="1">
        <f t="shared" si="37"/>
        <v>2399.992</v>
      </c>
      <c r="H2397" t="str">
        <f>VLOOKUP(C2397,[1]products!$A:$B,2,0)</f>
        <v>Trek Conduit+ - 2016</v>
      </c>
      <c r="I2397">
        <f>VLOOKUP(H2397,[1]products!$B:$D,3,0)</f>
        <v>5</v>
      </c>
      <c r="J2397" t="str">
        <f>VLOOKUP(I2397,[2]categories!$A$2:$B$8,2,0)</f>
        <v>Electric Bikes</v>
      </c>
    </row>
    <row r="2398" spans="1:10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 s="1">
        <f t="shared" si="37"/>
        <v>1344.792</v>
      </c>
      <c r="H2398" t="str">
        <f>VLOOKUP(C2398,[1]products!$A:$B,2,0)</f>
        <v>Surly Straggler 650b - 2016</v>
      </c>
      <c r="I2398">
        <f>VLOOKUP(H2398,[1]products!$B:$D,3,0)</f>
        <v>4</v>
      </c>
      <c r="J2398" t="str">
        <f>VLOOKUP(I2398,[2]categories!$A$2:$B$8,2,0)</f>
        <v>Cyclocross Bicycles</v>
      </c>
    </row>
    <row r="2399" spans="1:10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0.07</v>
      </c>
      <c r="G2399" s="1">
        <f t="shared" si="37"/>
        <v>390.5814</v>
      </c>
      <c r="H2399" t="str">
        <f>VLOOKUP(C2399,[1]products!$A:$B,2,0)</f>
        <v>Trek Precaliber 16 Girls - 2017</v>
      </c>
      <c r="I2399">
        <f>VLOOKUP(H2399,[1]products!$B:$D,3,0)</f>
        <v>1</v>
      </c>
      <c r="J2399" t="str">
        <f>VLOOKUP(I2399,[2]categories!$A$2:$B$8,2,0)</f>
        <v>Children Bicycles</v>
      </c>
    </row>
    <row r="2400" spans="1:10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 s="1">
        <f t="shared" si="37"/>
        <v>440.991</v>
      </c>
      <c r="H2400" t="str">
        <f>VLOOKUP(C2400,[1]products!$A:$B,2,0)</f>
        <v>Electra Townie 3i EQ (20-inch) - Boys' - 2017</v>
      </c>
      <c r="I2400">
        <f>VLOOKUP(H2400,[1]products!$B:$D,3,0)</f>
        <v>1</v>
      </c>
      <c r="J2400" t="str">
        <f>VLOOKUP(I2400,[2]categories!$A$2:$B$8,2,0)</f>
        <v>Children Bicycles</v>
      </c>
    </row>
    <row r="2401" spans="1:10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0.07</v>
      </c>
      <c r="G2401" s="1">
        <f t="shared" si="37"/>
        <v>2045.9814</v>
      </c>
      <c r="H2401" t="str">
        <f>VLOOKUP(C2401,[1]products!$A:$B,2,0)</f>
        <v>Electra Amsterdam Fashion 7i Ladies' - 2017</v>
      </c>
      <c r="I2401">
        <f>VLOOKUP(H2401,[1]products!$B:$D,3,0)</f>
        <v>3</v>
      </c>
      <c r="J2401" t="str">
        <f>VLOOKUP(I2401,[2]categories!$A$2:$B$8,2,0)</f>
        <v>Cruisers Bicycles</v>
      </c>
    </row>
    <row r="2402" spans="1:10">
      <c r="A2402">
        <v>842</v>
      </c>
      <c r="B2402">
        <v>2</v>
      </c>
      <c r="C2402">
        <v>42</v>
      </c>
      <c r="D2402">
        <v>1</v>
      </c>
      <c r="E2402">
        <v>2299.99</v>
      </c>
      <c r="F2402">
        <v>0.1</v>
      </c>
      <c r="G2402" s="1">
        <f t="shared" si="37"/>
        <v>2069.991</v>
      </c>
      <c r="H2402" t="str">
        <f>VLOOKUP(C2402,[1]products!$A:$B,2,0)</f>
        <v>Trek Fuel EX 5 27.5 Plus - 2017</v>
      </c>
      <c r="I2402">
        <f>VLOOKUP(H2402,[1]products!$B:$D,3,0)</f>
        <v>6</v>
      </c>
      <c r="J2402" t="str">
        <f>VLOOKUP(I2402,[2]categories!$A$2:$B$8,2,0)</f>
        <v>Mountain Bikes</v>
      </c>
    </row>
    <row r="2403" spans="1:10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 s="1">
        <f t="shared" si="37"/>
        <v>557.991</v>
      </c>
      <c r="H2403" t="str">
        <f>VLOOKUP(C2403,[1]products!$A:$B,2,0)</f>
        <v>Sun Bicycles Biscayne Tandem 7 - 2017</v>
      </c>
      <c r="I2403">
        <f>VLOOKUP(H2403,[1]products!$B:$D,3,0)</f>
        <v>3</v>
      </c>
      <c r="J2403" t="str">
        <f>VLOOKUP(I2403,[2]categories!$A$2:$B$8,2,0)</f>
        <v>Cruisers Bicycles</v>
      </c>
    </row>
    <row r="2404" spans="1:10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 s="1">
        <f t="shared" si="37"/>
        <v>1079.982</v>
      </c>
      <c r="H2404" t="str">
        <f>VLOOKUP(C2404,[1]products!$A:$B,2,0)</f>
        <v>Electra Cruiser Lux Fat Tire 1 Ladies - 2017</v>
      </c>
      <c r="I2404">
        <f>VLOOKUP(H2404,[1]products!$B:$D,3,0)</f>
        <v>3</v>
      </c>
      <c r="J2404" t="str">
        <f>VLOOKUP(I2404,[2]categories!$A$2:$B$8,2,0)</f>
        <v>Cruisers Bicycles</v>
      </c>
    </row>
    <row r="2405" spans="1:10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 s="1">
        <f t="shared" si="37"/>
        <v>989.991</v>
      </c>
      <c r="H2405" t="str">
        <f>VLOOKUP(C2405,[1]products!$A:$B,2,0)</f>
        <v>Electra Amsterdam Fashion 7i Ladies' - 2017</v>
      </c>
      <c r="I2405">
        <f>VLOOKUP(H2405,[1]products!$B:$D,3,0)</f>
        <v>3</v>
      </c>
      <c r="J2405" t="str">
        <f>VLOOKUP(I2405,[2]categories!$A$2:$B$8,2,0)</f>
        <v>Cruisers Bicycles</v>
      </c>
    </row>
    <row r="2406" spans="1:10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0.07</v>
      </c>
      <c r="G2406" s="1">
        <f t="shared" si="37"/>
        <v>557.9814</v>
      </c>
      <c r="H2406" t="str">
        <f>VLOOKUP(C2406,[1]products!$A:$B,2,0)</f>
        <v>Electra Girl's Hawaii 1 (20-inch) - 2015/2016</v>
      </c>
      <c r="I2406">
        <f>VLOOKUP(H2406,[1]products!$B:$D,3,0)</f>
        <v>1</v>
      </c>
      <c r="J2406" t="str">
        <f>VLOOKUP(I2406,[2]categories!$A$2:$B$8,2,0)</f>
        <v>Children Bicycles</v>
      </c>
    </row>
    <row r="2407" spans="1:10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0.07</v>
      </c>
      <c r="G2407" s="1">
        <f t="shared" si="37"/>
        <v>749.5614</v>
      </c>
      <c r="H2407" t="str">
        <f>VLOOKUP(C2407,[1]products!$A:$B,2,0)</f>
        <v>Sun Bicycles Boardwalk (24-inch Wheels) - 2017</v>
      </c>
      <c r="I2407">
        <f>VLOOKUP(H2407,[1]products!$B:$D,3,0)</f>
        <v>3</v>
      </c>
      <c r="J2407" t="str">
        <f>VLOOKUP(I2407,[2]categories!$A$2:$B$8,2,0)</f>
        <v>Cruisers Bicycles</v>
      </c>
    </row>
    <row r="2408" spans="1:10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 s="1">
        <f t="shared" si="37"/>
        <v>494.991</v>
      </c>
      <c r="H2408" t="str">
        <f>VLOOKUP(C2408,[1]products!$A:$B,2,0)</f>
        <v>Electra Townie Original 21D - 2016</v>
      </c>
      <c r="I2408">
        <f>VLOOKUP(H2408,[1]products!$B:$D,3,0)</f>
        <v>3</v>
      </c>
      <c r="J2408" t="str">
        <f>VLOOKUP(I2408,[2]categories!$A$2:$B$8,2,0)</f>
        <v>Cruisers Bicycles</v>
      </c>
    </row>
    <row r="2409" spans="1:10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 s="1">
        <f t="shared" si="37"/>
        <v>239.984</v>
      </c>
      <c r="H2409" t="str">
        <f>VLOOKUP(C2409,[1]products!$A:$B,2,0)</f>
        <v>Trek Boy's Kickster - 2015/2017</v>
      </c>
      <c r="I2409">
        <f>VLOOKUP(H2409,[1]products!$B:$D,3,0)</f>
        <v>1</v>
      </c>
      <c r="J2409" t="str">
        <f>VLOOKUP(I2409,[2]categories!$A$2:$B$8,2,0)</f>
        <v>Children Bicycles</v>
      </c>
    </row>
    <row r="2410" spans="1:10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 s="1">
        <f t="shared" si="37"/>
        <v>1199.992</v>
      </c>
      <c r="H2410" t="str">
        <f>VLOOKUP(C2410,[1]products!$A:$B,2,0)</f>
        <v>Trek Emonda S 4 - 2017</v>
      </c>
      <c r="I2410">
        <f>VLOOKUP(H2410,[1]products!$B:$D,3,0)</f>
        <v>7</v>
      </c>
      <c r="J2410" t="str">
        <f>VLOOKUP(I2410,[2]categories!$A$2:$B$8,2,0)</f>
        <v>Road Bikes</v>
      </c>
    </row>
    <row r="2411" spans="1:10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 s="1">
        <f t="shared" si="37"/>
        <v>6649.981</v>
      </c>
      <c r="H2411" t="str">
        <f>VLOOKUP(C2411,[1]products!$A:$B,2,0)</f>
        <v>Trek Boone Race Shop Limited - 2017</v>
      </c>
      <c r="I2411">
        <f>VLOOKUP(H2411,[1]products!$B:$D,3,0)</f>
        <v>4</v>
      </c>
      <c r="J2411" t="str">
        <f>VLOOKUP(I2411,[2]categories!$A$2:$B$8,2,0)</f>
        <v>Cyclocross Bicycles</v>
      </c>
    </row>
    <row r="2412" spans="1:10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 s="1">
        <f t="shared" si="37"/>
        <v>959.984</v>
      </c>
      <c r="H2412" t="str">
        <f>VLOOKUP(C2412,[1]products!$A:$B,2,0)</f>
        <v>Electra Townie Original 7D EQ - 2016</v>
      </c>
      <c r="I2412">
        <f>VLOOKUP(H2412,[1]products!$B:$D,3,0)</f>
        <v>3</v>
      </c>
      <c r="J2412" t="str">
        <f>VLOOKUP(I2412,[2]categories!$A$2:$B$8,2,0)</f>
        <v>Cruisers Bicycles</v>
      </c>
    </row>
    <row r="2413" spans="1:10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 s="1">
        <f t="shared" si="37"/>
        <v>479.992</v>
      </c>
      <c r="H2413" t="str">
        <f>VLOOKUP(C2413,[1]products!$A:$B,2,0)</f>
        <v>Electra Cruiser Lux Fat Tire 1 Ladies - 2017</v>
      </c>
      <c r="I2413">
        <f>VLOOKUP(H2413,[1]products!$B:$D,3,0)</f>
        <v>3</v>
      </c>
      <c r="J2413" t="str">
        <f>VLOOKUP(I2413,[2]categories!$A$2:$B$8,2,0)</f>
        <v>Cruisers Bicycles</v>
      </c>
    </row>
    <row r="2414" spans="1:10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 s="1">
        <f t="shared" si="37"/>
        <v>1139.981</v>
      </c>
      <c r="H2414" t="str">
        <f>VLOOKUP(C2414,[1]products!$A:$B,2,0)</f>
        <v>Electra Townie Original 7D EQ - 2016</v>
      </c>
      <c r="I2414">
        <f>VLOOKUP(H2414,[1]products!$B:$D,3,0)</f>
        <v>3</v>
      </c>
      <c r="J2414" t="str">
        <f>VLOOKUP(I2414,[2]categories!$A$2:$B$8,2,0)</f>
        <v>Cruisers Bicycles</v>
      </c>
    </row>
    <row r="2415" spans="1:10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 s="1">
        <f t="shared" si="37"/>
        <v>1199.984</v>
      </c>
      <c r="H2415" t="str">
        <f>VLOOKUP(C2415,[1]products!$A:$B,2,0)</f>
        <v>Sun Bicycles Brickell Tandem 7 - 2017</v>
      </c>
      <c r="I2415">
        <f>VLOOKUP(H2415,[1]products!$B:$D,3,0)</f>
        <v>3</v>
      </c>
      <c r="J2415" t="str">
        <f>VLOOKUP(I2415,[2]categories!$A$2:$B$8,2,0)</f>
        <v>Cruisers Bicycles</v>
      </c>
    </row>
    <row r="2416" spans="1:10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 s="1">
        <f t="shared" si="37"/>
        <v>180.4905</v>
      </c>
      <c r="H2416" t="str">
        <f>VLOOKUP(C2416,[1]products!$A:$B,2,0)</f>
        <v>Trek Precaliber 12 Girls - 2017</v>
      </c>
      <c r="I2416">
        <f>VLOOKUP(H2416,[1]products!$B:$D,3,0)</f>
        <v>1</v>
      </c>
      <c r="J2416" t="str">
        <f>VLOOKUP(I2416,[2]categories!$A$2:$B$8,2,0)</f>
        <v>Children Bicycles</v>
      </c>
    </row>
    <row r="2417" spans="1:10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 s="1">
        <f t="shared" si="37"/>
        <v>2678.981</v>
      </c>
      <c r="H2417" t="str">
        <f>VLOOKUP(C2417,[1]products!$A:$B,2,0)</f>
        <v>Haro SR 1.3 - 2017</v>
      </c>
      <c r="I2417">
        <f>VLOOKUP(H2417,[1]products!$B:$D,3,0)</f>
        <v>6</v>
      </c>
      <c r="J2417" t="str">
        <f>VLOOKUP(I2417,[2]categories!$A$2:$B$8,2,0)</f>
        <v>Mountain Bikes</v>
      </c>
    </row>
    <row r="2418" spans="1:10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0.07</v>
      </c>
      <c r="G2418" s="1">
        <f t="shared" si="37"/>
        <v>4928.9907</v>
      </c>
      <c r="H2418" t="str">
        <f>VLOOKUP(C2418,[1]products!$A:$B,2,0)</f>
        <v>Trek Remedy 9.8 - 2017</v>
      </c>
      <c r="I2418">
        <f>VLOOKUP(H2418,[1]products!$B:$D,3,0)</f>
        <v>6</v>
      </c>
      <c r="J2418" t="str">
        <f>VLOOKUP(I2418,[2]categories!$A$2:$B$8,2,0)</f>
        <v>Mountain Bikes</v>
      </c>
    </row>
    <row r="2419" spans="1:10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 s="1">
        <f t="shared" si="37"/>
        <v>375.291</v>
      </c>
      <c r="H2419" t="str">
        <f>VLOOKUP(C2419,[1]products!$A:$B,2,0)</f>
        <v>Sun Bicycles Atlas X-Type - 2017</v>
      </c>
      <c r="I2419">
        <f>VLOOKUP(H2419,[1]products!$B:$D,3,0)</f>
        <v>3</v>
      </c>
      <c r="J2419" t="str">
        <f>VLOOKUP(I2419,[2]categories!$A$2:$B$8,2,0)</f>
        <v>Cruisers Bicycles</v>
      </c>
    </row>
    <row r="2420" spans="1:10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 s="1">
        <f t="shared" si="37"/>
        <v>1177.981</v>
      </c>
      <c r="H2420" t="str">
        <f>VLOOKUP(C2420,[1]products!$A:$B,2,0)</f>
        <v>Sun Bicycles Biscayne Tandem 7 - 2017</v>
      </c>
      <c r="I2420">
        <f>VLOOKUP(H2420,[1]products!$B:$D,3,0)</f>
        <v>3</v>
      </c>
      <c r="J2420" t="str">
        <f>VLOOKUP(I2420,[2]categories!$A$2:$B$8,2,0)</f>
        <v>Cruisers Bicycles</v>
      </c>
    </row>
    <row r="2421" spans="1:10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0.07</v>
      </c>
      <c r="G2421" s="1">
        <f t="shared" si="37"/>
        <v>1026.7014</v>
      </c>
      <c r="H2421" t="str">
        <f>VLOOKUP(C2421,[1]products!$A:$B,2,0)</f>
        <v>Sun Bicycles Streamway 3 - 2017</v>
      </c>
      <c r="I2421">
        <f>VLOOKUP(H2421,[1]products!$B:$D,3,0)</f>
        <v>2</v>
      </c>
      <c r="J2421" t="str">
        <f>VLOOKUP(I2421,[2]categories!$A$2:$B$8,2,0)</f>
        <v>Comfort Bicycles</v>
      </c>
    </row>
    <row r="2422" spans="1:10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 s="1">
        <f t="shared" si="37"/>
        <v>9499.981</v>
      </c>
      <c r="H2422" t="str">
        <f>VLOOKUP(C2422,[1]products!$A:$B,2,0)</f>
        <v>Trek Powerfly 8 FS Plus - 2017</v>
      </c>
      <c r="I2422">
        <f>VLOOKUP(H2422,[1]products!$B:$D,3,0)</f>
        <v>5</v>
      </c>
      <c r="J2422" t="str">
        <f>VLOOKUP(I2422,[2]categories!$A$2:$B$8,2,0)</f>
        <v>Electric Bikes</v>
      </c>
    </row>
    <row r="2423" spans="1:10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0.07</v>
      </c>
      <c r="G2423" s="1">
        <f t="shared" si="37"/>
        <v>195.2907</v>
      </c>
      <c r="H2423" t="str">
        <f>VLOOKUP(C2423,[1]products!$A:$B,2,0)</f>
        <v>Haro Shredder 20 Girls - 2017</v>
      </c>
      <c r="I2423">
        <f>VLOOKUP(H2423,[1]products!$B:$D,3,0)</f>
        <v>1</v>
      </c>
      <c r="J2423" t="str">
        <f>VLOOKUP(I2423,[2]categories!$A$2:$B$8,2,0)</f>
        <v>Children Bicycles</v>
      </c>
    </row>
    <row r="2424" spans="1:10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 s="1">
        <f t="shared" si="37"/>
        <v>783.984</v>
      </c>
      <c r="H2424" t="str">
        <f>VLOOKUP(C2424,[1]products!$A:$B,2,0)</f>
        <v>Electra Townie 3i EQ (20-inch) - Boys' - 2017</v>
      </c>
      <c r="I2424">
        <f>VLOOKUP(H2424,[1]products!$B:$D,3,0)</f>
        <v>1</v>
      </c>
      <c r="J2424" t="str">
        <f>VLOOKUP(I2424,[2]categories!$A$2:$B$8,2,0)</f>
        <v>Children Bicycles</v>
      </c>
    </row>
    <row r="2425" spans="1:10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 s="1">
        <f t="shared" si="37"/>
        <v>303.984</v>
      </c>
      <c r="H2425" t="str">
        <f>VLOOKUP(C2425,[1]products!$A:$B,2,0)</f>
        <v>Trek Precaliber 12 Girls - 2017</v>
      </c>
      <c r="I2425">
        <f>VLOOKUP(H2425,[1]products!$B:$D,3,0)</f>
        <v>1</v>
      </c>
      <c r="J2425" t="str">
        <f>VLOOKUP(I2425,[2]categories!$A$2:$B$8,2,0)</f>
        <v>Children Bicycles</v>
      </c>
    </row>
    <row r="2426" spans="1:10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0.07</v>
      </c>
      <c r="G2426" s="1">
        <f t="shared" si="37"/>
        <v>2734.1814</v>
      </c>
      <c r="H2426" t="str">
        <f>VLOOKUP(C2426,[1]products!$A:$B,2,0)</f>
        <v>Haro Shift R3 - 2017</v>
      </c>
      <c r="I2426">
        <f>VLOOKUP(H2426,[1]products!$B:$D,3,0)</f>
        <v>6</v>
      </c>
      <c r="J2426" t="str">
        <f>VLOOKUP(I2426,[2]categories!$A$2:$B$8,2,0)</f>
        <v>Mountain Bikes</v>
      </c>
    </row>
    <row r="2427" spans="1:10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 s="1">
        <f t="shared" si="37"/>
        <v>333.592</v>
      </c>
      <c r="H2427" t="str">
        <f>VLOOKUP(C2427,[1]products!$A:$B,2,0)</f>
        <v>Sun Bicycles Cruz 7 - Women's - 2017</v>
      </c>
      <c r="I2427">
        <f>VLOOKUP(H2427,[1]products!$B:$D,3,0)</f>
        <v>2</v>
      </c>
      <c r="J2427" t="str">
        <f>VLOOKUP(I2427,[2]categories!$A$2:$B$8,2,0)</f>
        <v>Comfort Bicycles</v>
      </c>
    </row>
    <row r="2428" spans="1:10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0.07</v>
      </c>
      <c r="G2428" s="1">
        <f t="shared" si="37"/>
        <v>632.3814</v>
      </c>
      <c r="H2428" t="str">
        <f>VLOOKUP(C2428,[1]products!$A:$B,2,0)</f>
        <v>Electra Townie 7D (20-inch) - Boys' - 2017</v>
      </c>
      <c r="I2428">
        <f>VLOOKUP(H2428,[1]products!$B:$D,3,0)</f>
        <v>1</v>
      </c>
      <c r="J2428" t="str">
        <f>VLOOKUP(I2428,[2]categories!$A$2:$B$8,2,0)</f>
        <v>Children Bicycles</v>
      </c>
    </row>
    <row r="2429" spans="1:10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0.07</v>
      </c>
      <c r="G2429" s="1">
        <f t="shared" si="37"/>
        <v>2457.0414</v>
      </c>
      <c r="H2429" t="str">
        <f>VLOOKUP(C2429,[1]products!$A:$B,2,0)</f>
        <v>Heller Shagamaw Frame - 2016</v>
      </c>
      <c r="I2429">
        <f>VLOOKUP(H2429,[1]products!$B:$D,3,0)</f>
        <v>6</v>
      </c>
      <c r="J2429" t="str">
        <f>VLOOKUP(I2429,[2]categories!$A$2:$B$8,2,0)</f>
        <v>Mountain Bikes</v>
      </c>
    </row>
    <row r="2430" spans="1:10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0.07</v>
      </c>
      <c r="G2430" s="1">
        <f t="shared" si="37"/>
        <v>353.3907</v>
      </c>
      <c r="H2430" t="str">
        <f>VLOOKUP(C2430,[1]products!$A:$B,2,0)</f>
        <v>Haro Flightline One ST - 2017</v>
      </c>
      <c r="I2430">
        <f>VLOOKUP(H2430,[1]products!$B:$D,3,0)</f>
        <v>6</v>
      </c>
      <c r="J2430" t="str">
        <f>VLOOKUP(I2430,[2]categories!$A$2:$B$8,2,0)</f>
        <v>Mountain Bikes</v>
      </c>
    </row>
    <row r="2431" spans="1:10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 s="1">
        <f t="shared" si="37"/>
        <v>799.992</v>
      </c>
      <c r="H2431" t="str">
        <f>VLOOKUP(C2431,[1]products!$A:$B,2,0)</f>
        <v>Surly Ice Cream Truck Frameset - 2017</v>
      </c>
      <c r="I2431">
        <f>VLOOKUP(H2431,[1]products!$B:$D,3,0)</f>
        <v>6</v>
      </c>
      <c r="J2431" t="str">
        <f>VLOOKUP(I2431,[2]categories!$A$2:$B$8,2,0)</f>
        <v>Mountain Bikes</v>
      </c>
    </row>
    <row r="2432" spans="1:10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 s="1">
        <f t="shared" si="37"/>
        <v>199.4905</v>
      </c>
      <c r="H2432" t="str">
        <f>VLOOKUP(C2432,[1]products!$A:$B,2,0)</f>
        <v>Haro Shredder 20 Girls - 2017</v>
      </c>
      <c r="I2432">
        <f>VLOOKUP(H2432,[1]products!$B:$D,3,0)</f>
        <v>1</v>
      </c>
      <c r="J2432" t="str">
        <f>VLOOKUP(I2432,[2]categories!$A$2:$B$8,2,0)</f>
        <v>Children Bicycles</v>
      </c>
    </row>
    <row r="2433" spans="1:10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0.07</v>
      </c>
      <c r="G2433" s="1">
        <f t="shared" si="37"/>
        <v>2622.5814</v>
      </c>
      <c r="H2433" t="str">
        <f>VLOOKUP(C2433,[1]products!$A:$B,2,0)</f>
        <v>Haro SR 1.3 - 2017</v>
      </c>
      <c r="I2433">
        <f>VLOOKUP(H2433,[1]products!$B:$D,3,0)</f>
        <v>6</v>
      </c>
      <c r="J2433" t="str">
        <f>VLOOKUP(I2433,[2]categories!$A$2:$B$8,2,0)</f>
        <v>Mountain Bikes</v>
      </c>
    </row>
    <row r="2434" spans="1:10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 s="1">
        <f t="shared" ref="G2434:G2497" si="38">D2434*E2434*(1-F2434)</f>
        <v>284.9905</v>
      </c>
      <c r="H2434" t="str">
        <f>VLOOKUP(C2434,[1]products!$A:$B,2,0)</f>
        <v>Electra Sugar Skulls 1 (20-inch) - Girl's - 2017</v>
      </c>
      <c r="I2434">
        <f>VLOOKUP(H2434,[1]products!$B:$D,3,0)</f>
        <v>1</v>
      </c>
      <c r="J2434" t="str">
        <f>VLOOKUP(I2434,[2]categories!$A$2:$B$8,2,0)</f>
        <v>Children Bicycles</v>
      </c>
    </row>
    <row r="2435" spans="1:10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 s="1">
        <f t="shared" si="38"/>
        <v>7999.984</v>
      </c>
      <c r="H2435" t="str">
        <f>VLOOKUP(C2435,[1]products!$A:$B,2,0)</f>
        <v>Trek Madone 9.2 - 2017</v>
      </c>
      <c r="I2435">
        <f>VLOOKUP(H2435,[1]products!$B:$D,3,0)</f>
        <v>7</v>
      </c>
      <c r="J2435" t="str">
        <f>VLOOKUP(I2435,[2]categories!$A$2:$B$8,2,0)</f>
        <v>Road Bikes</v>
      </c>
    </row>
    <row r="2436" spans="1:10">
      <c r="A2436">
        <v>853</v>
      </c>
      <c r="B2436">
        <v>3</v>
      </c>
      <c r="C2436">
        <v>42</v>
      </c>
      <c r="D2436">
        <v>2</v>
      </c>
      <c r="E2436">
        <v>2299.99</v>
      </c>
      <c r="F2436">
        <v>0.2</v>
      </c>
      <c r="G2436" s="1">
        <f t="shared" si="38"/>
        <v>3679.984</v>
      </c>
      <c r="H2436" t="str">
        <f>VLOOKUP(C2436,[1]products!$A:$B,2,0)</f>
        <v>Trek Fuel EX 5 27.5 Plus - 2017</v>
      </c>
      <c r="I2436">
        <f>VLOOKUP(H2436,[1]products!$B:$D,3,0)</f>
        <v>6</v>
      </c>
      <c r="J2436" t="str">
        <f>VLOOKUP(I2436,[2]categories!$A$2:$B$8,2,0)</f>
        <v>Mountain Bikes</v>
      </c>
    </row>
    <row r="2437" spans="1:10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 s="1">
        <f t="shared" si="38"/>
        <v>695.992</v>
      </c>
      <c r="H2437" t="str">
        <f>VLOOKUP(C2437,[1]products!$A:$B,2,0)</f>
        <v>Haro SR 1.2 - 2017</v>
      </c>
      <c r="I2437">
        <f>VLOOKUP(H2437,[1]products!$B:$D,3,0)</f>
        <v>6</v>
      </c>
      <c r="J2437" t="str">
        <f>VLOOKUP(I2437,[2]categories!$A$2:$B$8,2,0)</f>
        <v>Mountain Bikes</v>
      </c>
    </row>
    <row r="2438" spans="1:10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 s="1">
        <f t="shared" si="38"/>
        <v>446.4905</v>
      </c>
      <c r="H2438" t="str">
        <f>VLOOKUP(C2438,[1]products!$A:$B,2,0)</f>
        <v>Surly Ice Cream Truck Frameset - 2016</v>
      </c>
      <c r="I2438">
        <f>VLOOKUP(H2438,[1]products!$B:$D,3,0)</f>
        <v>6</v>
      </c>
      <c r="J2438" t="str">
        <f>VLOOKUP(I2438,[2]categories!$A$2:$B$8,2,0)</f>
        <v>Mountain Bikes</v>
      </c>
    </row>
    <row r="2439" spans="1:10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 s="1">
        <f t="shared" si="38"/>
        <v>170.991</v>
      </c>
      <c r="H2439" t="str">
        <f>VLOOKUP(C2439,[1]products!$A:$B,2,0)</f>
        <v>Trek Precaliber 12 Boys - 2017</v>
      </c>
      <c r="I2439">
        <f>VLOOKUP(H2439,[1]products!$B:$D,3,0)</f>
        <v>1</v>
      </c>
      <c r="J2439" t="str">
        <f>VLOOKUP(I2439,[2]categories!$A$2:$B$8,2,0)</f>
        <v>Children Bicycles</v>
      </c>
    </row>
    <row r="2440" spans="1:10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 s="1">
        <f t="shared" si="38"/>
        <v>404.1</v>
      </c>
      <c r="H2440" t="str">
        <f>VLOOKUP(C2440,[1]products!$A:$B,2,0)</f>
        <v>Pure Cycles Western 3-Speed - Women's - 2015/2016</v>
      </c>
      <c r="I2440">
        <f>VLOOKUP(H2440,[1]products!$B:$D,3,0)</f>
        <v>3</v>
      </c>
      <c r="J2440" t="str">
        <f>VLOOKUP(I2440,[2]categories!$A$2:$B$8,2,0)</f>
        <v>Cruisers Bicycles</v>
      </c>
    </row>
    <row r="2441" spans="1:10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 s="1">
        <f t="shared" si="38"/>
        <v>335.984</v>
      </c>
      <c r="H2441" t="str">
        <f>VLOOKUP(C2441,[1]products!$A:$B,2,0)</f>
        <v>Haro Shredder 20 Girls - 2017</v>
      </c>
      <c r="I2441">
        <f>VLOOKUP(H2441,[1]products!$B:$D,3,0)</f>
        <v>1</v>
      </c>
      <c r="J2441" t="str">
        <f>VLOOKUP(I2441,[2]categories!$A$2:$B$8,2,0)</f>
        <v>Children Bicycles</v>
      </c>
    </row>
    <row r="2442" spans="1:10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 s="1">
        <f t="shared" si="38"/>
        <v>167.992</v>
      </c>
      <c r="H2442" t="str">
        <f>VLOOKUP(C2442,[1]products!$A:$B,2,0)</f>
        <v>Trek Precaliber 16 Boys - 2017</v>
      </c>
      <c r="I2442">
        <f>VLOOKUP(H2442,[1]products!$B:$D,3,0)</f>
        <v>1</v>
      </c>
      <c r="J2442" t="str">
        <f>VLOOKUP(I2442,[2]categories!$A$2:$B$8,2,0)</f>
        <v>Children Bicycles</v>
      </c>
    </row>
    <row r="2443" spans="1:10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 s="1">
        <f t="shared" si="38"/>
        <v>1044.981</v>
      </c>
      <c r="H2443" t="str">
        <f>VLOOKUP(C2443,[1]products!$A:$B,2,0)</f>
        <v>Haro Flightline Two 26 Plus - 2017</v>
      </c>
      <c r="I2443">
        <f>VLOOKUP(H2443,[1]products!$B:$D,3,0)</f>
        <v>6</v>
      </c>
      <c r="J2443" t="str">
        <f>VLOOKUP(I2443,[2]categories!$A$2:$B$8,2,0)</f>
        <v>Mountain Bikes</v>
      </c>
    </row>
    <row r="2444" spans="1:10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 s="1">
        <f t="shared" si="38"/>
        <v>799.992</v>
      </c>
      <c r="H2444" t="str">
        <f>VLOOKUP(C2444,[1]products!$A:$B,2,0)</f>
        <v>Trek X-Caliber 8 - 2017</v>
      </c>
      <c r="I2444">
        <f>VLOOKUP(H2444,[1]products!$B:$D,3,0)</f>
        <v>6</v>
      </c>
      <c r="J2444" t="str">
        <f>VLOOKUP(I2444,[2]categories!$A$2:$B$8,2,0)</f>
        <v>Mountain Bikes</v>
      </c>
    </row>
    <row r="2445" spans="1:10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 s="1">
        <f t="shared" si="38"/>
        <v>1391.984</v>
      </c>
      <c r="H2445" t="str">
        <f>VLOOKUP(C2445,[1]products!$A:$B,2,0)</f>
        <v>Haro SR 1.2 - 2017</v>
      </c>
      <c r="I2445">
        <f>VLOOKUP(H2445,[1]products!$B:$D,3,0)</f>
        <v>6</v>
      </c>
      <c r="J2445" t="str">
        <f>VLOOKUP(I2445,[2]categories!$A$2:$B$8,2,0)</f>
        <v>Mountain Bikes</v>
      </c>
    </row>
    <row r="2446" spans="1:10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 s="1">
        <f t="shared" si="38"/>
        <v>1056.792</v>
      </c>
      <c r="H2446" t="str">
        <f>VLOOKUP(C2446,[1]products!$A:$B,2,0)</f>
        <v>Heller Shagamaw Frame - 2016</v>
      </c>
      <c r="I2446">
        <f>VLOOKUP(H2446,[1]products!$B:$D,3,0)</f>
        <v>6</v>
      </c>
      <c r="J2446" t="str">
        <f>VLOOKUP(I2446,[2]categories!$A$2:$B$8,2,0)</f>
        <v>Mountain Bikes</v>
      </c>
    </row>
    <row r="2447" spans="1:10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0.07</v>
      </c>
      <c r="G2447" s="1">
        <f t="shared" si="38"/>
        <v>251.0907</v>
      </c>
      <c r="H2447" t="str">
        <f>VLOOKUP(C2447,[1]products!$A:$B,2,0)</f>
        <v>Electra Girl's Hawaii 1 (16-inch) - 2015/2016</v>
      </c>
      <c r="I2447">
        <f>VLOOKUP(H2447,[1]products!$B:$D,3,0)</f>
        <v>3</v>
      </c>
      <c r="J2447" t="str">
        <f>VLOOKUP(I2447,[2]categories!$A$2:$B$8,2,0)</f>
        <v>Cruisers Bicycles</v>
      </c>
    </row>
    <row r="2448" spans="1:10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0.07</v>
      </c>
      <c r="G2448" s="1">
        <f t="shared" si="38"/>
        <v>1394.9814</v>
      </c>
      <c r="H2448" t="str">
        <f>VLOOKUP(C2448,[1]products!$A:$B,2,0)</f>
        <v>Sun Bicycles Brickell Tandem 7 - 2017</v>
      </c>
      <c r="I2448">
        <f>VLOOKUP(H2448,[1]products!$B:$D,3,0)</f>
        <v>3</v>
      </c>
      <c r="J2448" t="str">
        <f>VLOOKUP(I2448,[2]categories!$A$2:$B$8,2,0)</f>
        <v>Cruisers Bicycles</v>
      </c>
    </row>
    <row r="2449" spans="1:10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0.07</v>
      </c>
      <c r="G2449" s="1">
        <f t="shared" si="38"/>
        <v>1022.9814</v>
      </c>
      <c r="H2449" t="str">
        <f>VLOOKUP(C2449,[1]products!$A:$B,2,0)</f>
        <v>Haro Flightline Two 26 Plus - 2017</v>
      </c>
      <c r="I2449">
        <f>VLOOKUP(H2449,[1]products!$B:$D,3,0)</f>
        <v>6</v>
      </c>
      <c r="J2449" t="str">
        <f>VLOOKUP(I2449,[2]categories!$A$2:$B$8,2,0)</f>
        <v>Mountain Bikes</v>
      </c>
    </row>
    <row r="2450" spans="1:10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 s="1">
        <f t="shared" si="38"/>
        <v>242.991</v>
      </c>
      <c r="H2450" t="str">
        <f>VLOOKUP(C2450,[1]products!$A:$B,2,0)</f>
        <v>Electra Cruiser 1 (24-Inch) - 2016</v>
      </c>
      <c r="I2450">
        <f>VLOOKUP(H2450,[1]products!$B:$D,3,0)</f>
        <v>3</v>
      </c>
      <c r="J2450" t="str">
        <f>VLOOKUP(I2450,[2]categories!$A$2:$B$8,2,0)</f>
        <v>Cruisers Bicycles</v>
      </c>
    </row>
    <row r="2451" spans="1:10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 s="1">
        <f t="shared" si="38"/>
        <v>485.982</v>
      </c>
      <c r="H2451" t="str">
        <f>VLOOKUP(C2451,[1]products!$A:$B,2,0)</f>
        <v>Electra Girl's Hawaii 1 (16-inch) - 2015/2016</v>
      </c>
      <c r="I2451">
        <f>VLOOKUP(H2451,[1]products!$B:$D,3,0)</f>
        <v>3</v>
      </c>
      <c r="J2451" t="str">
        <f>VLOOKUP(I2451,[2]categories!$A$2:$B$8,2,0)</f>
        <v>Cruisers Bicycles</v>
      </c>
    </row>
    <row r="2452" spans="1:10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 s="1">
        <f t="shared" si="38"/>
        <v>750.582</v>
      </c>
      <c r="H2452" t="str">
        <f>VLOOKUP(C2452,[1]products!$A:$B,2,0)</f>
        <v>Sun Bicycles Atlas X-Type - 2017</v>
      </c>
      <c r="I2452">
        <f>VLOOKUP(H2452,[1]products!$B:$D,3,0)</f>
        <v>3</v>
      </c>
      <c r="J2452" t="str">
        <f>VLOOKUP(I2452,[2]categories!$A$2:$B$8,2,0)</f>
        <v>Cruisers Bicycles</v>
      </c>
    </row>
    <row r="2453" spans="1:10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 s="1">
        <f t="shared" si="38"/>
        <v>1499.382</v>
      </c>
      <c r="H2453" t="str">
        <f>VLOOKUP(C2453,[1]products!$A:$B,2,0)</f>
        <v>Surly Troll Frameset - 2017</v>
      </c>
      <c r="I2453">
        <f>VLOOKUP(H2453,[1]products!$B:$D,3,0)</f>
        <v>6</v>
      </c>
      <c r="J2453" t="str">
        <f>VLOOKUP(I2453,[2]categories!$A$2:$B$8,2,0)</f>
        <v>Mountain Bikes</v>
      </c>
    </row>
    <row r="2454" spans="1:10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 s="1">
        <f t="shared" si="38"/>
        <v>446.4905</v>
      </c>
      <c r="H2454" t="str">
        <f>VLOOKUP(C2454,[1]products!$A:$B,2,0)</f>
        <v>Surly Ice Cream Truck Frameset - 2016</v>
      </c>
      <c r="I2454">
        <f>VLOOKUP(H2454,[1]products!$B:$D,3,0)</f>
        <v>6</v>
      </c>
      <c r="J2454" t="str">
        <f>VLOOKUP(I2454,[2]categories!$A$2:$B$8,2,0)</f>
        <v>Mountain Bikes</v>
      </c>
    </row>
    <row r="2455" spans="1:10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 s="1">
        <f t="shared" si="38"/>
        <v>879.984</v>
      </c>
      <c r="H2455" t="str">
        <f>VLOOKUP(C2455,[1]products!$A:$B,2,0)</f>
        <v>Electra Townie Original 21D - 2016</v>
      </c>
      <c r="I2455">
        <f>VLOOKUP(H2455,[1]products!$B:$D,3,0)</f>
        <v>3</v>
      </c>
      <c r="J2455" t="str">
        <f>VLOOKUP(I2455,[2]categories!$A$2:$B$8,2,0)</f>
        <v>Cruisers Bicycles</v>
      </c>
    </row>
    <row r="2456" spans="1:10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 s="1">
        <f t="shared" si="38"/>
        <v>399.992</v>
      </c>
      <c r="H2456" t="str">
        <f>VLOOKUP(C2456,[1]products!$A:$B,2,0)</f>
        <v>Electra Townie Original 7D - 2015/2016</v>
      </c>
      <c r="I2456">
        <f>VLOOKUP(H2456,[1]products!$B:$D,3,0)</f>
        <v>2</v>
      </c>
      <c r="J2456" t="str">
        <f>VLOOKUP(I2456,[2]categories!$A$2:$B$8,2,0)</f>
        <v>Comfort Bicycles</v>
      </c>
    </row>
    <row r="2457" spans="1:10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0.07</v>
      </c>
      <c r="G2457" s="1">
        <f t="shared" si="38"/>
        <v>9299.9814</v>
      </c>
      <c r="H2457" t="str">
        <f>VLOOKUP(C2457,[1]products!$A:$B,2,0)</f>
        <v>Trek Madone 9.2 - 2017</v>
      </c>
      <c r="I2457">
        <f>VLOOKUP(H2457,[1]products!$B:$D,3,0)</f>
        <v>7</v>
      </c>
      <c r="J2457" t="str">
        <f>VLOOKUP(I2457,[2]categories!$A$2:$B$8,2,0)</f>
        <v>Road Bikes</v>
      </c>
    </row>
    <row r="2458" spans="1:10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 s="1">
        <f t="shared" si="38"/>
        <v>569.981</v>
      </c>
      <c r="H2458" t="str">
        <f>VLOOKUP(C2458,[1]products!$A:$B,2,0)</f>
        <v>Electra Girl's Hawaii 1 16" - 2017</v>
      </c>
      <c r="I2458">
        <f>VLOOKUP(H2458,[1]products!$B:$D,3,0)</f>
        <v>3</v>
      </c>
      <c r="J2458" t="str">
        <f>VLOOKUP(I2458,[2]categories!$A$2:$B$8,2,0)</f>
        <v>Cruisers Bicycles</v>
      </c>
    </row>
    <row r="2459" spans="1:10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0.07</v>
      </c>
      <c r="G2459" s="1">
        <f t="shared" si="38"/>
        <v>502.1814</v>
      </c>
      <c r="H2459" t="str">
        <f>VLOOKUP(C2459,[1]products!$A:$B,2,0)</f>
        <v>Electra Girl's Hawaii 1 (16-inch) - 2015/2016</v>
      </c>
      <c r="I2459">
        <f>VLOOKUP(H2459,[1]products!$B:$D,3,0)</f>
        <v>3</v>
      </c>
      <c r="J2459" t="str">
        <f>VLOOKUP(I2459,[2]categories!$A$2:$B$8,2,0)</f>
        <v>Cruisers Bicycles</v>
      </c>
    </row>
    <row r="2460" spans="1:10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 s="1">
        <f t="shared" si="38"/>
        <v>2799.992</v>
      </c>
      <c r="H2460" t="str">
        <f>VLOOKUP(C2460,[1]products!$A:$B,2,0)</f>
        <v>Trek Boone 7 - 2017</v>
      </c>
      <c r="I2460">
        <f>VLOOKUP(H2460,[1]products!$B:$D,3,0)</f>
        <v>4</v>
      </c>
      <c r="J2460" t="str">
        <f>VLOOKUP(I2460,[2]categories!$A$2:$B$8,2,0)</f>
        <v>Cyclocross Bicycles</v>
      </c>
    </row>
    <row r="2461" spans="1:10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 s="1">
        <f t="shared" si="38"/>
        <v>313.4905</v>
      </c>
      <c r="H2461" t="str">
        <f>VLOOKUP(C2461,[1]products!$A:$B,2,0)</f>
        <v>Haro Downtown 16 - 2017</v>
      </c>
      <c r="I2461">
        <f>VLOOKUP(H2461,[1]products!$B:$D,3,0)</f>
        <v>1</v>
      </c>
      <c r="J2461" t="str">
        <f>VLOOKUP(I2461,[2]categories!$A$2:$B$8,2,0)</f>
        <v>Children Bicycles</v>
      </c>
    </row>
    <row r="2462" spans="1:10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 s="1">
        <f t="shared" si="38"/>
        <v>239.992</v>
      </c>
      <c r="H2462" t="str">
        <f>VLOOKUP(C2462,[1]products!$A:$B,2,0)</f>
        <v>Electra Sugar Skulls 1 (20-inch) - Girl's - 2017</v>
      </c>
      <c r="I2462">
        <f>VLOOKUP(H2462,[1]products!$B:$D,3,0)</f>
        <v>1</v>
      </c>
      <c r="J2462" t="str">
        <f>VLOOKUP(I2462,[2]categories!$A$2:$B$8,2,0)</f>
        <v>Children Bicycles</v>
      </c>
    </row>
    <row r="2463" spans="1:10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0.07</v>
      </c>
      <c r="G2463" s="1">
        <f t="shared" si="38"/>
        <v>6509.9814</v>
      </c>
      <c r="H2463" t="str">
        <f>VLOOKUP(C2463,[1]products!$A:$B,2,0)</f>
        <v>Trek Domane SL 6 - 2017</v>
      </c>
      <c r="I2463">
        <f>VLOOKUP(H2463,[1]products!$B:$D,3,0)</f>
        <v>7</v>
      </c>
      <c r="J2463" t="str">
        <f>VLOOKUP(I2463,[2]categories!$A$2:$B$8,2,0)</f>
        <v>Road Bikes</v>
      </c>
    </row>
    <row r="2464" spans="1:10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 s="1">
        <f t="shared" si="38"/>
        <v>377.982</v>
      </c>
      <c r="H2464" t="str">
        <f>VLOOKUP(C2464,[1]products!$A:$B,2,0)</f>
        <v>Haro Shredder 20 Girls - 2017</v>
      </c>
      <c r="I2464">
        <f>VLOOKUP(H2464,[1]products!$B:$D,3,0)</f>
        <v>1</v>
      </c>
      <c r="J2464" t="str">
        <f>VLOOKUP(I2464,[2]categories!$A$2:$B$8,2,0)</f>
        <v>Children Bicycles</v>
      </c>
    </row>
    <row r="2465" spans="1:10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 s="1">
        <f t="shared" si="38"/>
        <v>341.991</v>
      </c>
      <c r="H2465" t="str">
        <f>VLOOKUP(C2465,[1]products!$A:$B,2,0)</f>
        <v>Haro Flightline One ST - 2017</v>
      </c>
      <c r="I2465">
        <f>VLOOKUP(H2465,[1]products!$B:$D,3,0)</f>
        <v>6</v>
      </c>
      <c r="J2465" t="str">
        <f>VLOOKUP(I2465,[2]categories!$A$2:$B$8,2,0)</f>
        <v>Mountain Bikes</v>
      </c>
    </row>
    <row r="2466" spans="1:10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 s="1">
        <f t="shared" si="38"/>
        <v>659.281</v>
      </c>
      <c r="H2466" t="str">
        <f>VLOOKUP(C2466,[1]products!$A:$B,2,0)</f>
        <v>Sun Bicycles Lil Bolt Type-R - 2017</v>
      </c>
      <c r="I2466">
        <f>VLOOKUP(H2466,[1]products!$B:$D,3,0)</f>
        <v>3</v>
      </c>
      <c r="J2466" t="str">
        <f>VLOOKUP(I2466,[2]categories!$A$2:$B$8,2,0)</f>
        <v>Cruisers Bicycles</v>
      </c>
    </row>
    <row r="2467" spans="1:10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 s="1">
        <f t="shared" si="38"/>
        <v>215.992</v>
      </c>
      <c r="H2467" t="str">
        <f>VLOOKUP(C2467,[1]products!$A:$B,2,0)</f>
        <v>Electra Cruiser 1 (24-Inch) - 2016</v>
      </c>
      <c r="I2467">
        <f>VLOOKUP(H2467,[1]products!$B:$D,3,0)</f>
        <v>3</v>
      </c>
      <c r="J2467" t="str">
        <f>VLOOKUP(I2467,[2]categories!$A$2:$B$8,2,0)</f>
        <v>Cruisers Bicycles</v>
      </c>
    </row>
    <row r="2468" spans="1:10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 s="1">
        <f t="shared" si="38"/>
        <v>750.582</v>
      </c>
      <c r="H2468" t="str">
        <f>VLOOKUP(C2468,[1]products!$A:$B,2,0)</f>
        <v>Sun Bicycles Cruz 7 - Women's - 2017</v>
      </c>
      <c r="I2468">
        <f>VLOOKUP(H2468,[1]products!$B:$D,3,0)</f>
        <v>2</v>
      </c>
      <c r="J2468" t="str">
        <f>VLOOKUP(I2468,[2]categories!$A$2:$B$8,2,0)</f>
        <v>Comfort Bicycles</v>
      </c>
    </row>
    <row r="2469" spans="1:10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 s="1">
        <f t="shared" si="38"/>
        <v>446.4905</v>
      </c>
      <c r="H2469" t="str">
        <f>VLOOKUP(C2469,[1]products!$A:$B,2,0)</f>
        <v>Trek Session DH 27.5 Carbon Frameset - 2017</v>
      </c>
      <c r="I2469">
        <f>VLOOKUP(H2469,[1]products!$B:$D,3,0)</f>
        <v>6</v>
      </c>
      <c r="J2469" t="str">
        <f>VLOOKUP(I2469,[2]categories!$A$2:$B$8,2,0)</f>
        <v>Mountain Bikes</v>
      </c>
    </row>
    <row r="2470" spans="1:10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 s="1">
        <f t="shared" si="38"/>
        <v>151.992</v>
      </c>
      <c r="H2470" t="str">
        <f>VLOOKUP(C2470,[1]products!$A:$B,2,0)</f>
        <v>Trek Precaliber 12 Girls - 2017</v>
      </c>
      <c r="I2470">
        <f>VLOOKUP(H2470,[1]products!$B:$D,3,0)</f>
        <v>1</v>
      </c>
      <c r="J2470" t="str">
        <f>VLOOKUP(I2470,[2]categories!$A$2:$B$8,2,0)</f>
        <v>Children Bicycles</v>
      </c>
    </row>
    <row r="2471" spans="1:10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0.07</v>
      </c>
      <c r="G2471" s="1">
        <f t="shared" si="38"/>
        <v>466.8414</v>
      </c>
      <c r="H2471" t="str">
        <f>VLOOKUP(C2471,[1]products!$A:$B,2,0)</f>
        <v>Sun Bicycles Revolutions 24 - Girl's - 2017</v>
      </c>
      <c r="I2471">
        <f>VLOOKUP(H2471,[1]products!$B:$D,3,0)</f>
        <v>3</v>
      </c>
      <c r="J2471" t="str">
        <f>VLOOKUP(I2471,[2]categories!$A$2:$B$8,2,0)</f>
        <v>Cruisers Bicycles</v>
      </c>
    </row>
    <row r="2472" spans="1:10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0.07</v>
      </c>
      <c r="G2472" s="1">
        <f t="shared" si="38"/>
        <v>708.6507</v>
      </c>
      <c r="H2472" t="str">
        <f>VLOOKUP(C2472,[1]products!$A:$B,2,0)</f>
        <v>Sun Bicycles Brickell Tandem CB - 2017</v>
      </c>
      <c r="I2472">
        <f>VLOOKUP(H2472,[1]products!$B:$D,3,0)</f>
        <v>3</v>
      </c>
      <c r="J2472" t="str">
        <f>VLOOKUP(I2472,[2]categories!$A$2:$B$8,2,0)</f>
        <v>Cruisers Bicycles</v>
      </c>
    </row>
    <row r="2473" spans="1:10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0.07</v>
      </c>
      <c r="G2473" s="1">
        <f t="shared" si="38"/>
        <v>502.1814</v>
      </c>
      <c r="H2473" t="str">
        <f>VLOOKUP(C2473,[1]products!$A:$B,2,0)</f>
        <v>Electra Cruiser 1 (24-Inch) - 2016</v>
      </c>
      <c r="I2473">
        <f>VLOOKUP(H2473,[1]products!$B:$D,3,0)</f>
        <v>3</v>
      </c>
      <c r="J2473" t="str">
        <f>VLOOKUP(I2473,[2]categories!$A$2:$B$8,2,0)</f>
        <v>Cruisers Bicycles</v>
      </c>
    </row>
    <row r="2474" spans="1:10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 s="1">
        <f t="shared" si="38"/>
        <v>322.9905</v>
      </c>
      <c r="H2474" t="str">
        <f>VLOOKUP(C2474,[1]products!$A:$B,2,0)</f>
        <v>Electra Townie 7D (20-inch) - Boys' - 2017</v>
      </c>
      <c r="I2474">
        <f>VLOOKUP(H2474,[1]products!$B:$D,3,0)</f>
        <v>1</v>
      </c>
      <c r="J2474" t="str">
        <f>VLOOKUP(I2474,[2]categories!$A$2:$B$8,2,0)</f>
        <v>Children Bicycles</v>
      </c>
    </row>
    <row r="2475" spans="1:10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0.07</v>
      </c>
      <c r="G2475" s="1">
        <f t="shared" si="38"/>
        <v>1311.2907</v>
      </c>
      <c r="H2475" t="str">
        <f>VLOOKUP(C2475,[1]products!$A:$B,2,0)</f>
        <v>Haro SR 1.3 - 2017</v>
      </c>
      <c r="I2475">
        <f>VLOOKUP(H2475,[1]products!$B:$D,3,0)</f>
        <v>6</v>
      </c>
      <c r="J2475" t="str">
        <f>VLOOKUP(I2475,[2]categories!$A$2:$B$8,2,0)</f>
        <v>Mountain Bikes</v>
      </c>
    </row>
    <row r="2476" spans="1:10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 s="1">
        <f t="shared" si="38"/>
        <v>3199.992</v>
      </c>
      <c r="H2476" t="str">
        <f>VLOOKUP(C2476,[1]products!$A:$B,2,0)</f>
        <v>Trek Slash 8 27.5 - 2016</v>
      </c>
      <c r="I2476">
        <f>VLOOKUP(H2476,[1]products!$B:$D,3,0)</f>
        <v>6</v>
      </c>
      <c r="J2476" t="str">
        <f>VLOOKUP(I2476,[2]categories!$A$2:$B$8,2,0)</f>
        <v>Mountain Bikes</v>
      </c>
    </row>
    <row r="2477" spans="1:10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 s="1">
        <f t="shared" si="38"/>
        <v>854.981</v>
      </c>
      <c r="H2477" t="str">
        <f>VLOOKUP(C2477,[1]products!$A:$B,2,0)</f>
        <v>Sun Bicycles Cruz 3 - 2017</v>
      </c>
      <c r="I2477">
        <f>VLOOKUP(H2477,[1]products!$B:$D,3,0)</f>
        <v>3</v>
      </c>
      <c r="J2477" t="str">
        <f>VLOOKUP(I2477,[2]categories!$A$2:$B$8,2,0)</f>
        <v>Cruisers Bicycles</v>
      </c>
    </row>
    <row r="2478" spans="1:10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 s="1">
        <f t="shared" si="38"/>
        <v>446.4905</v>
      </c>
      <c r="H2478" t="str">
        <f>VLOOKUP(C2478,[1]products!$A:$B,2,0)</f>
        <v>Surly Wednesday Frameset - 2017</v>
      </c>
      <c r="I2478">
        <f>VLOOKUP(H2478,[1]products!$B:$D,3,0)</f>
        <v>6</v>
      </c>
      <c r="J2478" t="str">
        <f>VLOOKUP(I2478,[2]categories!$A$2:$B$8,2,0)</f>
        <v>Mountain Bikes</v>
      </c>
    </row>
    <row r="2479" spans="1:10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 s="1">
        <f t="shared" si="38"/>
        <v>5129.981</v>
      </c>
      <c r="H2479" t="str">
        <f>VLOOKUP(C2479,[1]products!$A:$B,2,0)</f>
        <v>Trek Domane S 6 - 2017</v>
      </c>
      <c r="I2479">
        <f>VLOOKUP(H2479,[1]products!$B:$D,3,0)</f>
        <v>7</v>
      </c>
      <c r="J2479" t="str">
        <f>VLOOKUP(I2479,[2]categories!$A$2:$B$8,2,0)</f>
        <v>Road Bikes</v>
      </c>
    </row>
    <row r="2480" spans="1:10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 s="1">
        <f t="shared" si="38"/>
        <v>555.184</v>
      </c>
      <c r="H2480" t="str">
        <f>VLOOKUP(C2480,[1]products!$A:$B,2,0)</f>
        <v>Sun Bicycles Lil Bolt Type-R - 2017</v>
      </c>
      <c r="I2480">
        <f>VLOOKUP(H2480,[1]products!$B:$D,3,0)</f>
        <v>3</v>
      </c>
      <c r="J2480" t="str">
        <f>VLOOKUP(I2480,[2]categories!$A$2:$B$8,2,0)</f>
        <v>Cruisers Bicycles</v>
      </c>
    </row>
    <row r="2481" spans="1:10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0.07</v>
      </c>
      <c r="G2481" s="1">
        <f t="shared" si="38"/>
        <v>3254.9907</v>
      </c>
      <c r="H2481" t="str">
        <f>VLOOKUP(C2481,[1]products!$A:$B,2,0)</f>
        <v>Trek Boone Race Shop Limited - 2017</v>
      </c>
      <c r="I2481">
        <f>VLOOKUP(H2481,[1]products!$B:$D,3,0)</f>
        <v>4</v>
      </c>
      <c r="J2481" t="str">
        <f>VLOOKUP(I2481,[2]categories!$A$2:$B$8,2,0)</f>
        <v>Cyclocross Bicycles</v>
      </c>
    </row>
    <row r="2482" spans="1:10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 s="1">
        <f t="shared" si="38"/>
        <v>359.992</v>
      </c>
      <c r="H2482" t="str">
        <f>VLOOKUP(C2482,[1]products!$A:$B,2,0)</f>
        <v>Sun Bicycles Cruz 3 - 2017</v>
      </c>
      <c r="I2482">
        <f>VLOOKUP(H2482,[1]products!$B:$D,3,0)</f>
        <v>3</v>
      </c>
      <c r="J2482" t="str">
        <f>VLOOKUP(I2482,[2]categories!$A$2:$B$8,2,0)</f>
        <v>Cruisers Bicycles</v>
      </c>
    </row>
    <row r="2483" spans="1:10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 s="1">
        <f t="shared" si="38"/>
        <v>494.991</v>
      </c>
      <c r="H2483" t="str">
        <f>VLOOKUP(C2483,[1]products!$A:$B,2,0)</f>
        <v>Haro Flightline Two 26 Plus - 2017</v>
      </c>
      <c r="I2483">
        <f>VLOOKUP(H2483,[1]products!$B:$D,3,0)</f>
        <v>6</v>
      </c>
      <c r="J2483" t="str">
        <f>VLOOKUP(I2483,[2]categories!$A$2:$B$8,2,0)</f>
        <v>Mountain Bikes</v>
      </c>
    </row>
    <row r="2484" spans="1:10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 s="1">
        <f t="shared" si="38"/>
        <v>1599.984</v>
      </c>
      <c r="H2484" t="str">
        <f>VLOOKUP(C2484,[1]products!$A:$B,2,0)</f>
        <v>Surly Ice Cream Truck Frameset - 2017</v>
      </c>
      <c r="I2484">
        <f>VLOOKUP(H2484,[1]products!$B:$D,3,0)</f>
        <v>6</v>
      </c>
      <c r="J2484" t="str">
        <f>VLOOKUP(I2484,[2]categories!$A$2:$B$8,2,0)</f>
        <v>Mountain Bikes</v>
      </c>
    </row>
    <row r="2485" spans="1:10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 s="1">
        <f t="shared" si="38"/>
        <v>792.281</v>
      </c>
      <c r="H2485" t="str">
        <f>VLOOKUP(C2485,[1]products!$A:$B,2,0)</f>
        <v>Sun Bicycles Cruz 7 - 2017</v>
      </c>
      <c r="I2485">
        <f>VLOOKUP(H2485,[1]products!$B:$D,3,0)</f>
        <v>3</v>
      </c>
      <c r="J2485" t="str">
        <f>VLOOKUP(I2485,[2]categories!$A$2:$B$8,2,0)</f>
        <v>Cruisers Bicycles</v>
      </c>
    </row>
    <row r="2486" spans="1:10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0.07</v>
      </c>
      <c r="G2486" s="1">
        <f t="shared" si="38"/>
        <v>6509.9814</v>
      </c>
      <c r="H2486" t="str">
        <f>VLOOKUP(C2486,[1]products!$A:$B,2,0)</f>
        <v>Trek Boone 7 - 2017</v>
      </c>
      <c r="I2486">
        <f>VLOOKUP(H2486,[1]products!$B:$D,3,0)</f>
        <v>4</v>
      </c>
      <c r="J2486" t="str">
        <f>VLOOKUP(I2486,[2]categories!$A$2:$B$8,2,0)</f>
        <v>Cyclocross Bicycles</v>
      </c>
    </row>
    <row r="2487" spans="1:10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 s="1">
        <f t="shared" si="38"/>
        <v>674.991</v>
      </c>
      <c r="H2487" t="str">
        <f>VLOOKUP(C2487,[1]products!$A:$B,2,0)</f>
        <v>Surly Ogre Frameset - 2017</v>
      </c>
      <c r="I2487">
        <f>VLOOKUP(H2487,[1]products!$B:$D,3,0)</f>
        <v>7</v>
      </c>
      <c r="J2487" t="str">
        <f>VLOOKUP(I2487,[2]categories!$A$2:$B$8,2,0)</f>
        <v>Road Bikes</v>
      </c>
    </row>
    <row r="2488" spans="1:10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 s="1">
        <f t="shared" si="38"/>
        <v>845.982</v>
      </c>
      <c r="H2488" t="str">
        <f>VLOOKUP(C2488,[1]products!$A:$B,2,0)</f>
        <v>Trek Farley Alloy Frameset - 2017</v>
      </c>
      <c r="I2488">
        <f>VLOOKUP(H2488,[1]products!$B:$D,3,0)</f>
        <v>6</v>
      </c>
      <c r="J2488" t="str">
        <f>VLOOKUP(I2488,[2]categories!$A$2:$B$8,2,0)</f>
        <v>Mountain Bikes</v>
      </c>
    </row>
    <row r="2489" spans="1:10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 s="1">
        <f t="shared" si="38"/>
        <v>5224.9905</v>
      </c>
      <c r="H2489" t="str">
        <f>VLOOKUP(C2489,[1]products!$A:$B,2,0)</f>
        <v>Trek Domane SLR 6 Disc - 2017</v>
      </c>
      <c r="I2489">
        <f>VLOOKUP(H2489,[1]products!$B:$D,3,0)</f>
        <v>7</v>
      </c>
      <c r="J2489" t="str">
        <f>VLOOKUP(I2489,[2]categories!$A$2:$B$8,2,0)</f>
        <v>Road Bikes</v>
      </c>
    </row>
    <row r="2490" spans="1:10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 s="1">
        <f t="shared" si="38"/>
        <v>1899.981</v>
      </c>
      <c r="H2490" t="str">
        <f>VLOOKUP(C2490,[1]products!$A:$B,2,0)</f>
        <v>Surly Big Dummy Frameset - 2017</v>
      </c>
      <c r="I2490">
        <f>VLOOKUP(H2490,[1]products!$B:$D,3,0)</f>
        <v>6</v>
      </c>
      <c r="J2490" t="str">
        <f>VLOOKUP(I2490,[2]categories!$A$2:$B$8,2,0)</f>
        <v>Mountain Bikes</v>
      </c>
    </row>
    <row r="2491" spans="1:10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 s="1">
        <f t="shared" si="38"/>
        <v>674.991</v>
      </c>
      <c r="H2491" t="str">
        <f>VLOOKUP(C2491,[1]products!$A:$B,2,0)</f>
        <v>Sun Bicycles Brickell Tandem 7 - 2017</v>
      </c>
      <c r="I2491">
        <f>VLOOKUP(H2491,[1]products!$B:$D,3,0)</f>
        <v>3</v>
      </c>
      <c r="J2491" t="str">
        <f>VLOOKUP(I2491,[2]categories!$A$2:$B$8,2,0)</f>
        <v>Cruisers Bicycles</v>
      </c>
    </row>
    <row r="2492" spans="1:10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0.07</v>
      </c>
      <c r="G2492" s="1">
        <f t="shared" si="38"/>
        <v>1487.9814</v>
      </c>
      <c r="H2492" t="str">
        <f>VLOOKUP(C2492,[1]products!$A:$B,2,0)</f>
        <v>Electra Glam Punk 3i Ladies' - 2017</v>
      </c>
      <c r="I2492">
        <f>VLOOKUP(H2492,[1]products!$B:$D,3,0)</f>
        <v>3</v>
      </c>
      <c r="J2492" t="str">
        <f>VLOOKUP(I2492,[2]categories!$A$2:$B$8,2,0)</f>
        <v>Cruisers Bicycles</v>
      </c>
    </row>
    <row r="2493" spans="1:10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 s="1">
        <f t="shared" si="38"/>
        <v>2377.782</v>
      </c>
      <c r="H2493" t="str">
        <f>VLOOKUP(C2493,[1]products!$A:$B,2,0)</f>
        <v>Heller Shagamaw Frame - 2016</v>
      </c>
      <c r="I2493">
        <f>VLOOKUP(H2493,[1]products!$B:$D,3,0)</f>
        <v>6</v>
      </c>
      <c r="J2493" t="str">
        <f>VLOOKUP(I2493,[2]categories!$A$2:$B$8,2,0)</f>
        <v>Mountain Bikes</v>
      </c>
    </row>
    <row r="2494" spans="1:10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 s="1">
        <f t="shared" si="38"/>
        <v>1006.981</v>
      </c>
      <c r="H2494" t="str">
        <f>VLOOKUP(C2494,[1]products!$A:$B,2,0)</f>
        <v>Electra Moto 1 - 2016</v>
      </c>
      <c r="I2494">
        <f>VLOOKUP(H2494,[1]products!$B:$D,3,0)</f>
        <v>3</v>
      </c>
      <c r="J2494" t="str">
        <f>VLOOKUP(I2494,[2]categories!$A$2:$B$8,2,0)</f>
        <v>Cruisers Bicycles</v>
      </c>
    </row>
    <row r="2495" spans="1:10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0.07</v>
      </c>
      <c r="G2495" s="1">
        <f t="shared" si="38"/>
        <v>251.0907</v>
      </c>
      <c r="H2495" t="str">
        <f>VLOOKUP(C2495,[1]products!$A:$B,2,0)</f>
        <v>Electra Girl's Hawaii 1 (16-inch) - 2015/2016</v>
      </c>
      <c r="I2495">
        <f>VLOOKUP(H2495,[1]products!$B:$D,3,0)</f>
        <v>3</v>
      </c>
      <c r="J2495" t="str">
        <f>VLOOKUP(I2495,[2]categories!$A$2:$B$8,2,0)</f>
        <v>Cruisers Bicycles</v>
      </c>
    </row>
    <row r="2496" spans="1:10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 s="1">
        <f t="shared" si="38"/>
        <v>376.792</v>
      </c>
      <c r="H2496" t="str">
        <f>VLOOKUP(C2496,[1]products!$A:$B,2,0)</f>
        <v>Sun Bicycles Drifter 7 - Women's - 2017</v>
      </c>
      <c r="I2496">
        <f>VLOOKUP(H2496,[1]products!$B:$D,3,0)</f>
        <v>2</v>
      </c>
      <c r="J2496" t="str">
        <f>VLOOKUP(I2496,[2]categories!$A$2:$B$8,2,0)</f>
        <v>Comfort Bicycles</v>
      </c>
    </row>
    <row r="2497" spans="1:10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 s="1">
        <f t="shared" si="38"/>
        <v>686.4</v>
      </c>
      <c r="H2497" t="str">
        <f>VLOOKUP(C2497,[1]products!$A:$B,2,0)</f>
        <v>Pure Cycles Vine 8-Speed - 2016</v>
      </c>
      <c r="I2497">
        <f>VLOOKUP(H2497,[1]products!$B:$D,3,0)</f>
        <v>3</v>
      </c>
      <c r="J2497" t="str">
        <f>VLOOKUP(I2497,[2]categories!$A$2:$B$8,2,0)</f>
        <v>Cruisers Bicycles</v>
      </c>
    </row>
    <row r="2498" spans="1:10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 s="1">
        <f t="shared" ref="G2498:G2561" si="39">D2498*E2498*(1-F2498)</f>
        <v>401.584</v>
      </c>
      <c r="H2498" t="str">
        <f>VLOOKUP(C2498,[1]products!$A:$B,2,0)</f>
        <v>Sun Bicycles Revolutions 24 - 2017</v>
      </c>
      <c r="I2498">
        <f>VLOOKUP(H2498,[1]products!$B:$D,3,0)</f>
        <v>3</v>
      </c>
      <c r="J2498" t="str">
        <f>VLOOKUP(I2498,[2]categories!$A$2:$B$8,2,0)</f>
        <v>Cruisers Bicycles</v>
      </c>
    </row>
    <row r="2499" spans="1:10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0.07</v>
      </c>
      <c r="G2499" s="1">
        <f t="shared" si="39"/>
        <v>325.4907</v>
      </c>
      <c r="H2499" t="str">
        <f>VLOOKUP(C2499,[1]products!$A:$B,2,0)</f>
        <v>Electra Moto 3i (20-inch) - Boy's - 2017</v>
      </c>
      <c r="I2499">
        <f>VLOOKUP(H2499,[1]products!$B:$D,3,0)</f>
        <v>1</v>
      </c>
      <c r="J2499" t="str">
        <f>VLOOKUP(I2499,[2]categories!$A$2:$B$8,2,0)</f>
        <v>Children Bicycles</v>
      </c>
    </row>
    <row r="2500" spans="1:10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 s="1">
        <f t="shared" si="39"/>
        <v>792.281</v>
      </c>
      <c r="H2500" t="str">
        <f>VLOOKUP(C2500,[1]products!$A:$B,2,0)</f>
        <v>Sun Bicycles Cruz 7 - 2017</v>
      </c>
      <c r="I2500">
        <f>VLOOKUP(H2500,[1]products!$B:$D,3,0)</f>
        <v>3</v>
      </c>
      <c r="J2500" t="str">
        <f>VLOOKUP(I2500,[2]categories!$A$2:$B$8,2,0)</f>
        <v>Cruisers Bicycles</v>
      </c>
    </row>
    <row r="2501" spans="1:10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0.07</v>
      </c>
      <c r="G2501" s="1">
        <f t="shared" si="39"/>
        <v>697.4907</v>
      </c>
      <c r="H2501" t="str">
        <f>VLOOKUP(C2501,[1]products!$A:$B,2,0)</f>
        <v>Sun Bicycles Brickell Tandem 7 - 2017</v>
      </c>
      <c r="I2501">
        <f>VLOOKUP(H2501,[1]products!$B:$D,3,0)</f>
        <v>3</v>
      </c>
      <c r="J2501" t="str">
        <f>VLOOKUP(I2501,[2]categories!$A$2:$B$8,2,0)</f>
        <v>Cruisers Bicycles</v>
      </c>
    </row>
    <row r="2502" spans="1:10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 s="1">
        <f t="shared" si="39"/>
        <v>496.791</v>
      </c>
      <c r="H2502" t="str">
        <f>VLOOKUP(C2502,[1]products!$A:$B,2,0)</f>
        <v>Sun Bicycles Streamway 3 - 2017</v>
      </c>
      <c r="I2502">
        <f>VLOOKUP(H2502,[1]products!$B:$D,3,0)</f>
        <v>2</v>
      </c>
      <c r="J2502" t="str">
        <f>VLOOKUP(I2502,[2]categories!$A$2:$B$8,2,0)</f>
        <v>Comfort Bicycles</v>
      </c>
    </row>
    <row r="2503" spans="1:10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 s="1">
        <f t="shared" si="39"/>
        <v>441.592</v>
      </c>
      <c r="H2503" t="str">
        <f>VLOOKUP(C2503,[1]products!$A:$B,2,0)</f>
        <v>Sun Bicycles Streamway 3 - 2017</v>
      </c>
      <c r="I2503">
        <f>VLOOKUP(H2503,[1]products!$B:$D,3,0)</f>
        <v>2</v>
      </c>
      <c r="J2503" t="str">
        <f>VLOOKUP(I2503,[2]categories!$A$2:$B$8,2,0)</f>
        <v>Comfort Bicycles</v>
      </c>
    </row>
    <row r="2504" spans="1:10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 s="1">
        <f t="shared" si="39"/>
        <v>242.991</v>
      </c>
      <c r="H2504" t="str">
        <f>VLOOKUP(C2504,[1]products!$A:$B,2,0)</f>
        <v>Electra Cruiser 1 (24-Inch) - 2016</v>
      </c>
      <c r="I2504">
        <f>VLOOKUP(H2504,[1]products!$B:$D,3,0)</f>
        <v>3</v>
      </c>
      <c r="J2504" t="str">
        <f>VLOOKUP(I2504,[2]categories!$A$2:$B$8,2,0)</f>
        <v>Cruisers Bicycles</v>
      </c>
    </row>
    <row r="2505" spans="1:10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 s="1">
        <f t="shared" si="39"/>
        <v>751.984</v>
      </c>
      <c r="H2505" t="str">
        <f>VLOOKUP(C2505,[1]products!$A:$B,2,0)</f>
        <v>Surly Ice Cream Truck Frameset - 2016</v>
      </c>
      <c r="I2505">
        <f>VLOOKUP(H2505,[1]products!$B:$D,3,0)</f>
        <v>6</v>
      </c>
      <c r="J2505" t="str">
        <f>VLOOKUP(I2505,[2]categories!$A$2:$B$8,2,0)</f>
        <v>Mountain Bikes</v>
      </c>
    </row>
    <row r="2506" spans="1:10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 s="1">
        <f t="shared" si="39"/>
        <v>853.1</v>
      </c>
      <c r="H2506" t="str">
        <f>VLOOKUP(C2506,[1]products!$A:$B,2,0)</f>
        <v>Pure Cycles Western 3-Speed - Women's - 2015/2016</v>
      </c>
      <c r="I2506">
        <f>VLOOKUP(H2506,[1]products!$B:$D,3,0)</f>
        <v>3</v>
      </c>
      <c r="J2506" t="str">
        <f>VLOOKUP(I2506,[2]categories!$A$2:$B$8,2,0)</f>
        <v>Cruisers Bicycles</v>
      </c>
    </row>
    <row r="2507" spans="1:10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 s="1">
        <f t="shared" si="39"/>
        <v>783.984</v>
      </c>
      <c r="H2507" t="str">
        <f>VLOOKUP(C2507,[1]products!$A:$B,2,0)</f>
        <v>Electra Townie 3i EQ (20-inch) - Boys' - 2017</v>
      </c>
      <c r="I2507">
        <f>VLOOKUP(H2507,[1]products!$B:$D,3,0)</f>
        <v>1</v>
      </c>
      <c r="J2507" t="str">
        <f>VLOOKUP(I2507,[2]categories!$A$2:$B$8,2,0)</f>
        <v>Children Bicycles</v>
      </c>
    </row>
    <row r="2508" spans="1:10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0.07</v>
      </c>
      <c r="G2508" s="1">
        <f t="shared" si="39"/>
        <v>1394.9814</v>
      </c>
      <c r="H2508" t="str">
        <f>VLOOKUP(C2508,[1]products!$A:$B,2,0)</f>
        <v>Ritchey Timberwolf Frameset - 2016</v>
      </c>
      <c r="I2508">
        <f>VLOOKUP(H2508,[1]products!$B:$D,3,0)</f>
        <v>6</v>
      </c>
      <c r="J2508" t="str">
        <f>VLOOKUP(I2508,[2]categories!$A$2:$B$8,2,0)</f>
        <v>Mountain Bikes</v>
      </c>
    </row>
    <row r="2509" spans="1:10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 s="1">
        <f t="shared" si="39"/>
        <v>239.984</v>
      </c>
      <c r="H2509" t="str">
        <f>VLOOKUP(C2509,[1]products!$A:$B,2,0)</f>
        <v>Trek Boy's Kickster - 2015/2017</v>
      </c>
      <c r="I2509">
        <f>VLOOKUP(H2509,[1]products!$B:$D,3,0)</f>
        <v>1</v>
      </c>
      <c r="J2509" t="str">
        <f>VLOOKUP(I2509,[2]categories!$A$2:$B$8,2,0)</f>
        <v>Children Bicycles</v>
      </c>
    </row>
    <row r="2510" spans="1:10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0.07</v>
      </c>
      <c r="G2510" s="1">
        <f t="shared" si="39"/>
        <v>613.7907</v>
      </c>
      <c r="H2510" t="str">
        <f>VLOOKUP(C2510,[1]products!$A:$B,2,0)</f>
        <v>Electra Amsterdam Original 3i Ladies' - 2017</v>
      </c>
      <c r="I2510">
        <f>VLOOKUP(H2510,[1]products!$B:$D,3,0)</f>
        <v>3</v>
      </c>
      <c r="J2510" t="str">
        <f>VLOOKUP(I2510,[2]categories!$A$2:$B$8,2,0)</f>
        <v>Cruisers Bicycles</v>
      </c>
    </row>
    <row r="2511" spans="1:10">
      <c r="A2511">
        <v>880</v>
      </c>
      <c r="B2511">
        <v>1</v>
      </c>
      <c r="C2511">
        <v>28</v>
      </c>
      <c r="D2511">
        <v>2</v>
      </c>
      <c r="E2511">
        <v>2499.99</v>
      </c>
      <c r="F2511">
        <v>0.2</v>
      </c>
      <c r="G2511" s="1">
        <f t="shared" si="39"/>
        <v>3999.984</v>
      </c>
      <c r="H2511" t="str">
        <f>VLOOKUP(C2511,[1]products!$A:$B,2,0)</f>
        <v>Surly Karate Monkey 27.5+ Frameset - 2017</v>
      </c>
      <c r="I2511">
        <f>VLOOKUP(H2511,[1]products!$B:$D,3,0)</f>
        <v>6</v>
      </c>
      <c r="J2511" t="str">
        <f>VLOOKUP(I2511,[2]categories!$A$2:$B$8,2,0)</f>
        <v>Mountain Bikes</v>
      </c>
    </row>
    <row r="2512" spans="1:10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 s="1">
        <f t="shared" si="39"/>
        <v>269.991</v>
      </c>
      <c r="H2512" t="str">
        <f>VLOOKUP(C2512,[1]products!$A:$B,2,0)</f>
        <v>Electra Girl's Hawaii 1 16" - 2017</v>
      </c>
      <c r="I2512">
        <f>VLOOKUP(H2512,[1]products!$B:$D,3,0)</f>
        <v>3</v>
      </c>
      <c r="J2512" t="str">
        <f>VLOOKUP(I2512,[2]categories!$A$2:$B$8,2,0)</f>
        <v>Cruisers Bicycles</v>
      </c>
    </row>
    <row r="2513" spans="1:10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0.07</v>
      </c>
      <c r="G2513" s="1">
        <f t="shared" si="39"/>
        <v>1228.5207</v>
      </c>
      <c r="H2513" t="str">
        <f>VLOOKUP(C2513,[1]products!$A:$B,2,0)</f>
        <v>Heller Shagamaw Frame - 2016</v>
      </c>
      <c r="I2513">
        <f>VLOOKUP(H2513,[1]products!$B:$D,3,0)</f>
        <v>6</v>
      </c>
      <c r="J2513" t="str">
        <f>VLOOKUP(I2513,[2]categories!$A$2:$B$8,2,0)</f>
        <v>Mountain Bikes</v>
      </c>
    </row>
    <row r="2514" spans="1:10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 s="1">
        <f t="shared" si="39"/>
        <v>539.991</v>
      </c>
      <c r="H2514" t="str">
        <f>VLOOKUP(C2514,[1]products!$A:$B,2,0)</f>
        <v>Electra Townie Original 7D EQ - 2016</v>
      </c>
      <c r="I2514">
        <f>VLOOKUP(H2514,[1]products!$B:$D,3,0)</f>
        <v>3</v>
      </c>
      <c r="J2514" t="str">
        <f>VLOOKUP(I2514,[2]categories!$A$2:$B$8,2,0)</f>
        <v>Cruisers Bicycles</v>
      </c>
    </row>
    <row r="2515" spans="1:10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 s="1">
        <f t="shared" si="39"/>
        <v>200.792</v>
      </c>
      <c r="H2515" t="str">
        <f>VLOOKUP(C2515,[1]products!$A:$B,2,0)</f>
        <v>Sun Bicycles Revolutions 24 - 2017</v>
      </c>
      <c r="I2515">
        <f>VLOOKUP(H2515,[1]products!$B:$D,3,0)</f>
        <v>3</v>
      </c>
      <c r="J2515" t="str">
        <f>VLOOKUP(I2515,[2]categories!$A$2:$B$8,2,0)</f>
        <v>Cruisers Bicycles</v>
      </c>
    </row>
    <row r="2516" spans="1:10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0.07</v>
      </c>
      <c r="G2516" s="1">
        <f t="shared" si="39"/>
        <v>455.6907</v>
      </c>
      <c r="H2516" t="str">
        <f>VLOOKUP(C2516,[1]products!$A:$B,2,0)</f>
        <v>Electra Straight 8 3i (20-inch) - Boy's - 2017</v>
      </c>
      <c r="I2516">
        <f>VLOOKUP(H2516,[1]products!$B:$D,3,0)</f>
        <v>1</v>
      </c>
      <c r="J2516" t="str">
        <f>VLOOKUP(I2516,[2]categories!$A$2:$B$8,2,0)</f>
        <v>Children Bicycles</v>
      </c>
    </row>
    <row r="2517" spans="1:10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 s="1">
        <f t="shared" si="39"/>
        <v>4799.992</v>
      </c>
      <c r="H2517" t="str">
        <f>VLOOKUP(C2517,[1]products!$A:$B,2,0)</f>
        <v>Trek Silque SLR 7 Women's - 2017</v>
      </c>
      <c r="I2517">
        <f>VLOOKUP(H2517,[1]products!$B:$D,3,0)</f>
        <v>7</v>
      </c>
      <c r="J2517" t="str">
        <f>VLOOKUP(I2517,[2]categories!$A$2:$B$8,2,0)</f>
        <v>Road Bikes</v>
      </c>
    </row>
    <row r="2518" spans="1:10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 s="1">
        <f t="shared" si="39"/>
        <v>930.981</v>
      </c>
      <c r="H2518" t="str">
        <f>VLOOKUP(C2518,[1]products!$A:$B,2,0)</f>
        <v>Electra Townie Original 7D - 2017</v>
      </c>
      <c r="I2518">
        <f>VLOOKUP(H2518,[1]products!$B:$D,3,0)</f>
        <v>3</v>
      </c>
      <c r="J2518" t="str">
        <f>VLOOKUP(I2518,[2]categories!$A$2:$B$8,2,0)</f>
        <v>Cruisers Bicycles</v>
      </c>
    </row>
    <row r="2519" spans="1:10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 s="1">
        <f t="shared" si="39"/>
        <v>225.891</v>
      </c>
      <c r="H2519" t="str">
        <f>VLOOKUP(C2519,[1]products!$A:$B,2,0)</f>
        <v>Sun Bicycles Revolutions 24 - Girl's - 2017</v>
      </c>
      <c r="I2519">
        <f>VLOOKUP(H2519,[1]products!$B:$D,3,0)</f>
        <v>3</v>
      </c>
      <c r="J2519" t="str">
        <f>VLOOKUP(I2519,[2]categories!$A$2:$B$8,2,0)</f>
        <v>Cruisers Bicycles</v>
      </c>
    </row>
    <row r="2520" spans="1:10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0.07</v>
      </c>
      <c r="G2520" s="1">
        <f t="shared" si="39"/>
        <v>6509.9814</v>
      </c>
      <c r="H2520" t="str">
        <f>VLOOKUP(C2520,[1]products!$A:$B,2,0)</f>
        <v>Trek Boone Race Shop Limited - 2017</v>
      </c>
      <c r="I2520">
        <f>VLOOKUP(H2520,[1]products!$B:$D,3,0)</f>
        <v>4</v>
      </c>
      <c r="J2520" t="str">
        <f>VLOOKUP(I2520,[2]categories!$A$2:$B$8,2,0)</f>
        <v>Cyclocross Bicycles</v>
      </c>
    </row>
    <row r="2521" spans="1:10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 s="1">
        <f t="shared" si="39"/>
        <v>719.984</v>
      </c>
      <c r="H2521" t="str">
        <f>VLOOKUP(C2521,[1]products!$A:$B,2,0)</f>
        <v>Sun Bicycles Cruz 3 - Women's - 2017</v>
      </c>
      <c r="I2521">
        <f>VLOOKUP(H2521,[1]products!$B:$D,3,0)</f>
        <v>2</v>
      </c>
      <c r="J2521" t="str">
        <f>VLOOKUP(I2521,[2]categories!$A$2:$B$8,2,0)</f>
        <v>Comfort Bicycles</v>
      </c>
    </row>
    <row r="2522" spans="1:10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0.07</v>
      </c>
      <c r="G2522" s="1">
        <f t="shared" si="39"/>
        <v>3719.9814</v>
      </c>
      <c r="H2522" t="str">
        <f>VLOOKUP(C2522,[1]products!$A:$B,2,0)</f>
        <v>Trek Emonda S 5 - 2017</v>
      </c>
      <c r="I2522">
        <f>VLOOKUP(H2522,[1]products!$B:$D,3,0)</f>
        <v>7</v>
      </c>
      <c r="J2522" t="str">
        <f>VLOOKUP(I2522,[2]categories!$A$2:$B$8,2,0)</f>
        <v>Road Bikes</v>
      </c>
    </row>
    <row r="2523" spans="1:10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 s="1">
        <f t="shared" si="39"/>
        <v>512.9905</v>
      </c>
      <c r="H2523" t="str">
        <f>VLOOKUP(C2523,[1]products!$A:$B,2,0)</f>
        <v>Haro SR 1.1 - 2017</v>
      </c>
      <c r="I2523">
        <f>VLOOKUP(H2523,[1]products!$B:$D,3,0)</f>
        <v>6</v>
      </c>
      <c r="J2523" t="str">
        <f>VLOOKUP(I2523,[2]categories!$A$2:$B$8,2,0)</f>
        <v>Mountain Bikes</v>
      </c>
    </row>
    <row r="2524" spans="1:10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 s="1">
        <f t="shared" si="39"/>
        <v>2509.881</v>
      </c>
      <c r="H2524" t="str">
        <f>VLOOKUP(C2524,[1]products!$A:$B,2,0)</f>
        <v>Heller Shagamaw Frame - 2016</v>
      </c>
      <c r="I2524">
        <f>VLOOKUP(H2524,[1]products!$B:$D,3,0)</f>
        <v>6</v>
      </c>
      <c r="J2524" t="str">
        <f>VLOOKUP(I2524,[2]categories!$A$2:$B$8,2,0)</f>
        <v>Mountain Bikes</v>
      </c>
    </row>
    <row r="2525" spans="1:10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 s="1">
        <f t="shared" si="39"/>
        <v>6649.981</v>
      </c>
      <c r="H2525" t="str">
        <f>VLOOKUP(C2525,[1]products!$A:$B,2,0)</f>
        <v>Trek Domane SL 6 - 2017</v>
      </c>
      <c r="I2525">
        <f>VLOOKUP(H2525,[1]products!$B:$D,3,0)</f>
        <v>7</v>
      </c>
      <c r="J2525" t="str">
        <f>VLOOKUP(I2525,[2]categories!$A$2:$B$8,2,0)</f>
        <v>Road Bikes</v>
      </c>
    </row>
    <row r="2526" spans="1:10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0.07</v>
      </c>
      <c r="G2526" s="1">
        <f t="shared" si="39"/>
        <v>775.6014</v>
      </c>
      <c r="H2526" t="str">
        <f>VLOOKUP(C2526,[1]products!$A:$B,2,0)</f>
        <v>Sun Bicycles Cruz 7 - 2017</v>
      </c>
      <c r="I2526">
        <f>VLOOKUP(H2526,[1]products!$B:$D,3,0)</f>
        <v>3</v>
      </c>
      <c r="J2526" t="str">
        <f>VLOOKUP(I2526,[2]categories!$A$2:$B$8,2,0)</f>
        <v>Cruisers Bicycles</v>
      </c>
    </row>
    <row r="2527" spans="1:10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 s="1">
        <f t="shared" si="39"/>
        <v>2255.984</v>
      </c>
      <c r="H2527" t="str">
        <f>VLOOKUP(C2527,[1]products!$A:$B,2,0)</f>
        <v>Haro SR 1.3 - 2017</v>
      </c>
      <c r="I2527">
        <f>VLOOKUP(H2527,[1]products!$B:$D,3,0)</f>
        <v>6</v>
      </c>
      <c r="J2527" t="str">
        <f>VLOOKUP(I2527,[2]categories!$A$2:$B$8,2,0)</f>
        <v>Mountain Bikes</v>
      </c>
    </row>
    <row r="2528" spans="1:10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 s="1">
        <f t="shared" si="39"/>
        <v>1394.1</v>
      </c>
      <c r="H2528" t="str">
        <f>VLOOKUP(C2528,[1]products!$A:$B,2,0)</f>
        <v>Surly Straggler - 2016</v>
      </c>
      <c r="I2528">
        <f>VLOOKUP(H2528,[1]products!$B:$D,3,0)</f>
        <v>4</v>
      </c>
      <c r="J2528" t="str">
        <f>VLOOKUP(I2528,[2]categories!$A$2:$B$8,2,0)</f>
        <v>Cyclocross Bicycles</v>
      </c>
    </row>
    <row r="2529" spans="1:10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 s="1">
        <f t="shared" si="39"/>
        <v>512.981</v>
      </c>
      <c r="H2529" t="str">
        <f>VLOOKUP(C2529,[1]products!$A:$B,2,0)</f>
        <v>Electra Cruiser 1 (24-Inch) - 2016</v>
      </c>
      <c r="I2529">
        <f>VLOOKUP(H2529,[1]products!$B:$D,3,0)</f>
        <v>3</v>
      </c>
      <c r="J2529" t="str">
        <f>VLOOKUP(I2529,[2]categories!$A$2:$B$8,2,0)</f>
        <v>Cruisers Bicycles</v>
      </c>
    </row>
    <row r="2530" spans="1:10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0.07</v>
      </c>
      <c r="G2530" s="1">
        <f t="shared" si="39"/>
        <v>418.4907</v>
      </c>
      <c r="H2530" t="str">
        <f>VLOOKUP(C2530,[1]products!$A:$B,2,0)</f>
        <v>Sun Bicycles Cruz 3 - 2017</v>
      </c>
      <c r="I2530">
        <f>VLOOKUP(H2530,[1]products!$B:$D,3,0)</f>
        <v>3</v>
      </c>
      <c r="J2530" t="str">
        <f>VLOOKUP(I2530,[2]categories!$A$2:$B$8,2,0)</f>
        <v>Cruisers Bicycles</v>
      </c>
    </row>
    <row r="2531" spans="1:10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 s="1">
        <f t="shared" si="39"/>
        <v>4769.991</v>
      </c>
      <c r="H2531" t="str">
        <f>VLOOKUP(C2531,[1]products!$A:$B,2,0)</f>
        <v>Trek Fuel EX 9.8 27.5 Plus - 2017</v>
      </c>
      <c r="I2531">
        <f>VLOOKUP(H2531,[1]products!$B:$D,3,0)</f>
        <v>6</v>
      </c>
      <c r="J2531" t="str">
        <f>VLOOKUP(I2531,[2]categories!$A$2:$B$8,2,0)</f>
        <v>Mountain Bikes</v>
      </c>
    </row>
    <row r="2532" spans="1:10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 s="1">
        <f t="shared" si="39"/>
        <v>5034.9905</v>
      </c>
      <c r="H2532" t="str">
        <f>VLOOKUP(C2532,[1]products!$A:$B,2,0)</f>
        <v>Trek Remedy 9.8 - 2017</v>
      </c>
      <c r="I2532">
        <f>VLOOKUP(H2532,[1]products!$B:$D,3,0)</f>
        <v>6</v>
      </c>
      <c r="J2532" t="str">
        <f>VLOOKUP(I2532,[2]categories!$A$2:$B$8,2,0)</f>
        <v>Mountain Bikes</v>
      </c>
    </row>
    <row r="2533" spans="1:10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 s="1">
        <f t="shared" si="39"/>
        <v>949.9905</v>
      </c>
      <c r="H2533" t="str">
        <f>VLOOKUP(C2533,[1]products!$A:$B,2,0)</f>
        <v>Surly Ice Cream Truck Frameset - 2017</v>
      </c>
      <c r="I2533">
        <f>VLOOKUP(H2533,[1]products!$B:$D,3,0)</f>
        <v>6</v>
      </c>
      <c r="J2533" t="str">
        <f>VLOOKUP(I2533,[2]categories!$A$2:$B$8,2,0)</f>
        <v>Mountain Bikes</v>
      </c>
    </row>
    <row r="2534" spans="1:10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 s="1">
        <f t="shared" si="39"/>
        <v>11399.981</v>
      </c>
      <c r="H2534" t="str">
        <f>VLOOKUP(C2534,[1]products!$A:$B,2,0)</f>
        <v>Trek Silque SLR 7 Women's - 2017</v>
      </c>
      <c r="I2534">
        <f>VLOOKUP(H2534,[1]products!$B:$D,3,0)</f>
        <v>7</v>
      </c>
      <c r="J2534" t="str">
        <f>VLOOKUP(I2534,[2]categories!$A$2:$B$8,2,0)</f>
        <v>Road Bikes</v>
      </c>
    </row>
    <row r="2535" spans="1:10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 s="1">
        <f t="shared" si="39"/>
        <v>593.991</v>
      </c>
      <c r="H2535" t="str">
        <f>VLOOKUP(C2535,[1]products!$A:$B,2,0)</f>
        <v>Electra Amsterdam Original 3i - 2015/2017</v>
      </c>
      <c r="I2535">
        <f>VLOOKUP(H2535,[1]products!$B:$D,3,0)</f>
        <v>3</v>
      </c>
      <c r="J2535" t="str">
        <f>VLOOKUP(I2535,[2]categories!$A$2:$B$8,2,0)</f>
        <v>Cruisers Bicycles</v>
      </c>
    </row>
    <row r="2536" spans="1:10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 s="1">
        <f t="shared" si="39"/>
        <v>845.982</v>
      </c>
      <c r="H2536" t="str">
        <f>VLOOKUP(C2536,[1]products!$A:$B,2,0)</f>
        <v>Surly Wednesday Frameset - 2017</v>
      </c>
      <c r="I2536">
        <f>VLOOKUP(H2536,[1]products!$B:$D,3,0)</f>
        <v>6</v>
      </c>
      <c r="J2536" t="str">
        <f>VLOOKUP(I2536,[2]categories!$A$2:$B$8,2,0)</f>
        <v>Mountain Bikes</v>
      </c>
    </row>
    <row r="2537" spans="1:10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 s="1">
        <f t="shared" si="39"/>
        <v>959.984</v>
      </c>
      <c r="H2537" t="str">
        <f>VLOOKUP(C2537,[1]products!$A:$B,2,0)</f>
        <v>Electra Townie Original 7D EQ - 2016</v>
      </c>
      <c r="I2537">
        <f>VLOOKUP(H2537,[1]products!$B:$D,3,0)</f>
        <v>3</v>
      </c>
      <c r="J2537" t="str">
        <f>VLOOKUP(I2537,[2]categories!$A$2:$B$8,2,0)</f>
        <v>Cruisers Bicycles</v>
      </c>
    </row>
    <row r="2538" spans="1:10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 s="1">
        <f t="shared" si="39"/>
        <v>989.982</v>
      </c>
      <c r="H2538" t="str">
        <f>VLOOKUP(C2538,[1]products!$A:$B,2,0)</f>
        <v>Electra Townie Original 21D - 2016</v>
      </c>
      <c r="I2538">
        <f>VLOOKUP(H2538,[1]products!$B:$D,3,0)</f>
        <v>3</v>
      </c>
      <c r="J2538" t="str">
        <f>VLOOKUP(I2538,[2]categories!$A$2:$B$8,2,0)</f>
        <v>Cruisers Bicycles</v>
      </c>
    </row>
    <row r="2539" spans="1:10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 s="1">
        <f t="shared" si="39"/>
        <v>1079.982</v>
      </c>
      <c r="H2539" t="str">
        <f>VLOOKUP(C2539,[1]products!$A:$B,2,0)</f>
        <v>Electra Townie Original 7D EQ - 2016</v>
      </c>
      <c r="I2539">
        <f>VLOOKUP(H2539,[1]products!$B:$D,3,0)</f>
        <v>3</v>
      </c>
      <c r="J2539" t="str">
        <f>VLOOKUP(I2539,[2]categories!$A$2:$B$8,2,0)</f>
        <v>Cruisers Bicycles</v>
      </c>
    </row>
    <row r="2540" spans="1:10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 s="1">
        <f t="shared" si="39"/>
        <v>961.182</v>
      </c>
      <c r="H2540" t="str">
        <f>VLOOKUP(C2540,[1]products!$A:$B,2,0)</f>
        <v>Sun Bicycles Streamway 7 - 2017</v>
      </c>
      <c r="I2540">
        <f>VLOOKUP(H2540,[1]products!$B:$D,3,0)</f>
        <v>2</v>
      </c>
      <c r="J2540" t="str">
        <f>VLOOKUP(I2540,[2]categories!$A$2:$B$8,2,0)</f>
        <v>Comfort Bicycles</v>
      </c>
    </row>
    <row r="2541" spans="1:10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 s="1">
        <f t="shared" si="39"/>
        <v>832.1905</v>
      </c>
      <c r="H2541" t="str">
        <f>VLOOKUP(C2541,[1]products!$A:$B,2,0)</f>
        <v>Surly Steamroller - 2017</v>
      </c>
      <c r="I2541">
        <f>VLOOKUP(H2541,[1]products!$B:$D,3,0)</f>
        <v>7</v>
      </c>
      <c r="J2541" t="str">
        <f>VLOOKUP(I2541,[2]categories!$A$2:$B$8,2,0)</f>
        <v>Road Bikes</v>
      </c>
    </row>
    <row r="2542" spans="1:10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 s="1">
        <f t="shared" si="39"/>
        <v>225.891</v>
      </c>
      <c r="H2542" t="str">
        <f>VLOOKUP(C2542,[1]products!$A:$B,2,0)</f>
        <v>Sun Bicycles Revolutions 24 - Girl's - 2017</v>
      </c>
      <c r="I2542">
        <f>VLOOKUP(H2542,[1]products!$B:$D,3,0)</f>
        <v>3</v>
      </c>
      <c r="J2542" t="str">
        <f>VLOOKUP(I2542,[2]categories!$A$2:$B$8,2,0)</f>
        <v>Cruisers Bicycles</v>
      </c>
    </row>
    <row r="2543" spans="1:10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 s="1">
        <f t="shared" si="39"/>
        <v>624.582</v>
      </c>
      <c r="H2543" t="str">
        <f>VLOOKUP(C2543,[1]products!$A:$B,2,0)</f>
        <v>Sun Bicycles Lil Bolt Type-R - 2017</v>
      </c>
      <c r="I2543">
        <f>VLOOKUP(H2543,[1]products!$B:$D,3,0)</f>
        <v>3</v>
      </c>
      <c r="J2543" t="str">
        <f>VLOOKUP(I2543,[2]categories!$A$2:$B$8,2,0)</f>
        <v>Cruisers Bicycles</v>
      </c>
    </row>
    <row r="2544" spans="1:10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 s="1">
        <f t="shared" si="39"/>
        <v>750.582</v>
      </c>
      <c r="H2544" t="str">
        <f>VLOOKUP(C2544,[1]products!$A:$B,2,0)</f>
        <v>Sun Bicycles Cruz 7 - 2017</v>
      </c>
      <c r="I2544">
        <f>VLOOKUP(H2544,[1]products!$B:$D,3,0)</f>
        <v>3</v>
      </c>
      <c r="J2544" t="str">
        <f>VLOOKUP(I2544,[2]categories!$A$2:$B$8,2,0)</f>
        <v>Cruisers Bicycles</v>
      </c>
    </row>
    <row r="2545" spans="1:10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 s="1">
        <f t="shared" si="39"/>
        <v>446.4905</v>
      </c>
      <c r="H2545" t="str">
        <f>VLOOKUP(C2545,[1]products!$A:$B,2,0)</f>
        <v>Trek Farley Alloy Frameset - 2017</v>
      </c>
      <c r="I2545">
        <f>VLOOKUP(H2545,[1]products!$B:$D,3,0)</f>
        <v>6</v>
      </c>
      <c r="J2545" t="str">
        <f>VLOOKUP(I2545,[2]categories!$A$2:$B$8,2,0)</f>
        <v>Mountain Bikes</v>
      </c>
    </row>
    <row r="2546" spans="1:10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 s="1">
        <f t="shared" si="39"/>
        <v>1499.382</v>
      </c>
      <c r="H2546" t="str">
        <f>VLOOKUP(C2546,[1]products!$A:$B,2,0)</f>
        <v>Sun Bicycles Spider 3i - 2017</v>
      </c>
      <c r="I2546">
        <f>VLOOKUP(H2546,[1]products!$B:$D,3,0)</f>
        <v>6</v>
      </c>
      <c r="J2546" t="str">
        <f>VLOOKUP(I2546,[2]categories!$A$2:$B$8,2,0)</f>
        <v>Mountain Bikes</v>
      </c>
    </row>
    <row r="2547" spans="1:10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 s="1">
        <f t="shared" si="39"/>
        <v>5399.991</v>
      </c>
      <c r="H2547" t="str">
        <f>VLOOKUP(C2547,[1]products!$A:$B,2,0)</f>
        <v>Trek Silque SLR 7 Women's - 2017</v>
      </c>
      <c r="I2547">
        <f>VLOOKUP(H2547,[1]products!$B:$D,3,0)</f>
        <v>7</v>
      </c>
      <c r="J2547" t="str">
        <f>VLOOKUP(I2547,[2]categories!$A$2:$B$8,2,0)</f>
        <v>Road Bikes</v>
      </c>
    </row>
    <row r="2548" spans="1:10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 s="1">
        <f t="shared" si="39"/>
        <v>749.691</v>
      </c>
      <c r="H2548" t="str">
        <f>VLOOKUP(C2548,[1]products!$A:$B,2,0)</f>
        <v>Surly Troll Frameset - 2017</v>
      </c>
      <c r="I2548">
        <f>VLOOKUP(H2548,[1]products!$B:$D,3,0)</f>
        <v>6</v>
      </c>
      <c r="J2548" t="str">
        <f>VLOOKUP(I2548,[2]categories!$A$2:$B$8,2,0)</f>
        <v>Mountain Bikes</v>
      </c>
    </row>
    <row r="2549" spans="1:10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 s="1">
        <f t="shared" si="39"/>
        <v>4799.984</v>
      </c>
      <c r="H2549" t="str">
        <f>VLOOKUP(C2549,[1]products!$A:$B,2,0)</f>
        <v>Trek Conduit+ - 2016</v>
      </c>
      <c r="I2549">
        <f>VLOOKUP(H2549,[1]products!$B:$D,3,0)</f>
        <v>5</v>
      </c>
      <c r="J2549" t="str">
        <f>VLOOKUP(I2549,[2]categories!$A$2:$B$8,2,0)</f>
        <v>Electric Bikes</v>
      </c>
    </row>
    <row r="2550" spans="1:10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0.07</v>
      </c>
      <c r="G2550" s="1">
        <f t="shared" si="39"/>
        <v>11159.9814</v>
      </c>
      <c r="H2550" t="str">
        <f>VLOOKUP(C2550,[1]products!$A:$B,2,0)</f>
        <v>Trek Silque SLR 7 Women's - 2017</v>
      </c>
      <c r="I2550">
        <f>VLOOKUP(H2550,[1]products!$B:$D,3,0)</f>
        <v>7</v>
      </c>
      <c r="J2550" t="str">
        <f>VLOOKUP(I2550,[2]categories!$A$2:$B$8,2,0)</f>
        <v>Road Bikes</v>
      </c>
    </row>
    <row r="2551" spans="1:10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 s="1">
        <f t="shared" si="39"/>
        <v>180.4905</v>
      </c>
      <c r="H2551" t="str">
        <f>VLOOKUP(C2551,[1]products!$A:$B,2,0)</f>
        <v>Trek Precaliber 12 Girls - 2017</v>
      </c>
      <c r="I2551">
        <f>VLOOKUP(H2551,[1]products!$B:$D,3,0)</f>
        <v>1</v>
      </c>
      <c r="J2551" t="str">
        <f>VLOOKUP(I2551,[2]categories!$A$2:$B$8,2,0)</f>
        <v>Children Bicycles</v>
      </c>
    </row>
    <row r="2552" spans="1:10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 s="1">
        <f t="shared" si="39"/>
        <v>476.881</v>
      </c>
      <c r="H2552" t="str">
        <f>VLOOKUP(C2552,[1]products!$A:$B,2,0)</f>
        <v>Sun Bicycles Revolutions 24 - Girl's - 2017</v>
      </c>
      <c r="I2552">
        <f>VLOOKUP(H2552,[1]products!$B:$D,3,0)</f>
        <v>3</v>
      </c>
      <c r="J2552" t="str">
        <f>VLOOKUP(I2552,[2]categories!$A$2:$B$8,2,0)</f>
        <v>Cruisers Bicycles</v>
      </c>
    </row>
    <row r="2553" spans="1:10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0.07</v>
      </c>
      <c r="G2553" s="1">
        <f t="shared" si="39"/>
        <v>809.0907</v>
      </c>
      <c r="H2553" t="str">
        <f>VLOOKUP(C2553,[1]products!$A:$B,2,0)</f>
        <v>Haro SR 1.2 - 2017</v>
      </c>
      <c r="I2553">
        <f>VLOOKUP(H2553,[1]products!$B:$D,3,0)</f>
        <v>6</v>
      </c>
      <c r="J2553" t="str">
        <f>VLOOKUP(I2553,[2]categories!$A$2:$B$8,2,0)</f>
        <v>Mountain Bikes</v>
      </c>
    </row>
    <row r="2554" spans="1:10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 s="1">
        <f t="shared" si="39"/>
        <v>543.984</v>
      </c>
      <c r="H2554" t="str">
        <f>VLOOKUP(C2554,[1]products!$A:$B,2,0)</f>
        <v>Electra Townie 7D (20-inch) - Boys' - 2017</v>
      </c>
      <c r="I2554">
        <f>VLOOKUP(H2554,[1]products!$B:$D,3,0)</f>
        <v>1</v>
      </c>
      <c r="J2554" t="str">
        <f>VLOOKUP(I2554,[2]categories!$A$2:$B$8,2,0)</f>
        <v>Children Bicycles</v>
      </c>
    </row>
    <row r="2555" spans="1:10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0.07</v>
      </c>
      <c r="G2555" s="1">
        <f t="shared" si="39"/>
        <v>418.4907</v>
      </c>
      <c r="H2555" t="str">
        <f>VLOOKUP(C2555,[1]products!$A:$B,2,0)</f>
        <v>Sun Bicycles Cruz 3 - 2017</v>
      </c>
      <c r="I2555">
        <f>VLOOKUP(H2555,[1]products!$B:$D,3,0)</f>
        <v>3</v>
      </c>
      <c r="J2555" t="str">
        <f>VLOOKUP(I2555,[2]categories!$A$2:$B$8,2,0)</f>
        <v>Cruisers Bicycles</v>
      </c>
    </row>
    <row r="2556" spans="1:10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 s="1">
        <f t="shared" si="39"/>
        <v>664.981</v>
      </c>
      <c r="H2556" t="str">
        <f>VLOOKUP(C2556,[1]products!$A:$B,2,0)</f>
        <v>Trek Precaliber 24 (21-Speed) - Girls - 2017</v>
      </c>
      <c r="I2556">
        <f>VLOOKUP(H2556,[1]products!$B:$D,3,0)</f>
        <v>1</v>
      </c>
      <c r="J2556" t="str">
        <f>VLOOKUP(I2556,[2]categories!$A$2:$B$8,2,0)</f>
        <v>Children Bicycles</v>
      </c>
    </row>
    <row r="2557" spans="1:10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 s="1">
        <f t="shared" si="39"/>
        <v>1471.55</v>
      </c>
      <c r="H2557" t="str">
        <f>VLOOKUP(C2557,[1]products!$A:$B,2,0)</f>
        <v>Surly Straggler - 2016</v>
      </c>
      <c r="I2557">
        <f>VLOOKUP(H2557,[1]products!$B:$D,3,0)</f>
        <v>4</v>
      </c>
      <c r="J2557" t="str">
        <f>VLOOKUP(I2557,[2]categories!$A$2:$B$8,2,0)</f>
        <v>Cyclocross Bicycles</v>
      </c>
    </row>
    <row r="2558" spans="1:10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 s="1">
        <f t="shared" si="39"/>
        <v>507.2905</v>
      </c>
      <c r="H2558" t="str">
        <f>VLOOKUP(C2558,[1]products!$A:$B,2,0)</f>
        <v>Sun Bicycles Streamway 7 - 2017</v>
      </c>
      <c r="I2558">
        <f>VLOOKUP(H2558,[1]products!$B:$D,3,0)</f>
        <v>2</v>
      </c>
      <c r="J2558" t="str">
        <f>VLOOKUP(I2558,[2]categories!$A$2:$B$8,2,0)</f>
        <v>Comfort Bicycles</v>
      </c>
    </row>
    <row r="2559" spans="1:10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 s="1">
        <f t="shared" si="39"/>
        <v>332.4905</v>
      </c>
      <c r="H2559" t="str">
        <f>VLOOKUP(C2559,[1]products!$A:$B,2,0)</f>
        <v>Electra Moto 3i (20-inch) - Boy's - 2017</v>
      </c>
      <c r="I2559">
        <f>VLOOKUP(H2559,[1]products!$B:$D,3,0)</f>
        <v>1</v>
      </c>
      <c r="J2559" t="str">
        <f>VLOOKUP(I2559,[2]categories!$A$2:$B$8,2,0)</f>
        <v>Children Bicycles</v>
      </c>
    </row>
    <row r="2560" spans="1:10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 s="1">
        <f t="shared" si="39"/>
        <v>1391.984</v>
      </c>
      <c r="H2560" t="str">
        <f>VLOOKUP(C2560,[1]products!$A:$B,2,0)</f>
        <v>Haro SR 1.2 - 2017</v>
      </c>
      <c r="I2560">
        <f>VLOOKUP(H2560,[1]products!$B:$D,3,0)</f>
        <v>6</v>
      </c>
      <c r="J2560" t="str">
        <f>VLOOKUP(I2560,[2]categories!$A$2:$B$8,2,0)</f>
        <v>Mountain Bikes</v>
      </c>
    </row>
    <row r="2561" spans="1:10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0.07</v>
      </c>
      <c r="G2561" s="1">
        <f t="shared" si="39"/>
        <v>557.9907</v>
      </c>
      <c r="H2561" t="str">
        <f>VLOOKUP(C2561,[1]products!$A:$B,2,0)</f>
        <v>Electra Townie Original 7D EQ - 2016</v>
      </c>
      <c r="I2561">
        <f>VLOOKUP(H2561,[1]products!$B:$D,3,0)</f>
        <v>3</v>
      </c>
      <c r="J2561" t="str">
        <f>VLOOKUP(I2561,[2]categories!$A$2:$B$8,2,0)</f>
        <v>Cruisers Bicycles</v>
      </c>
    </row>
    <row r="2562" spans="1:10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 s="1">
        <f t="shared" ref="G2562:G2625" si="40">D2562*E2562*(1-F2562)</f>
        <v>3199.984</v>
      </c>
      <c r="H2562" t="str">
        <f>VLOOKUP(C2562,[1]products!$A:$B,2,0)</f>
        <v>Trek Emonda S 5 - 2017</v>
      </c>
      <c r="I2562">
        <f>VLOOKUP(H2562,[1]products!$B:$D,3,0)</f>
        <v>7</v>
      </c>
      <c r="J2562" t="str">
        <f>VLOOKUP(I2562,[2]categories!$A$2:$B$8,2,0)</f>
        <v>Road Bikes</v>
      </c>
    </row>
    <row r="2563" spans="1:10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0.07</v>
      </c>
      <c r="G2563" s="1">
        <f t="shared" si="40"/>
        <v>775.6014</v>
      </c>
      <c r="H2563" t="str">
        <f>VLOOKUP(C2563,[1]products!$A:$B,2,0)</f>
        <v>Sun Bicycles Cruz 7 - 2017</v>
      </c>
      <c r="I2563">
        <f>VLOOKUP(H2563,[1]products!$B:$D,3,0)</f>
        <v>3</v>
      </c>
      <c r="J2563" t="str">
        <f>VLOOKUP(I2563,[2]categories!$A$2:$B$8,2,0)</f>
        <v>Cruisers Bicycles</v>
      </c>
    </row>
    <row r="2564" spans="1:10">
      <c r="A2564">
        <v>899</v>
      </c>
      <c r="B2564">
        <v>1</v>
      </c>
      <c r="C2564">
        <v>59</v>
      </c>
      <c r="D2564">
        <v>2</v>
      </c>
      <c r="E2564">
        <v>2599.99</v>
      </c>
      <c r="F2564">
        <v>0.1</v>
      </c>
      <c r="G2564" s="1">
        <f t="shared" si="40"/>
        <v>4679.982</v>
      </c>
      <c r="H2564" t="str">
        <f>VLOOKUP(C2564,[1]products!$A:$B,2,0)</f>
        <v>Trek Domane S 5 Disc - 2017</v>
      </c>
      <c r="I2564">
        <f>VLOOKUP(H2564,[1]products!$B:$D,3,0)</f>
        <v>7</v>
      </c>
      <c r="J2564" t="str">
        <f>VLOOKUP(I2564,[2]categories!$A$2:$B$8,2,0)</f>
        <v>Road Bikes</v>
      </c>
    </row>
    <row r="2565" spans="1:10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 s="1">
        <f t="shared" si="40"/>
        <v>386.1</v>
      </c>
      <c r="H2565" t="str">
        <f>VLOOKUP(C2565,[1]products!$A:$B,2,0)</f>
        <v>Pure Cycles Vine 8-Speed - 2016</v>
      </c>
      <c r="I2565">
        <f>VLOOKUP(H2565,[1]products!$B:$D,3,0)</f>
        <v>3</v>
      </c>
      <c r="J2565" t="str">
        <f>VLOOKUP(I2565,[2]categories!$A$2:$B$8,2,0)</f>
        <v>Cruisers Bicycles</v>
      </c>
    </row>
    <row r="2566" spans="1:10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 s="1">
        <f t="shared" si="40"/>
        <v>375.992</v>
      </c>
      <c r="H2566" t="str">
        <f>VLOOKUP(C2566,[1]products!$A:$B,2,0)</f>
        <v>Surly Ice Cream Truck Frameset - 2016</v>
      </c>
      <c r="I2566">
        <f>VLOOKUP(H2566,[1]products!$B:$D,3,0)</f>
        <v>6</v>
      </c>
      <c r="J2566" t="str">
        <f>VLOOKUP(I2566,[2]categories!$A$2:$B$8,2,0)</f>
        <v>Mountain Bikes</v>
      </c>
    </row>
    <row r="2567" spans="1:10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 s="1">
        <f t="shared" si="40"/>
        <v>1139.981</v>
      </c>
      <c r="H2567" t="str">
        <f>VLOOKUP(C2567,[1]products!$A:$B,2,0)</f>
        <v>Electra Townie Original 7D EQ - 2016</v>
      </c>
      <c r="I2567">
        <f>VLOOKUP(H2567,[1]products!$B:$D,3,0)</f>
        <v>3</v>
      </c>
      <c r="J2567" t="str">
        <f>VLOOKUP(I2567,[2]categories!$A$2:$B$8,2,0)</f>
        <v>Cruisers Bicycles</v>
      </c>
    </row>
    <row r="2568" spans="1:10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0.07</v>
      </c>
      <c r="G2568" s="1">
        <f t="shared" si="40"/>
        <v>418.4907</v>
      </c>
      <c r="H2568" t="str">
        <f>VLOOKUP(C2568,[1]products!$A:$B,2,0)</f>
        <v>Sun Bicycles Cruz 3 - Women's - 2017</v>
      </c>
      <c r="I2568">
        <f>VLOOKUP(H2568,[1]products!$B:$D,3,0)</f>
        <v>2</v>
      </c>
      <c r="J2568" t="str">
        <f>VLOOKUP(I2568,[2]categories!$A$2:$B$8,2,0)</f>
        <v>Comfort Bicycles</v>
      </c>
    </row>
    <row r="2569" spans="1:10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 s="1">
        <f t="shared" si="40"/>
        <v>167.992</v>
      </c>
      <c r="H2569" t="str">
        <f>VLOOKUP(C2569,[1]products!$A:$B,2,0)</f>
        <v>Trek Precaliber 16 Boys - 2017</v>
      </c>
      <c r="I2569">
        <f>VLOOKUP(H2569,[1]products!$B:$D,3,0)</f>
        <v>1</v>
      </c>
      <c r="J2569" t="str">
        <f>VLOOKUP(I2569,[2]categories!$A$2:$B$8,2,0)</f>
        <v>Children Bicycles</v>
      </c>
    </row>
    <row r="2570" spans="1:10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 s="1">
        <f t="shared" si="40"/>
        <v>9499.981</v>
      </c>
      <c r="H2570" t="str">
        <f>VLOOKUP(C2570,[1]products!$A:$B,2,0)</f>
        <v>Trek Powerfly 8 FS Plus - 2017</v>
      </c>
      <c r="I2570">
        <f>VLOOKUP(H2570,[1]products!$B:$D,3,0)</f>
        <v>5</v>
      </c>
      <c r="J2570" t="str">
        <f>VLOOKUP(I2570,[2]categories!$A$2:$B$8,2,0)</f>
        <v>Electric Bikes</v>
      </c>
    </row>
    <row r="2571" spans="1:10">
      <c r="A2571">
        <v>900</v>
      </c>
      <c r="B2571">
        <v>5</v>
      </c>
      <c r="C2571">
        <v>28</v>
      </c>
      <c r="D2571">
        <v>2</v>
      </c>
      <c r="E2571">
        <v>2499.99</v>
      </c>
      <c r="F2571">
        <v>0.07</v>
      </c>
      <c r="G2571" s="1">
        <f t="shared" si="40"/>
        <v>4649.9814</v>
      </c>
      <c r="H2571" t="str">
        <f>VLOOKUP(C2571,[1]products!$A:$B,2,0)</f>
        <v>Surly Karate Monkey 27.5+ Frameset - 2017</v>
      </c>
      <c r="I2571">
        <f>VLOOKUP(H2571,[1]products!$B:$D,3,0)</f>
        <v>6</v>
      </c>
      <c r="J2571" t="str">
        <f>VLOOKUP(I2571,[2]categories!$A$2:$B$8,2,0)</f>
        <v>Mountain Bikes</v>
      </c>
    </row>
    <row r="2572" spans="1:10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 s="1">
        <f t="shared" si="40"/>
        <v>4799.992</v>
      </c>
      <c r="H2572" t="str">
        <f>VLOOKUP(C2572,[1]products!$A:$B,2,0)</f>
        <v>Trek Silque SLR 7 Women's - 2017</v>
      </c>
      <c r="I2572">
        <f>VLOOKUP(H2572,[1]products!$B:$D,3,0)</f>
        <v>7</v>
      </c>
      <c r="J2572" t="str">
        <f>VLOOKUP(I2572,[2]categories!$A$2:$B$8,2,0)</f>
        <v>Road Bikes</v>
      </c>
    </row>
    <row r="2573" spans="1:10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0.07</v>
      </c>
      <c r="G2573" s="1">
        <f t="shared" si="40"/>
        <v>4928.9907</v>
      </c>
      <c r="H2573" t="str">
        <f>VLOOKUP(C2573,[1]products!$A:$B,2,0)</f>
        <v>Trek Fuel EX 9.8 27.5 Plus - 2017</v>
      </c>
      <c r="I2573">
        <f>VLOOKUP(H2573,[1]products!$B:$D,3,0)</f>
        <v>6</v>
      </c>
      <c r="J2573" t="str">
        <f>VLOOKUP(I2573,[2]categories!$A$2:$B$8,2,0)</f>
        <v>Mountain Bikes</v>
      </c>
    </row>
    <row r="2574" spans="1:10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0.07</v>
      </c>
      <c r="G2574" s="1">
        <f t="shared" si="40"/>
        <v>1022.9814</v>
      </c>
      <c r="H2574" t="str">
        <f>VLOOKUP(C2574,[1]products!$A:$B,2,0)</f>
        <v>Haro Flightline Two 26 Plus - 2017</v>
      </c>
      <c r="I2574">
        <f>VLOOKUP(H2574,[1]products!$B:$D,3,0)</f>
        <v>6</v>
      </c>
      <c r="J2574" t="str">
        <f>VLOOKUP(I2574,[2]categories!$A$2:$B$8,2,0)</f>
        <v>Mountain Bikes</v>
      </c>
    </row>
    <row r="2575" spans="1:10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0.07</v>
      </c>
      <c r="G2575" s="1">
        <f t="shared" si="40"/>
        <v>195.2907</v>
      </c>
      <c r="H2575" t="str">
        <f>VLOOKUP(C2575,[1]products!$A:$B,2,0)</f>
        <v>Haro Shredder 20 - 2017</v>
      </c>
      <c r="I2575">
        <f>VLOOKUP(H2575,[1]products!$B:$D,3,0)</f>
        <v>1</v>
      </c>
      <c r="J2575" t="str">
        <f>VLOOKUP(I2575,[2]categories!$A$2:$B$8,2,0)</f>
        <v>Children Bicycles</v>
      </c>
    </row>
    <row r="2576" spans="1:10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 s="1">
        <f t="shared" si="40"/>
        <v>439.992</v>
      </c>
      <c r="H2576" t="str">
        <f>VLOOKUP(C2576,[1]products!$A:$B,2,0)</f>
        <v>Electra Townie Original 21D - 2016</v>
      </c>
      <c r="I2576">
        <f>VLOOKUP(H2576,[1]products!$B:$D,3,0)</f>
        <v>3</v>
      </c>
      <c r="J2576" t="str">
        <f>VLOOKUP(I2576,[2]categories!$A$2:$B$8,2,0)</f>
        <v>Cruisers Bicycles</v>
      </c>
    </row>
    <row r="2577" spans="1:10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 s="1">
        <f t="shared" si="40"/>
        <v>569.981</v>
      </c>
      <c r="H2577" t="str">
        <f>VLOOKUP(C2577,[1]products!$A:$B,2,0)</f>
        <v>Electra Girl's Hawaii 1 16" - 2017</v>
      </c>
      <c r="I2577">
        <f>VLOOKUP(H2577,[1]products!$B:$D,3,0)</f>
        <v>3</v>
      </c>
      <c r="J2577" t="str">
        <f>VLOOKUP(I2577,[2]categories!$A$2:$B$8,2,0)</f>
        <v>Cruisers Bicycles</v>
      </c>
    </row>
    <row r="2578" spans="1:10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0.07</v>
      </c>
      <c r="G2578" s="1">
        <f t="shared" si="40"/>
        <v>3037.3614</v>
      </c>
      <c r="H2578" t="str">
        <f>VLOOKUP(C2578,[1]products!$A:$B,2,0)</f>
        <v>Surly Wednesday - 2017</v>
      </c>
      <c r="I2578">
        <f>VLOOKUP(H2578,[1]products!$B:$D,3,0)</f>
        <v>6</v>
      </c>
      <c r="J2578" t="str">
        <f>VLOOKUP(I2578,[2]categories!$A$2:$B$8,2,0)</f>
        <v>Mountain Bikes</v>
      </c>
    </row>
    <row r="2579" spans="1:10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 s="1">
        <f t="shared" si="40"/>
        <v>2849.981</v>
      </c>
      <c r="H2579" t="str">
        <f>VLOOKUP(C2579,[1]products!$A:$B,2,0)</f>
        <v>Trek Emonda S 4 - 2017</v>
      </c>
      <c r="I2579">
        <f>VLOOKUP(H2579,[1]products!$B:$D,3,0)</f>
        <v>7</v>
      </c>
      <c r="J2579" t="str">
        <f>VLOOKUP(I2579,[2]categories!$A$2:$B$8,2,0)</f>
        <v>Road Bikes</v>
      </c>
    </row>
    <row r="2580" spans="1:10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 s="1">
        <f t="shared" si="40"/>
        <v>1499.382</v>
      </c>
      <c r="H2580" t="str">
        <f>VLOOKUP(C2580,[1]products!$A:$B,2,0)</f>
        <v>Surly Troll Frameset - 2017</v>
      </c>
      <c r="I2580">
        <f>VLOOKUP(H2580,[1]products!$B:$D,3,0)</f>
        <v>6</v>
      </c>
      <c r="J2580" t="str">
        <f>VLOOKUP(I2580,[2]categories!$A$2:$B$8,2,0)</f>
        <v>Mountain Bikes</v>
      </c>
    </row>
    <row r="2581" spans="1:10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0.07</v>
      </c>
      <c r="G2581" s="1">
        <f t="shared" si="40"/>
        <v>12089.9814</v>
      </c>
      <c r="H2581" t="str">
        <f>VLOOKUP(C2581,[1]products!$A:$B,2,0)</f>
        <v>Trek Silque SLR 8 Women's - 2017</v>
      </c>
      <c r="I2581">
        <f>VLOOKUP(H2581,[1]products!$B:$D,3,0)</f>
        <v>7</v>
      </c>
      <c r="J2581" t="str">
        <f>VLOOKUP(I2581,[2]categories!$A$2:$B$8,2,0)</f>
        <v>Road Bikes</v>
      </c>
    </row>
    <row r="2582" spans="1:10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 s="1">
        <f t="shared" si="40"/>
        <v>335.984</v>
      </c>
      <c r="H2582" t="str">
        <f>VLOOKUP(C2582,[1]products!$A:$B,2,0)</f>
        <v>Haro Shredder 20 - 2017</v>
      </c>
      <c r="I2582">
        <f>VLOOKUP(H2582,[1]products!$B:$D,3,0)</f>
        <v>1</v>
      </c>
      <c r="J2582" t="str">
        <f>VLOOKUP(I2582,[2]categories!$A$2:$B$8,2,0)</f>
        <v>Children Bicycles</v>
      </c>
    </row>
    <row r="2583" spans="1:10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 s="1">
        <f t="shared" si="40"/>
        <v>215.992</v>
      </c>
      <c r="H2583" t="str">
        <f>VLOOKUP(C2583,[1]products!$A:$B,2,0)</f>
        <v>Electra Cruiser 1 (24-Inch) - 2016</v>
      </c>
      <c r="I2583">
        <f>VLOOKUP(H2583,[1]products!$B:$D,3,0)</f>
        <v>3</v>
      </c>
      <c r="J2583" t="str">
        <f>VLOOKUP(I2583,[2]categories!$A$2:$B$8,2,0)</f>
        <v>Cruisers Bicycles</v>
      </c>
    </row>
    <row r="2584" spans="1:10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 s="1">
        <f t="shared" si="40"/>
        <v>225.891</v>
      </c>
      <c r="H2584" t="str">
        <f>VLOOKUP(C2584,[1]products!$A:$B,2,0)</f>
        <v>Sun Bicycles Revolutions 24 - Girl's - 2017</v>
      </c>
      <c r="I2584">
        <f>VLOOKUP(H2584,[1]products!$B:$D,3,0)</f>
        <v>3</v>
      </c>
      <c r="J2584" t="str">
        <f>VLOOKUP(I2584,[2]categories!$A$2:$B$8,2,0)</f>
        <v>Cruisers Bicycles</v>
      </c>
    </row>
    <row r="2585" spans="1:10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 s="1">
        <f t="shared" si="40"/>
        <v>6649.981</v>
      </c>
      <c r="H2585" t="str">
        <f>VLOOKUP(C2585,[1]products!$A:$B,2,0)</f>
        <v>Trek Boone 7 - 2017</v>
      </c>
      <c r="I2585">
        <f>VLOOKUP(H2585,[1]products!$B:$D,3,0)</f>
        <v>4</v>
      </c>
      <c r="J2585" t="str">
        <f>VLOOKUP(I2585,[2]categories!$A$2:$B$8,2,0)</f>
        <v>Cyclocross Bicycles</v>
      </c>
    </row>
    <row r="2586" spans="1:10">
      <c r="A2586">
        <v>905</v>
      </c>
      <c r="B2586">
        <v>3</v>
      </c>
      <c r="C2586">
        <v>42</v>
      </c>
      <c r="D2586">
        <v>2</v>
      </c>
      <c r="E2586">
        <v>2299.99</v>
      </c>
      <c r="F2586">
        <v>0.2</v>
      </c>
      <c r="G2586" s="1">
        <f t="shared" si="40"/>
        <v>3679.984</v>
      </c>
      <c r="H2586" t="str">
        <f>VLOOKUP(C2586,[1]products!$A:$B,2,0)</f>
        <v>Trek Fuel EX 5 27.5 Plus - 2017</v>
      </c>
      <c r="I2586">
        <f>VLOOKUP(H2586,[1]products!$B:$D,3,0)</f>
        <v>6</v>
      </c>
      <c r="J2586" t="str">
        <f>VLOOKUP(I2586,[2]categories!$A$2:$B$8,2,0)</f>
        <v>Mountain Bikes</v>
      </c>
    </row>
    <row r="2587" spans="1:10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 s="1">
        <f t="shared" si="40"/>
        <v>479.992</v>
      </c>
      <c r="H2587" t="str">
        <f>VLOOKUP(C2587,[1]products!$A:$B,2,0)</f>
        <v>Electra Townie Original 7D EQ - Women's - 2016</v>
      </c>
      <c r="I2587">
        <f>VLOOKUP(H2587,[1]products!$B:$D,3,0)</f>
        <v>3</v>
      </c>
      <c r="J2587" t="str">
        <f>VLOOKUP(I2587,[2]categories!$A$2:$B$8,2,0)</f>
        <v>Cruisers Bicycles</v>
      </c>
    </row>
    <row r="2588" spans="1:10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 s="1">
        <f t="shared" si="40"/>
        <v>479.984</v>
      </c>
      <c r="H2588" t="str">
        <f>VLOOKUP(C2588,[1]products!$A:$B,2,0)</f>
        <v>Electra Girl's Hawaii 1 (20-inch) - 2015/2016</v>
      </c>
      <c r="I2588">
        <f>VLOOKUP(H2588,[1]products!$B:$D,3,0)</f>
        <v>1</v>
      </c>
      <c r="J2588" t="str">
        <f>VLOOKUP(I2588,[2]categories!$A$2:$B$8,2,0)</f>
        <v>Children Bicycles</v>
      </c>
    </row>
    <row r="2589" spans="1:10">
      <c r="A2589">
        <v>906</v>
      </c>
      <c r="B2589">
        <v>2</v>
      </c>
      <c r="C2589">
        <v>28</v>
      </c>
      <c r="D2589">
        <v>2</v>
      </c>
      <c r="E2589">
        <v>2499.99</v>
      </c>
      <c r="F2589">
        <v>0.07</v>
      </c>
      <c r="G2589" s="1">
        <f t="shared" si="40"/>
        <v>4649.9814</v>
      </c>
      <c r="H2589" t="str">
        <f>VLOOKUP(C2589,[1]products!$A:$B,2,0)</f>
        <v>Surly Karate Monkey 27.5+ Frameset - 2017</v>
      </c>
      <c r="I2589">
        <f>VLOOKUP(H2589,[1]products!$B:$D,3,0)</f>
        <v>6</v>
      </c>
      <c r="J2589" t="str">
        <f>VLOOKUP(I2589,[2]categories!$A$2:$B$8,2,0)</f>
        <v>Mountain Bikes</v>
      </c>
    </row>
    <row r="2590" spans="1:10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 s="1">
        <f t="shared" si="40"/>
        <v>1339.4905</v>
      </c>
      <c r="H2590" t="str">
        <f>VLOOKUP(C2590,[1]products!$A:$B,2,0)</f>
        <v>Haro SR 1.3 - 2017</v>
      </c>
      <c r="I2590">
        <f>VLOOKUP(H2590,[1]products!$B:$D,3,0)</f>
        <v>6</v>
      </c>
      <c r="J2590" t="str">
        <f>VLOOKUP(I2590,[2]categories!$A$2:$B$8,2,0)</f>
        <v>Mountain Bikes</v>
      </c>
    </row>
    <row r="2591" spans="1:10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 s="1">
        <f t="shared" si="40"/>
        <v>881.982</v>
      </c>
      <c r="H2591" t="str">
        <f>VLOOKUP(C2591,[1]products!$A:$B,2,0)</f>
        <v>Electra Townie Original 7D - 2017</v>
      </c>
      <c r="I2591">
        <f>VLOOKUP(H2591,[1]products!$B:$D,3,0)</f>
        <v>3</v>
      </c>
      <c r="J2591" t="str">
        <f>VLOOKUP(I2591,[2]categories!$A$2:$B$8,2,0)</f>
        <v>Cruisers Bicycles</v>
      </c>
    </row>
    <row r="2592" spans="1:10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 s="1">
        <f t="shared" si="40"/>
        <v>431.984</v>
      </c>
      <c r="H2592" t="str">
        <f>VLOOKUP(C2592,[1]products!$A:$B,2,0)</f>
        <v>Electra Girl's Hawaii 1 (16-inch) - 2015/2016</v>
      </c>
      <c r="I2592">
        <f>VLOOKUP(H2592,[1]products!$B:$D,3,0)</f>
        <v>3</v>
      </c>
      <c r="J2592" t="str">
        <f>VLOOKUP(I2592,[2]categories!$A$2:$B$8,2,0)</f>
        <v>Cruisers Bicycles</v>
      </c>
    </row>
    <row r="2593" spans="1:10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0.07</v>
      </c>
      <c r="G2593" s="1">
        <f t="shared" si="40"/>
        <v>204.5814</v>
      </c>
      <c r="H2593" t="str">
        <f>VLOOKUP(C2593,[1]products!$A:$B,2,0)</f>
        <v>Sun Bicycles Lil Kitt'n - 2017</v>
      </c>
      <c r="I2593">
        <f>VLOOKUP(H2593,[1]products!$B:$D,3,0)</f>
        <v>1</v>
      </c>
      <c r="J2593" t="str">
        <f>VLOOKUP(I2593,[2]categories!$A$2:$B$8,2,0)</f>
        <v>Children Bicycles</v>
      </c>
    </row>
    <row r="2594" spans="1:10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0.07</v>
      </c>
      <c r="G2594" s="1">
        <f t="shared" si="40"/>
        <v>322.7007</v>
      </c>
      <c r="H2594" t="str">
        <f>VLOOKUP(C2594,[1]products!$A:$B,2,0)</f>
        <v>Sun Bicycles Lil Bolt Type-R - 2017</v>
      </c>
      <c r="I2594">
        <f>VLOOKUP(H2594,[1]products!$B:$D,3,0)</f>
        <v>3</v>
      </c>
      <c r="J2594" t="str">
        <f>VLOOKUP(I2594,[2]categories!$A$2:$B$8,2,0)</f>
        <v>Cruisers Bicycles</v>
      </c>
    </row>
    <row r="2595" spans="1:10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 s="1">
        <f t="shared" si="40"/>
        <v>1175.992</v>
      </c>
      <c r="H2595" t="str">
        <f>VLOOKUP(C2595,[1]products!$A:$B,2,0)</f>
        <v>Haro Shift R3 - 2017</v>
      </c>
      <c r="I2595">
        <f>VLOOKUP(H2595,[1]products!$B:$D,3,0)</f>
        <v>6</v>
      </c>
      <c r="J2595" t="str">
        <f>VLOOKUP(I2595,[2]categories!$A$2:$B$8,2,0)</f>
        <v>Mountain Bikes</v>
      </c>
    </row>
    <row r="2596" spans="1:10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 s="1">
        <f t="shared" si="40"/>
        <v>224.991</v>
      </c>
      <c r="H2596" t="str">
        <f>VLOOKUP(C2596,[1]products!$A:$B,2,0)</f>
        <v>Haro Shredder Pro 20 - 2017</v>
      </c>
      <c r="I2596">
        <f>VLOOKUP(H2596,[1]products!$B:$D,3,0)</f>
        <v>1</v>
      </c>
      <c r="J2596" t="str">
        <f>VLOOKUP(I2596,[2]categories!$A$2:$B$8,2,0)</f>
        <v>Children Bicycles</v>
      </c>
    </row>
    <row r="2597" spans="1:10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 s="1">
        <f t="shared" si="40"/>
        <v>881.982</v>
      </c>
      <c r="H2597" t="str">
        <f>VLOOKUP(C2597,[1]products!$A:$B,2,0)</f>
        <v>Electra Townie Original 7D - 2017</v>
      </c>
      <c r="I2597">
        <f>VLOOKUP(H2597,[1]products!$B:$D,3,0)</f>
        <v>3</v>
      </c>
      <c r="J2597" t="str">
        <f>VLOOKUP(I2597,[2]categories!$A$2:$B$8,2,0)</f>
        <v>Cruisers Bicycles</v>
      </c>
    </row>
    <row r="2598" spans="1:10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 s="1">
        <f t="shared" si="40"/>
        <v>1056.792</v>
      </c>
      <c r="H2598" t="str">
        <f>VLOOKUP(C2598,[1]products!$A:$B,2,0)</f>
        <v>Heller Shagamaw Frame - 2016</v>
      </c>
      <c r="I2598">
        <f>VLOOKUP(H2598,[1]products!$B:$D,3,0)</f>
        <v>6</v>
      </c>
      <c r="J2598" t="str">
        <f>VLOOKUP(I2598,[2]categories!$A$2:$B$8,2,0)</f>
        <v>Mountain Bikes</v>
      </c>
    </row>
    <row r="2599" spans="1:10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 s="1">
        <f t="shared" si="40"/>
        <v>269.991</v>
      </c>
      <c r="H2599" t="str">
        <f>VLOOKUP(C2599,[1]products!$A:$B,2,0)</f>
        <v>Electra Girl's Hawaii 1 (20-inch) - 2015/2016</v>
      </c>
      <c r="I2599">
        <f>VLOOKUP(H2599,[1]products!$B:$D,3,0)</f>
        <v>1</v>
      </c>
      <c r="J2599" t="str">
        <f>VLOOKUP(I2599,[2]categories!$A$2:$B$8,2,0)</f>
        <v>Children Bicycles</v>
      </c>
    </row>
    <row r="2600" spans="1:10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 s="1">
        <f t="shared" si="40"/>
        <v>476.881</v>
      </c>
      <c r="H2600" t="str">
        <f>VLOOKUP(C2600,[1]products!$A:$B,2,0)</f>
        <v>Sun Bicycles Revolutions 24 - 2017</v>
      </c>
      <c r="I2600">
        <f>VLOOKUP(H2600,[1]products!$B:$D,3,0)</f>
        <v>3</v>
      </c>
      <c r="J2600" t="str">
        <f>VLOOKUP(I2600,[2]categories!$A$2:$B$8,2,0)</f>
        <v>Cruisers Bicycles</v>
      </c>
    </row>
    <row r="2601" spans="1:10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 s="1">
        <f t="shared" si="40"/>
        <v>427.4905</v>
      </c>
      <c r="H2601" t="str">
        <f>VLOOKUP(C2601,[1]products!$A:$B,2,0)</f>
        <v>Sun Bicycles Cruz 3 - 2017</v>
      </c>
      <c r="I2601">
        <f>VLOOKUP(H2601,[1]products!$B:$D,3,0)</f>
        <v>3</v>
      </c>
      <c r="J2601" t="str">
        <f>VLOOKUP(I2601,[2]categories!$A$2:$B$8,2,0)</f>
        <v>Cruisers Bicycles</v>
      </c>
    </row>
    <row r="2602" spans="1:10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 s="1">
        <f t="shared" si="40"/>
        <v>664.981</v>
      </c>
      <c r="H2602" t="str">
        <f>VLOOKUP(C2602,[1]products!$A:$B,2,0)</f>
        <v>Trek Precaliber 24 (21-Speed) - Girls - 2017</v>
      </c>
      <c r="I2602">
        <f>VLOOKUP(H2602,[1]products!$B:$D,3,0)</f>
        <v>1</v>
      </c>
      <c r="J2602" t="str">
        <f>VLOOKUP(I2602,[2]categories!$A$2:$B$8,2,0)</f>
        <v>Children Bicycles</v>
      </c>
    </row>
    <row r="2603" spans="1:10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 s="1">
        <f t="shared" si="40"/>
        <v>2799.992</v>
      </c>
      <c r="H2603" t="str">
        <f>VLOOKUP(C2603,[1]products!$A:$B,2,0)</f>
        <v>Trek Domane SL 6 - 2017</v>
      </c>
      <c r="I2603">
        <f>VLOOKUP(H2603,[1]products!$B:$D,3,0)</f>
        <v>7</v>
      </c>
      <c r="J2603" t="str">
        <f>VLOOKUP(I2603,[2]categories!$A$2:$B$8,2,0)</f>
        <v>Road Bikes</v>
      </c>
    </row>
    <row r="2604" spans="1:10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 s="1">
        <f t="shared" si="40"/>
        <v>431.984</v>
      </c>
      <c r="H2604" t="str">
        <f>VLOOKUP(C2604,[1]products!$A:$B,2,0)</f>
        <v>Electra Girl's Hawaii 1 (16-inch) - 2015/2016</v>
      </c>
      <c r="I2604">
        <f>VLOOKUP(H2604,[1]products!$B:$D,3,0)</f>
        <v>3</v>
      </c>
      <c r="J2604" t="str">
        <f>VLOOKUP(I2604,[2]categories!$A$2:$B$8,2,0)</f>
        <v>Cruisers Bicycles</v>
      </c>
    </row>
    <row r="2605" spans="1:10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 s="1">
        <f t="shared" si="40"/>
        <v>792.281</v>
      </c>
      <c r="H2605" t="str">
        <f>VLOOKUP(C2605,[1]products!$A:$B,2,0)</f>
        <v>Sun Bicycles Atlas X-Type - 2017</v>
      </c>
      <c r="I2605">
        <f>VLOOKUP(H2605,[1]products!$B:$D,3,0)</f>
        <v>3</v>
      </c>
      <c r="J2605" t="str">
        <f>VLOOKUP(I2605,[2]categories!$A$2:$B$8,2,0)</f>
        <v>Cruisers Bicycles</v>
      </c>
    </row>
    <row r="2606" spans="1:10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 s="1">
        <f t="shared" si="40"/>
        <v>322.9905</v>
      </c>
      <c r="H2606" t="str">
        <f>VLOOKUP(C2606,[1]products!$A:$B,2,0)</f>
        <v>Electra Townie 7D (20-inch) - Boys' - 2017</v>
      </c>
      <c r="I2606">
        <f>VLOOKUP(H2606,[1]products!$B:$D,3,0)</f>
        <v>1</v>
      </c>
      <c r="J2606" t="str">
        <f>VLOOKUP(I2606,[2]categories!$A$2:$B$8,2,0)</f>
        <v>Children Bicycles</v>
      </c>
    </row>
    <row r="2607" spans="1:10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 s="1">
        <f t="shared" si="40"/>
        <v>1199.984</v>
      </c>
      <c r="H2607" t="str">
        <f>VLOOKUP(C2607,[1]products!$A:$B,2,0)</f>
        <v>Ritchey Timberwolf Frameset - 2016</v>
      </c>
      <c r="I2607">
        <f>VLOOKUP(H2607,[1]products!$B:$D,3,0)</f>
        <v>6</v>
      </c>
      <c r="J2607" t="str">
        <f>VLOOKUP(I2607,[2]categories!$A$2:$B$8,2,0)</f>
        <v>Mountain Bikes</v>
      </c>
    </row>
    <row r="2608" spans="1:10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 s="1">
        <f t="shared" si="40"/>
        <v>377.982</v>
      </c>
      <c r="H2608" t="str">
        <f>VLOOKUP(C2608,[1]products!$A:$B,2,0)</f>
        <v>Trek Precaliber 16 Girls - 2017</v>
      </c>
      <c r="I2608">
        <f>VLOOKUP(H2608,[1]products!$B:$D,3,0)</f>
        <v>1</v>
      </c>
      <c r="J2608" t="str">
        <f>VLOOKUP(I2608,[2]categories!$A$2:$B$8,2,0)</f>
        <v>Children Bicycles</v>
      </c>
    </row>
    <row r="2609" spans="1:10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 s="1">
        <f t="shared" si="40"/>
        <v>1044.981</v>
      </c>
      <c r="H2609" t="str">
        <f>VLOOKUP(C2609,[1]products!$A:$B,2,0)</f>
        <v>Electra Townie Original 21D - 2016</v>
      </c>
      <c r="I2609">
        <f>VLOOKUP(H2609,[1]products!$B:$D,3,0)</f>
        <v>3</v>
      </c>
      <c r="J2609" t="str">
        <f>VLOOKUP(I2609,[2]categories!$A$2:$B$8,2,0)</f>
        <v>Cruisers Bicycles</v>
      </c>
    </row>
    <row r="2610" spans="1:10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0.07</v>
      </c>
      <c r="G2610" s="1">
        <f t="shared" si="40"/>
        <v>511.4907</v>
      </c>
      <c r="H2610" t="str">
        <f>VLOOKUP(C2610,[1]products!$A:$B,2,0)</f>
        <v>Haro Flightline Two 26 Plus - 2017</v>
      </c>
      <c r="I2610">
        <f>VLOOKUP(H2610,[1]products!$B:$D,3,0)</f>
        <v>6</v>
      </c>
      <c r="J2610" t="str">
        <f>VLOOKUP(I2610,[2]categories!$A$2:$B$8,2,0)</f>
        <v>Mountain Bikes</v>
      </c>
    </row>
    <row r="2611" spans="1:10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 s="1">
        <f t="shared" si="40"/>
        <v>959.984</v>
      </c>
      <c r="H2611" t="str">
        <f>VLOOKUP(C2611,[1]products!$A:$B,2,0)</f>
        <v>Electra Townie Original 7D EQ - Women's - 2016</v>
      </c>
      <c r="I2611">
        <f>VLOOKUP(H2611,[1]products!$B:$D,3,0)</f>
        <v>3</v>
      </c>
      <c r="J2611" t="str">
        <f>VLOOKUP(I2611,[2]categories!$A$2:$B$8,2,0)</f>
        <v>Cruisers Bicycles</v>
      </c>
    </row>
    <row r="2612" spans="1:10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 s="1">
        <f t="shared" si="40"/>
        <v>427.4905</v>
      </c>
      <c r="H2612" t="str">
        <f>VLOOKUP(C2612,[1]products!$A:$B,2,0)</f>
        <v>Sun Bicycles Cruz 3 - 2017</v>
      </c>
      <c r="I2612">
        <f>VLOOKUP(H2612,[1]products!$B:$D,3,0)</f>
        <v>3</v>
      </c>
      <c r="J2612" t="str">
        <f>VLOOKUP(I2612,[2]categories!$A$2:$B$8,2,0)</f>
        <v>Cruisers Bicycles</v>
      </c>
    </row>
    <row r="2613" spans="1:10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 s="1">
        <f t="shared" si="40"/>
        <v>1268.991</v>
      </c>
      <c r="H2613" t="str">
        <f>VLOOKUP(C2613,[1]products!$A:$B,2,0)</f>
        <v>Haro SR 1.3 - 2017</v>
      </c>
      <c r="I2613">
        <f>VLOOKUP(H2613,[1]products!$B:$D,3,0)</f>
        <v>6</v>
      </c>
      <c r="J2613" t="str">
        <f>VLOOKUP(I2613,[2]categories!$A$2:$B$8,2,0)</f>
        <v>Mountain Bikes</v>
      </c>
    </row>
    <row r="2614" spans="1:10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 s="1">
        <f t="shared" si="40"/>
        <v>465.4905</v>
      </c>
      <c r="H2614" t="str">
        <f>VLOOKUP(C2614,[1]products!$A:$B,2,0)</f>
        <v>Electra Townie Original 7D - 2017</v>
      </c>
      <c r="I2614">
        <f>VLOOKUP(H2614,[1]products!$B:$D,3,0)</f>
        <v>3</v>
      </c>
      <c r="J2614" t="str">
        <f>VLOOKUP(I2614,[2]categories!$A$2:$B$8,2,0)</f>
        <v>Cruisers Bicycles</v>
      </c>
    </row>
    <row r="2615" spans="1:10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0.07</v>
      </c>
      <c r="G2615" s="1">
        <f t="shared" si="40"/>
        <v>1394.9907</v>
      </c>
      <c r="H2615" t="str">
        <f>VLOOKUP(C2615,[1]products!$A:$B,2,0)</f>
        <v>Trek Emonda S 4 - 2017</v>
      </c>
      <c r="I2615">
        <f>VLOOKUP(H2615,[1]products!$B:$D,3,0)</f>
        <v>7</v>
      </c>
      <c r="J2615" t="str">
        <f>VLOOKUP(I2615,[2]categories!$A$2:$B$8,2,0)</f>
        <v>Road Bikes</v>
      </c>
    </row>
    <row r="2616" spans="1:10">
      <c r="A2616">
        <v>915</v>
      </c>
      <c r="B2616">
        <v>3</v>
      </c>
      <c r="C2616">
        <v>42</v>
      </c>
      <c r="D2616">
        <v>1</v>
      </c>
      <c r="E2616">
        <v>2299.99</v>
      </c>
      <c r="F2616">
        <v>0.2</v>
      </c>
      <c r="G2616" s="1">
        <f t="shared" si="40"/>
        <v>1839.992</v>
      </c>
      <c r="H2616" t="str">
        <f>VLOOKUP(C2616,[1]products!$A:$B,2,0)</f>
        <v>Trek Fuel EX 5 27.5 Plus - 2017</v>
      </c>
      <c r="I2616">
        <f>VLOOKUP(H2616,[1]products!$B:$D,3,0)</f>
        <v>6</v>
      </c>
      <c r="J2616" t="str">
        <f>VLOOKUP(I2616,[2]categories!$A$2:$B$8,2,0)</f>
        <v>Mountain Bikes</v>
      </c>
    </row>
    <row r="2617" spans="1:10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0.07</v>
      </c>
      <c r="G2617" s="1">
        <f t="shared" si="40"/>
        <v>697.4907</v>
      </c>
      <c r="H2617" t="str">
        <f>VLOOKUP(C2617,[1]products!$A:$B,2,0)</f>
        <v>Ritchey Timberwolf Frameset - 2016</v>
      </c>
      <c r="I2617">
        <f>VLOOKUP(H2617,[1]products!$B:$D,3,0)</f>
        <v>6</v>
      </c>
      <c r="J2617" t="str">
        <f>VLOOKUP(I2617,[2]categories!$A$2:$B$8,2,0)</f>
        <v>Mountain Bikes</v>
      </c>
    </row>
    <row r="2618" spans="1:10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 s="1">
        <f t="shared" si="40"/>
        <v>167.992</v>
      </c>
      <c r="H2618" t="str">
        <f>VLOOKUP(C2618,[1]products!$A:$B,2,0)</f>
        <v>Haro Shredder 20 - 2017</v>
      </c>
      <c r="I2618">
        <f>VLOOKUP(H2618,[1]products!$B:$D,3,0)</f>
        <v>1</v>
      </c>
      <c r="J2618" t="str">
        <f>VLOOKUP(I2618,[2]categories!$A$2:$B$8,2,0)</f>
        <v>Children Bicycles</v>
      </c>
    </row>
    <row r="2619" spans="1:10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0.07</v>
      </c>
      <c r="G2619" s="1">
        <f t="shared" si="40"/>
        <v>1367.0907</v>
      </c>
      <c r="H2619" t="str">
        <f>VLOOKUP(C2619,[1]products!$A:$B,2,0)</f>
        <v>Haro Shift R3 - 2017</v>
      </c>
      <c r="I2619">
        <f>VLOOKUP(H2619,[1]products!$B:$D,3,0)</f>
        <v>6</v>
      </c>
      <c r="J2619" t="str">
        <f>VLOOKUP(I2619,[2]categories!$A$2:$B$8,2,0)</f>
        <v>Mountain Bikes</v>
      </c>
    </row>
    <row r="2620" spans="1:10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 s="1">
        <f t="shared" si="40"/>
        <v>279.992</v>
      </c>
      <c r="H2620" t="str">
        <f>VLOOKUP(C2620,[1]products!$A:$B,2,0)</f>
        <v>Trek Precaliber 24 (21-Speed) - Girls - 2017</v>
      </c>
      <c r="I2620">
        <f>VLOOKUP(H2620,[1]products!$B:$D,3,0)</f>
        <v>1</v>
      </c>
      <c r="J2620" t="str">
        <f>VLOOKUP(I2620,[2]categories!$A$2:$B$8,2,0)</f>
        <v>Children Bicycles</v>
      </c>
    </row>
    <row r="2621" spans="1:10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 s="1">
        <f t="shared" si="40"/>
        <v>1469.691</v>
      </c>
      <c r="H2621" t="str">
        <f>VLOOKUP(C2621,[1]products!$A:$B,2,0)</f>
        <v>Surly Wednesday - 2017</v>
      </c>
      <c r="I2621">
        <f>VLOOKUP(H2621,[1]products!$B:$D,3,0)</f>
        <v>6</v>
      </c>
      <c r="J2621" t="str">
        <f>VLOOKUP(I2621,[2]categories!$A$2:$B$8,2,0)</f>
        <v>Mountain Bikes</v>
      </c>
    </row>
    <row r="2622" spans="1:10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0.07</v>
      </c>
      <c r="G2622" s="1">
        <f t="shared" si="40"/>
        <v>5393.9814</v>
      </c>
      <c r="H2622" t="str">
        <f>VLOOKUP(C2622,[1]products!$A:$B,2,0)</f>
        <v>Trek Fuel EX 8 29 - 2016</v>
      </c>
      <c r="I2622">
        <f>VLOOKUP(H2622,[1]products!$B:$D,3,0)</f>
        <v>6</v>
      </c>
      <c r="J2622" t="str">
        <f>VLOOKUP(I2622,[2]categories!$A$2:$B$8,2,0)</f>
        <v>Mountain Bikes</v>
      </c>
    </row>
    <row r="2623" spans="1:10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0.07</v>
      </c>
      <c r="G2623" s="1">
        <f t="shared" si="40"/>
        <v>3719.9907</v>
      </c>
      <c r="H2623" t="str">
        <f>VLOOKUP(C2623,[1]products!$A:$B,2,0)</f>
        <v>Trek Slash 8 27.5 - 2016</v>
      </c>
      <c r="I2623">
        <f>VLOOKUP(H2623,[1]products!$B:$D,3,0)</f>
        <v>6</v>
      </c>
      <c r="J2623" t="str">
        <f>VLOOKUP(I2623,[2]categories!$A$2:$B$8,2,0)</f>
        <v>Mountain Bikes</v>
      </c>
    </row>
    <row r="2624" spans="1:10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 s="1">
        <f t="shared" si="40"/>
        <v>485.991</v>
      </c>
      <c r="H2624" t="str">
        <f>VLOOKUP(C2624,[1]products!$A:$B,2,0)</f>
        <v>Haro SR 1.1 - 2017</v>
      </c>
      <c r="I2624">
        <f>VLOOKUP(H2624,[1]products!$B:$D,3,0)</f>
        <v>6</v>
      </c>
      <c r="J2624" t="str">
        <f>VLOOKUP(I2624,[2]categories!$A$2:$B$8,2,0)</f>
        <v>Mountain Bikes</v>
      </c>
    </row>
    <row r="2625" spans="1:10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 s="1">
        <f t="shared" si="40"/>
        <v>284.9905</v>
      </c>
      <c r="H2625" t="str">
        <f>VLOOKUP(C2625,[1]products!$A:$B,2,0)</f>
        <v>Electra Girl's Hawaii 1 16" - 2017</v>
      </c>
      <c r="I2625">
        <f>VLOOKUP(H2625,[1]products!$B:$D,3,0)</f>
        <v>3</v>
      </c>
      <c r="J2625" t="str">
        <f>VLOOKUP(I2625,[2]categories!$A$2:$B$8,2,0)</f>
        <v>Cruisers Bicycles</v>
      </c>
    </row>
    <row r="2626" spans="1:10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0.07</v>
      </c>
      <c r="G2626" s="1">
        <f t="shared" ref="G2626:G2689" si="41">D2626*E2626*(1-F2626)</f>
        <v>2789.9814</v>
      </c>
      <c r="H2626" t="str">
        <f>VLOOKUP(C2626,[1]products!$A:$B,2,0)</f>
        <v>Trek Stache 5 - 2017</v>
      </c>
      <c r="I2626">
        <f>VLOOKUP(H2626,[1]products!$B:$D,3,0)</f>
        <v>6</v>
      </c>
      <c r="J2626" t="str">
        <f>VLOOKUP(I2626,[2]categories!$A$2:$B$8,2,0)</f>
        <v>Mountain Bikes</v>
      </c>
    </row>
    <row r="2627" spans="1:10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 s="1">
        <f t="shared" si="41"/>
        <v>615.5905</v>
      </c>
      <c r="H2627" t="str">
        <f>VLOOKUP(C2627,[1]products!$A:$B,2,0)</f>
        <v>Sun Bicycles Biscayne Tandem CB - 2017</v>
      </c>
      <c r="I2627">
        <f>VLOOKUP(H2627,[1]products!$B:$D,3,0)</f>
        <v>3</v>
      </c>
      <c r="J2627" t="str">
        <f>VLOOKUP(I2627,[2]categories!$A$2:$B$8,2,0)</f>
        <v>Cruisers Bicycles</v>
      </c>
    </row>
    <row r="2628" spans="1:10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0.07</v>
      </c>
      <c r="G2628" s="1">
        <f t="shared" si="41"/>
        <v>1417.3014</v>
      </c>
      <c r="H2628" t="str">
        <f>VLOOKUP(C2628,[1]products!$A:$B,2,0)</f>
        <v>Sun Bicycles Brickell Tandem CB - 2017</v>
      </c>
      <c r="I2628">
        <f>VLOOKUP(H2628,[1]products!$B:$D,3,0)</f>
        <v>3</v>
      </c>
      <c r="J2628" t="str">
        <f>VLOOKUP(I2628,[2]categories!$A$2:$B$8,2,0)</f>
        <v>Cruisers Bicycles</v>
      </c>
    </row>
    <row r="2629" spans="1:10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 s="1">
        <f t="shared" si="41"/>
        <v>639.992</v>
      </c>
      <c r="H2629" t="str">
        <f>VLOOKUP(C2629,[1]products!$A:$B,2,0)</f>
        <v>Electra Glam Punk 3i Ladies' - 2017</v>
      </c>
      <c r="I2629">
        <f>VLOOKUP(H2629,[1]products!$B:$D,3,0)</f>
        <v>3</v>
      </c>
      <c r="J2629" t="str">
        <f>VLOOKUP(I2629,[2]categories!$A$2:$B$8,2,0)</f>
        <v>Cruisers Bicycles</v>
      </c>
    </row>
    <row r="2630" spans="1:10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0.07</v>
      </c>
      <c r="G2630" s="1">
        <f t="shared" si="41"/>
        <v>1115.9814</v>
      </c>
      <c r="H2630" t="str">
        <f>VLOOKUP(C2630,[1]products!$A:$B,2,0)</f>
        <v>Electra Cruiser Lux Fat Tire 1 Ladies - 2017</v>
      </c>
      <c r="I2630">
        <f>VLOOKUP(H2630,[1]products!$B:$D,3,0)</f>
        <v>3</v>
      </c>
      <c r="J2630" t="str">
        <f>VLOOKUP(I2630,[2]categories!$A$2:$B$8,2,0)</f>
        <v>Cruisers Bicycles</v>
      </c>
    </row>
    <row r="2631" spans="1:10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 s="1">
        <f t="shared" si="41"/>
        <v>1349.991</v>
      </c>
      <c r="H2631" t="str">
        <f>VLOOKUP(C2631,[1]products!$A:$B,2,0)</f>
        <v>Trek Emonda S 4 - 2017</v>
      </c>
      <c r="I2631">
        <f>VLOOKUP(H2631,[1]products!$B:$D,3,0)</f>
        <v>7</v>
      </c>
      <c r="J2631" t="str">
        <f>VLOOKUP(I2631,[2]categories!$A$2:$B$8,2,0)</f>
        <v>Road Bikes</v>
      </c>
    </row>
    <row r="2632" spans="1:10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 s="1">
        <f t="shared" si="41"/>
        <v>359.992</v>
      </c>
      <c r="H2632" t="str">
        <f>VLOOKUP(C2632,[1]products!$A:$B,2,0)</f>
        <v>Sun Bicycles Cruz 3 - 2017</v>
      </c>
      <c r="I2632">
        <f>VLOOKUP(H2632,[1]products!$B:$D,3,0)</f>
        <v>3</v>
      </c>
      <c r="J2632" t="str">
        <f>VLOOKUP(I2632,[2]categories!$A$2:$B$8,2,0)</f>
        <v>Cruisers Bicycles</v>
      </c>
    </row>
    <row r="2633" spans="1:10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 s="1">
        <f t="shared" si="41"/>
        <v>599.992</v>
      </c>
      <c r="H2633" t="str">
        <f>VLOOKUP(C2633,[1]products!$A:$B,2,0)</f>
        <v>Sun Bicycles Brickell Tandem 7 - 2017</v>
      </c>
      <c r="I2633">
        <f>VLOOKUP(H2633,[1]products!$B:$D,3,0)</f>
        <v>3</v>
      </c>
      <c r="J2633" t="str">
        <f>VLOOKUP(I2633,[2]categories!$A$2:$B$8,2,0)</f>
        <v>Cruisers Bicycles</v>
      </c>
    </row>
    <row r="2634" spans="1:10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 s="1">
        <f t="shared" si="41"/>
        <v>134.991</v>
      </c>
      <c r="H2634" t="str">
        <f>VLOOKUP(C2634,[1]products!$A:$B,2,0)</f>
        <v>Trek Girl's Kickster - 2017</v>
      </c>
      <c r="I2634">
        <f>VLOOKUP(H2634,[1]products!$B:$D,3,0)</f>
        <v>1</v>
      </c>
      <c r="J2634" t="str">
        <f>VLOOKUP(I2634,[2]categories!$A$2:$B$8,2,0)</f>
        <v>Children Bicycles</v>
      </c>
    </row>
    <row r="2635" spans="1:10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 s="1">
        <f t="shared" si="41"/>
        <v>835.981</v>
      </c>
      <c r="H2635" t="str">
        <f>VLOOKUP(C2635,[1]products!$A:$B,2,0)</f>
        <v>Electra Cruiser Lux 1 - 2017</v>
      </c>
      <c r="I2635">
        <f>VLOOKUP(H2635,[1]products!$B:$D,3,0)</f>
        <v>3</v>
      </c>
      <c r="J2635" t="str">
        <f>VLOOKUP(I2635,[2]categories!$A$2:$B$8,2,0)</f>
        <v>Cruisers Bicycles</v>
      </c>
    </row>
    <row r="2636" spans="1:10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 s="1">
        <f t="shared" si="41"/>
        <v>422.991</v>
      </c>
      <c r="H2636" t="str">
        <f>VLOOKUP(C2636,[1]products!$A:$B,2,0)</f>
        <v>Surly Ice Cream Truck Frameset - 2016</v>
      </c>
      <c r="I2636">
        <f>VLOOKUP(H2636,[1]products!$B:$D,3,0)</f>
        <v>6</v>
      </c>
      <c r="J2636" t="str">
        <f>VLOOKUP(I2636,[2]categories!$A$2:$B$8,2,0)</f>
        <v>Mountain Bikes</v>
      </c>
    </row>
    <row r="2637" spans="1:10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 s="1">
        <f t="shared" si="41"/>
        <v>559.984</v>
      </c>
      <c r="H2637" t="str">
        <f>VLOOKUP(C2637,[1]products!$A:$B,2,0)</f>
        <v>Electra Savannah 3i (20-inch) - Girl's - 2017</v>
      </c>
      <c r="I2637">
        <f>VLOOKUP(H2637,[1]products!$B:$D,3,0)</f>
        <v>1</v>
      </c>
      <c r="J2637" t="str">
        <f>VLOOKUP(I2637,[2]categories!$A$2:$B$8,2,0)</f>
        <v>Children Bicycles</v>
      </c>
    </row>
    <row r="2638" spans="1:10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 s="1">
        <f t="shared" si="41"/>
        <v>666.392</v>
      </c>
      <c r="H2638" t="str">
        <f>VLOOKUP(C2638,[1]products!$A:$B,2,0)</f>
        <v>Surly Troll Frameset - 2017</v>
      </c>
      <c r="I2638">
        <f>VLOOKUP(H2638,[1]products!$B:$D,3,0)</f>
        <v>6</v>
      </c>
      <c r="J2638" t="str">
        <f>VLOOKUP(I2638,[2]categories!$A$2:$B$8,2,0)</f>
        <v>Mountain Bikes</v>
      </c>
    </row>
    <row r="2639" spans="1:10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0.07</v>
      </c>
      <c r="G2639" s="1">
        <f t="shared" si="41"/>
        <v>325.4907</v>
      </c>
      <c r="H2639" t="str">
        <f>VLOOKUP(C2639,[1]products!$A:$B,2,0)</f>
        <v>Electra Savannah 3i (20-inch) - Girl's - 2017</v>
      </c>
      <c r="I2639">
        <f>VLOOKUP(H2639,[1]products!$B:$D,3,0)</f>
        <v>1</v>
      </c>
      <c r="J2639" t="str">
        <f>VLOOKUP(I2639,[2]categories!$A$2:$B$8,2,0)</f>
        <v>Children Bicycles</v>
      </c>
    </row>
    <row r="2640" spans="1:10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 s="1">
        <f t="shared" si="41"/>
        <v>5599.984</v>
      </c>
      <c r="H2640" t="str">
        <f>VLOOKUP(C2640,[1]products!$A:$B,2,0)</f>
        <v>Trek Boone 7 - 2017</v>
      </c>
      <c r="I2640">
        <f>VLOOKUP(H2640,[1]products!$B:$D,3,0)</f>
        <v>4</v>
      </c>
      <c r="J2640" t="str">
        <f>VLOOKUP(I2640,[2]categories!$A$2:$B$8,2,0)</f>
        <v>Cyclocross Bicycles</v>
      </c>
    </row>
    <row r="2641" spans="1:10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 s="1">
        <f t="shared" si="41"/>
        <v>607.984</v>
      </c>
      <c r="H2641" t="str">
        <f>VLOOKUP(C2641,[1]products!$A:$B,2,0)</f>
        <v>Haro Flightline One ST - 2017</v>
      </c>
      <c r="I2641">
        <f>VLOOKUP(H2641,[1]products!$B:$D,3,0)</f>
        <v>6</v>
      </c>
      <c r="J2641" t="str">
        <f>VLOOKUP(I2641,[2]categories!$A$2:$B$8,2,0)</f>
        <v>Mountain Bikes</v>
      </c>
    </row>
    <row r="2642" spans="1:10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 s="1">
        <f t="shared" si="41"/>
        <v>791.982</v>
      </c>
      <c r="H2642" t="str">
        <f>VLOOKUP(C2642,[1]products!$A:$B,2,0)</f>
        <v>Electra Cruiser Lux 1 - 2017</v>
      </c>
      <c r="I2642">
        <f>VLOOKUP(H2642,[1]products!$B:$D,3,0)</f>
        <v>3</v>
      </c>
      <c r="J2642" t="str">
        <f>VLOOKUP(I2642,[2]categories!$A$2:$B$8,2,0)</f>
        <v>Cruisers Bicycles</v>
      </c>
    </row>
    <row r="2643" spans="1:10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 s="1">
        <f t="shared" si="41"/>
        <v>959.984</v>
      </c>
      <c r="H2643" t="str">
        <f>VLOOKUP(C2643,[1]products!$A:$B,2,0)</f>
        <v>Electra Townie Original 7D EQ - 2016</v>
      </c>
      <c r="I2643">
        <f>VLOOKUP(H2643,[1]products!$B:$D,3,0)</f>
        <v>3</v>
      </c>
      <c r="J2643" t="str">
        <f>VLOOKUP(I2643,[2]categories!$A$2:$B$8,2,0)</f>
        <v>Cruisers Bicycles</v>
      </c>
    </row>
    <row r="2644" spans="1:10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 s="1">
        <f t="shared" si="41"/>
        <v>5399.991</v>
      </c>
      <c r="H2644" t="str">
        <f>VLOOKUP(C2644,[1]products!$A:$B,2,0)</f>
        <v>Trek Silque SLR 7 Women's - 2017</v>
      </c>
      <c r="I2644">
        <f>VLOOKUP(H2644,[1]products!$B:$D,3,0)</f>
        <v>7</v>
      </c>
      <c r="J2644" t="str">
        <f>VLOOKUP(I2644,[2]categories!$A$2:$B$8,2,0)</f>
        <v>Road Bikes</v>
      </c>
    </row>
    <row r="2645" spans="1:10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 s="1">
        <f t="shared" si="41"/>
        <v>899.991</v>
      </c>
      <c r="H2645" t="str">
        <f>VLOOKUP(C2645,[1]products!$A:$B,2,0)</f>
        <v>Surly Wednesday Frameset - 2016</v>
      </c>
      <c r="I2645">
        <f>VLOOKUP(H2645,[1]products!$B:$D,3,0)</f>
        <v>6</v>
      </c>
      <c r="J2645" t="str">
        <f>VLOOKUP(I2645,[2]categories!$A$2:$B$8,2,0)</f>
        <v>Mountain Bikes</v>
      </c>
    </row>
    <row r="2646" spans="1:10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0.07</v>
      </c>
      <c r="G2646" s="1">
        <f t="shared" si="41"/>
        <v>4928.9907</v>
      </c>
      <c r="H2646" t="str">
        <f>VLOOKUP(C2646,[1]products!$A:$B,2,0)</f>
        <v>Trek Fuel EX 9.8 27.5 Plus - 2017</v>
      </c>
      <c r="I2646">
        <f>VLOOKUP(H2646,[1]products!$B:$D,3,0)</f>
        <v>6</v>
      </c>
      <c r="J2646" t="str">
        <f>VLOOKUP(I2646,[2]categories!$A$2:$B$8,2,0)</f>
        <v>Mountain Bikes</v>
      </c>
    </row>
    <row r="2647" spans="1:10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 s="1">
        <f t="shared" si="41"/>
        <v>792.281</v>
      </c>
      <c r="H2647" t="str">
        <f>VLOOKUP(C2647,[1]products!$A:$B,2,0)</f>
        <v>Sun Bicycles Atlas X-Type - 2017</v>
      </c>
      <c r="I2647">
        <f>VLOOKUP(H2647,[1]products!$B:$D,3,0)</f>
        <v>3</v>
      </c>
      <c r="J2647" t="str">
        <f>VLOOKUP(I2647,[2]categories!$A$2:$B$8,2,0)</f>
        <v>Cruisers Bicycles</v>
      </c>
    </row>
    <row r="2648" spans="1:10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 s="1">
        <f t="shared" si="41"/>
        <v>119.992</v>
      </c>
      <c r="H2648" t="str">
        <f>VLOOKUP(C2648,[1]products!$A:$B,2,0)</f>
        <v>Trek Boy's Kickster - 2015/2017</v>
      </c>
      <c r="I2648">
        <f>VLOOKUP(H2648,[1]products!$B:$D,3,0)</f>
        <v>1</v>
      </c>
      <c r="J2648" t="str">
        <f>VLOOKUP(I2648,[2]categories!$A$2:$B$8,2,0)</f>
        <v>Children Bicycles</v>
      </c>
    </row>
    <row r="2649" spans="1:10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 s="1">
        <f t="shared" si="41"/>
        <v>527.992</v>
      </c>
      <c r="H2649" t="str">
        <f>VLOOKUP(C2649,[1]products!$A:$B,2,0)</f>
        <v>Electra Amsterdam Original 3i Ladies' - 2017</v>
      </c>
      <c r="I2649">
        <f>VLOOKUP(H2649,[1]products!$B:$D,3,0)</f>
        <v>3</v>
      </c>
      <c r="J2649" t="str">
        <f>VLOOKUP(I2649,[2]categories!$A$2:$B$8,2,0)</f>
        <v>Cruisers Bicycles</v>
      </c>
    </row>
    <row r="2650" spans="1:10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 s="1">
        <f t="shared" si="41"/>
        <v>6299.982</v>
      </c>
      <c r="H2650" t="str">
        <f>VLOOKUP(C2650,[1]products!$A:$B,2,0)</f>
        <v>Trek Boone Race Shop Limited - 2017</v>
      </c>
      <c r="I2650">
        <f>VLOOKUP(H2650,[1]products!$B:$D,3,0)</f>
        <v>4</v>
      </c>
      <c r="J2650" t="str">
        <f>VLOOKUP(I2650,[2]categories!$A$2:$B$8,2,0)</f>
        <v>Cyclocross Bicycles</v>
      </c>
    </row>
    <row r="2651" spans="1:10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 s="1">
        <f t="shared" si="41"/>
        <v>522.4905</v>
      </c>
      <c r="H2651" t="str">
        <f>VLOOKUP(C2651,[1]products!$A:$B,2,0)</f>
        <v>Electra Townie Original 21D - 2016</v>
      </c>
      <c r="I2651">
        <f>VLOOKUP(H2651,[1]products!$B:$D,3,0)</f>
        <v>3</v>
      </c>
      <c r="J2651" t="str">
        <f>VLOOKUP(I2651,[2]categories!$A$2:$B$8,2,0)</f>
        <v>Cruisers Bicycles</v>
      </c>
    </row>
    <row r="2652" spans="1:10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0.07</v>
      </c>
      <c r="G2652" s="1">
        <f t="shared" si="41"/>
        <v>10229.9814</v>
      </c>
      <c r="H2652" t="str">
        <f>VLOOKUP(C2652,[1]products!$A:$B,2,0)</f>
        <v>Trek Domane SLR 6 Disc - 2017</v>
      </c>
      <c r="I2652">
        <f>VLOOKUP(H2652,[1]products!$B:$D,3,0)</f>
        <v>7</v>
      </c>
      <c r="J2652" t="str">
        <f>VLOOKUP(I2652,[2]categories!$A$2:$B$8,2,0)</f>
        <v>Road Bikes</v>
      </c>
    </row>
    <row r="2653" spans="1:10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0.07</v>
      </c>
      <c r="G2653" s="1">
        <f t="shared" si="41"/>
        <v>613.7907</v>
      </c>
      <c r="H2653" t="str">
        <f>VLOOKUP(C2653,[1]products!$A:$B,2,0)</f>
        <v>Electra Amsterdam Original 3i Ladies' - 2017</v>
      </c>
      <c r="I2653">
        <f>VLOOKUP(H2653,[1]products!$B:$D,3,0)</f>
        <v>3</v>
      </c>
      <c r="J2653" t="str">
        <f>VLOOKUP(I2653,[2]categories!$A$2:$B$8,2,0)</f>
        <v>Cruisers Bicycles</v>
      </c>
    </row>
    <row r="2654" spans="1:10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 s="1">
        <f t="shared" si="41"/>
        <v>1403.991</v>
      </c>
      <c r="H2654" t="str">
        <f>VLOOKUP(C2654,[1]products!$A:$B,2,0)</f>
        <v>Sun Bicycles ElectroLite - 2017</v>
      </c>
      <c r="I2654">
        <f>VLOOKUP(H2654,[1]products!$B:$D,3,0)</f>
        <v>5</v>
      </c>
      <c r="J2654" t="str">
        <f>VLOOKUP(I2654,[2]categories!$A$2:$B$8,2,0)</f>
        <v>Electric Bikes</v>
      </c>
    </row>
    <row r="2655" spans="1:10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 s="1">
        <f t="shared" si="41"/>
        <v>659.281</v>
      </c>
      <c r="H2655" t="str">
        <f>VLOOKUP(C2655,[1]products!$A:$B,2,0)</f>
        <v>Sun Bicycles Lil Bolt Type-R - 2017</v>
      </c>
      <c r="I2655">
        <f>VLOOKUP(H2655,[1]products!$B:$D,3,0)</f>
        <v>3</v>
      </c>
      <c r="J2655" t="str">
        <f>VLOOKUP(I2655,[2]categories!$A$2:$B$8,2,0)</f>
        <v>Cruisers Bicycles</v>
      </c>
    </row>
    <row r="2656" spans="1:10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 s="1">
        <f t="shared" si="41"/>
        <v>11699.982</v>
      </c>
      <c r="H2656" t="str">
        <f>VLOOKUP(C2656,[1]products!$A:$B,2,0)</f>
        <v>Trek Silque SLR 8 Women's - 2017</v>
      </c>
      <c r="I2656">
        <f>VLOOKUP(H2656,[1]products!$B:$D,3,0)</f>
        <v>7</v>
      </c>
      <c r="J2656" t="str">
        <f>VLOOKUP(I2656,[2]categories!$A$2:$B$8,2,0)</f>
        <v>Road Bikes</v>
      </c>
    </row>
    <row r="2657" spans="1:10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0.07</v>
      </c>
      <c r="G2657" s="1">
        <f t="shared" si="41"/>
        <v>6509.9814</v>
      </c>
      <c r="H2657" t="str">
        <f>VLOOKUP(C2657,[1]products!$A:$B,2,0)</f>
        <v>Trek Domane SL 6 - 2017</v>
      </c>
      <c r="I2657">
        <f>VLOOKUP(H2657,[1]products!$B:$D,3,0)</f>
        <v>7</v>
      </c>
      <c r="J2657" t="str">
        <f>VLOOKUP(I2657,[2]categories!$A$2:$B$8,2,0)</f>
        <v>Road Bikes</v>
      </c>
    </row>
    <row r="2658" spans="1:10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 s="1">
        <f t="shared" si="41"/>
        <v>239.992</v>
      </c>
      <c r="H2658" t="str">
        <f>VLOOKUP(C2658,[1]products!$A:$B,2,0)</f>
        <v>Electra Girl's Hawaii 1 16" - 2017</v>
      </c>
      <c r="I2658">
        <f>VLOOKUP(H2658,[1]products!$B:$D,3,0)</f>
        <v>3</v>
      </c>
      <c r="J2658" t="str">
        <f>VLOOKUP(I2658,[2]categories!$A$2:$B$8,2,0)</f>
        <v>Cruisers Bicycles</v>
      </c>
    </row>
    <row r="2659" spans="1:10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 s="1">
        <f t="shared" si="41"/>
        <v>417.9905</v>
      </c>
      <c r="H2659" t="str">
        <f>VLOOKUP(C2659,[1]products!$A:$B,2,0)</f>
        <v>Electra Cruiser Lux 1 - 2017</v>
      </c>
      <c r="I2659">
        <f>VLOOKUP(H2659,[1]products!$B:$D,3,0)</f>
        <v>3</v>
      </c>
      <c r="J2659" t="str">
        <f>VLOOKUP(I2659,[2]categories!$A$2:$B$8,2,0)</f>
        <v>Cruisers Bicycles</v>
      </c>
    </row>
    <row r="2660" spans="1:10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0.07</v>
      </c>
      <c r="G2660" s="1">
        <f t="shared" si="41"/>
        <v>743.9907</v>
      </c>
      <c r="H2660" t="str">
        <f>VLOOKUP(C2660,[1]products!$A:$B,2,0)</f>
        <v>Electra Glam Punk 3i Ladies' - 2017</v>
      </c>
      <c r="I2660">
        <f>VLOOKUP(H2660,[1]products!$B:$D,3,0)</f>
        <v>3</v>
      </c>
      <c r="J2660" t="str">
        <f>VLOOKUP(I2660,[2]categories!$A$2:$B$8,2,0)</f>
        <v>Cruisers Bicycles</v>
      </c>
    </row>
    <row r="2661" spans="1:10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 s="1">
        <f t="shared" si="41"/>
        <v>215.992</v>
      </c>
      <c r="H2661" t="str">
        <f>VLOOKUP(C2661,[1]products!$A:$B,2,0)</f>
        <v>Electra Cruiser 1 (24-Inch) - 2016</v>
      </c>
      <c r="I2661">
        <f>VLOOKUP(H2661,[1]products!$B:$D,3,0)</f>
        <v>3</v>
      </c>
      <c r="J2661" t="str">
        <f>VLOOKUP(I2661,[2]categories!$A$2:$B$8,2,0)</f>
        <v>Cruisers Bicycles</v>
      </c>
    </row>
    <row r="2662" spans="1:10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 s="1">
        <f t="shared" si="41"/>
        <v>1139.981</v>
      </c>
      <c r="H2662" t="str">
        <f>VLOOKUP(C2662,[1]products!$A:$B,2,0)</f>
        <v>Electra Cruiser Lux Fat Tire 1 Ladies - 2017</v>
      </c>
      <c r="I2662">
        <f>VLOOKUP(H2662,[1]products!$B:$D,3,0)</f>
        <v>3</v>
      </c>
      <c r="J2662" t="str">
        <f>VLOOKUP(I2662,[2]categories!$A$2:$B$8,2,0)</f>
        <v>Cruisers Bicycles</v>
      </c>
    </row>
    <row r="2663" spans="1:10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 s="1">
        <f t="shared" si="41"/>
        <v>1582.681</v>
      </c>
      <c r="H2663" t="str">
        <f>VLOOKUP(C2663,[1]products!$A:$B,2,0)</f>
        <v>Sun Bicycles Spider 3i - 2017</v>
      </c>
      <c r="I2663">
        <f>VLOOKUP(H2663,[1]products!$B:$D,3,0)</f>
        <v>6</v>
      </c>
      <c r="J2663" t="str">
        <f>VLOOKUP(I2663,[2]categories!$A$2:$B$8,2,0)</f>
        <v>Mountain Bikes</v>
      </c>
    </row>
    <row r="2664" spans="1:10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 s="1">
        <f t="shared" si="41"/>
        <v>1424.9905</v>
      </c>
      <c r="H2664" t="str">
        <f>VLOOKUP(C2664,[1]products!$A:$B,2,0)</f>
        <v>Trek Emonda S 4 - 2017</v>
      </c>
      <c r="I2664">
        <f>VLOOKUP(H2664,[1]products!$B:$D,3,0)</f>
        <v>7</v>
      </c>
      <c r="J2664" t="str">
        <f>VLOOKUP(I2664,[2]categories!$A$2:$B$8,2,0)</f>
        <v>Road Bikes</v>
      </c>
    </row>
    <row r="2665" spans="1:10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 s="1">
        <f t="shared" si="41"/>
        <v>404.1</v>
      </c>
      <c r="H2665" t="str">
        <f>VLOOKUP(C2665,[1]products!$A:$B,2,0)</f>
        <v>Pure Cycles Western 3-Speed - Women's - 2015/2016</v>
      </c>
      <c r="I2665">
        <f>VLOOKUP(H2665,[1]products!$B:$D,3,0)</f>
        <v>3</v>
      </c>
      <c r="J2665" t="str">
        <f>VLOOKUP(I2665,[2]categories!$A$2:$B$8,2,0)</f>
        <v>Cruisers Bicycles</v>
      </c>
    </row>
    <row r="2666" spans="1:10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0.07</v>
      </c>
      <c r="G2666" s="1">
        <f t="shared" si="41"/>
        <v>4649.9907</v>
      </c>
      <c r="H2666" t="str">
        <f>VLOOKUP(C2666,[1]products!$A:$B,2,0)</f>
        <v>Trek Powerfly 8 FS Plus - 2017</v>
      </c>
      <c r="I2666">
        <f>VLOOKUP(H2666,[1]products!$B:$D,3,0)</f>
        <v>5</v>
      </c>
      <c r="J2666" t="str">
        <f>VLOOKUP(I2666,[2]categories!$A$2:$B$8,2,0)</f>
        <v>Electric Bikes</v>
      </c>
    </row>
    <row r="2667" spans="1:10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 s="1">
        <f t="shared" si="41"/>
        <v>8799.984</v>
      </c>
      <c r="H2667" t="str">
        <f>VLOOKUP(C2667,[1]products!$A:$B,2,0)</f>
        <v>Trek Domane SLR 6 Disc - 2017</v>
      </c>
      <c r="I2667">
        <f>VLOOKUP(H2667,[1]products!$B:$D,3,0)</f>
        <v>7</v>
      </c>
      <c r="J2667" t="str">
        <f>VLOOKUP(I2667,[2]categories!$A$2:$B$8,2,0)</f>
        <v>Road Bikes</v>
      </c>
    </row>
    <row r="2668" spans="1:10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 s="1">
        <f t="shared" si="41"/>
        <v>555.184</v>
      </c>
      <c r="H2668" t="str">
        <f>VLOOKUP(C2668,[1]products!$A:$B,2,0)</f>
        <v>Sun Bicycles Lil Bolt Type-R - 2017</v>
      </c>
      <c r="I2668">
        <f>VLOOKUP(H2668,[1]products!$B:$D,3,0)</f>
        <v>3</v>
      </c>
      <c r="J2668" t="str">
        <f>VLOOKUP(I2668,[2]categories!$A$2:$B$8,2,0)</f>
        <v>Cruisers Bicycles</v>
      </c>
    </row>
    <row r="2669" spans="1:10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0.07</v>
      </c>
      <c r="G2669" s="1">
        <f t="shared" si="41"/>
        <v>557.9814</v>
      </c>
      <c r="H2669" t="str">
        <f>VLOOKUP(C2669,[1]products!$A:$B,2,0)</f>
        <v>Electra Girl's Hawaii 1 16" - 2017</v>
      </c>
      <c r="I2669">
        <f>VLOOKUP(H2669,[1]products!$B:$D,3,0)</f>
        <v>3</v>
      </c>
      <c r="J2669" t="str">
        <f>VLOOKUP(I2669,[2]categories!$A$2:$B$8,2,0)</f>
        <v>Cruisers Bicycles</v>
      </c>
    </row>
    <row r="2670" spans="1:10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0.07</v>
      </c>
      <c r="G2670" s="1">
        <f t="shared" si="41"/>
        <v>437.0907</v>
      </c>
      <c r="H2670" t="str">
        <f>VLOOKUP(C2670,[1]products!$A:$B,2,0)</f>
        <v>Surly Ice Cream Truck Frameset - 2016</v>
      </c>
      <c r="I2670">
        <f>VLOOKUP(H2670,[1]products!$B:$D,3,0)</f>
        <v>6</v>
      </c>
      <c r="J2670" t="str">
        <f>VLOOKUP(I2670,[2]categories!$A$2:$B$8,2,0)</f>
        <v>Mountain Bikes</v>
      </c>
    </row>
    <row r="2671" spans="1:10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0.07</v>
      </c>
      <c r="G2671" s="1">
        <f t="shared" si="41"/>
        <v>511.4907</v>
      </c>
      <c r="H2671" t="str">
        <f>VLOOKUP(C2671,[1]products!$A:$B,2,0)</f>
        <v>Haro Flightline Two 26 Plus - 2017</v>
      </c>
      <c r="I2671">
        <f>VLOOKUP(H2671,[1]products!$B:$D,3,0)</f>
        <v>6</v>
      </c>
      <c r="J2671" t="str">
        <f>VLOOKUP(I2671,[2]categories!$A$2:$B$8,2,0)</f>
        <v>Mountain Bikes</v>
      </c>
    </row>
    <row r="2672" spans="1:10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 s="1">
        <f t="shared" si="41"/>
        <v>593.991</v>
      </c>
      <c r="H2672" t="str">
        <f>VLOOKUP(C2672,[1]products!$A:$B,2,0)</f>
        <v>Electra Amsterdam Original 3i - 2015/2017</v>
      </c>
      <c r="I2672">
        <f>VLOOKUP(H2672,[1]products!$B:$D,3,0)</f>
        <v>3</v>
      </c>
      <c r="J2672" t="str">
        <f>VLOOKUP(I2672,[2]categories!$A$2:$B$8,2,0)</f>
        <v>Cruisers Bicycles</v>
      </c>
    </row>
    <row r="2673" spans="1:10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0.07</v>
      </c>
      <c r="G2673" s="1">
        <f t="shared" si="41"/>
        <v>502.1907</v>
      </c>
      <c r="H2673" t="str">
        <f>VLOOKUP(C2673,[1]products!$A:$B,2,0)</f>
        <v>Haro SR 1.1 - 2017</v>
      </c>
      <c r="I2673">
        <f>VLOOKUP(H2673,[1]products!$B:$D,3,0)</f>
        <v>6</v>
      </c>
      <c r="J2673" t="str">
        <f>VLOOKUP(I2673,[2]categories!$A$2:$B$8,2,0)</f>
        <v>Mountain Bikes</v>
      </c>
    </row>
    <row r="2674" spans="1:10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 s="1">
        <f t="shared" si="41"/>
        <v>809.982</v>
      </c>
      <c r="H2674" t="str">
        <f>VLOOKUP(C2674,[1]products!$A:$B,2,0)</f>
        <v>Sun Bicycles Cruz 3 - Women's - 2017</v>
      </c>
      <c r="I2674">
        <f>VLOOKUP(H2674,[1]products!$B:$D,3,0)</f>
        <v>2</v>
      </c>
      <c r="J2674" t="str">
        <f>VLOOKUP(I2674,[2]categories!$A$2:$B$8,2,0)</f>
        <v>Comfort Bicycles</v>
      </c>
    </row>
    <row r="2675" spans="1:10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0.07</v>
      </c>
      <c r="G2675" s="1">
        <f t="shared" si="41"/>
        <v>12089.9814</v>
      </c>
      <c r="H2675" t="str">
        <f>VLOOKUP(C2675,[1]products!$A:$B,2,0)</f>
        <v>Trek Silque SLR 8 Women's - 2017</v>
      </c>
      <c r="I2675">
        <f>VLOOKUP(H2675,[1]products!$B:$D,3,0)</f>
        <v>7</v>
      </c>
      <c r="J2675" t="str">
        <f>VLOOKUP(I2675,[2]categories!$A$2:$B$8,2,0)</f>
        <v>Road Bikes</v>
      </c>
    </row>
    <row r="2676" spans="1:10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0.07</v>
      </c>
      <c r="G2676" s="1">
        <f t="shared" si="41"/>
        <v>9299.9814</v>
      </c>
      <c r="H2676" t="str">
        <f>VLOOKUP(C2676,[1]products!$A:$B,2,0)</f>
        <v>Trek Madone 9.2 - 2017</v>
      </c>
      <c r="I2676">
        <f>VLOOKUP(H2676,[1]products!$B:$D,3,0)</f>
        <v>7</v>
      </c>
      <c r="J2676" t="str">
        <f>VLOOKUP(I2676,[2]categories!$A$2:$B$8,2,0)</f>
        <v>Road Bikes</v>
      </c>
    </row>
    <row r="2677" spans="1:10">
      <c r="A2677">
        <v>937</v>
      </c>
      <c r="B2677">
        <v>4</v>
      </c>
      <c r="C2677">
        <v>28</v>
      </c>
      <c r="D2677">
        <v>2</v>
      </c>
      <c r="E2677">
        <v>2499.99</v>
      </c>
      <c r="F2677">
        <v>0.07</v>
      </c>
      <c r="G2677" s="1">
        <f t="shared" si="41"/>
        <v>4649.9814</v>
      </c>
      <c r="H2677" t="str">
        <f>VLOOKUP(C2677,[1]products!$A:$B,2,0)</f>
        <v>Surly Karate Monkey 27.5+ Frameset - 2017</v>
      </c>
      <c r="I2677">
        <f>VLOOKUP(H2677,[1]products!$B:$D,3,0)</f>
        <v>6</v>
      </c>
      <c r="J2677" t="str">
        <f>VLOOKUP(I2677,[2]categories!$A$2:$B$8,2,0)</f>
        <v>Mountain Bikes</v>
      </c>
    </row>
    <row r="2678" spans="1:10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 s="1">
        <f t="shared" si="41"/>
        <v>200.792</v>
      </c>
      <c r="H2678" t="str">
        <f>VLOOKUP(C2678,[1]products!$A:$B,2,0)</f>
        <v>Sun Bicycles Revolutions 24 - 2017</v>
      </c>
      <c r="I2678">
        <f>VLOOKUP(H2678,[1]products!$B:$D,3,0)</f>
        <v>3</v>
      </c>
      <c r="J2678" t="str">
        <f>VLOOKUP(I2678,[2]categories!$A$2:$B$8,2,0)</f>
        <v>Cruisers Bicycles</v>
      </c>
    </row>
    <row r="2679" spans="1:10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 s="1">
        <f t="shared" si="41"/>
        <v>2754.9905</v>
      </c>
      <c r="H2679" t="str">
        <f>VLOOKUP(C2679,[1]products!$A:$B,2,0)</f>
        <v>Trek Fuel EX 8 29 - 2016</v>
      </c>
      <c r="I2679">
        <f>VLOOKUP(H2679,[1]products!$B:$D,3,0)</f>
        <v>6</v>
      </c>
      <c r="J2679" t="str">
        <f>VLOOKUP(I2679,[2]categories!$A$2:$B$8,2,0)</f>
        <v>Mountain Bikes</v>
      </c>
    </row>
    <row r="2680" spans="1:10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 s="1">
        <f t="shared" si="41"/>
        <v>256.4905</v>
      </c>
      <c r="H2680" t="str">
        <f>VLOOKUP(C2680,[1]products!$A:$B,2,0)</f>
        <v>Electra Cruiser 1 (24-Inch) - 2016</v>
      </c>
      <c r="I2680">
        <f>VLOOKUP(H2680,[1]products!$B:$D,3,0)</f>
        <v>3</v>
      </c>
      <c r="J2680" t="str">
        <f>VLOOKUP(I2680,[2]categories!$A$2:$B$8,2,0)</f>
        <v>Cruisers Bicycles</v>
      </c>
    </row>
    <row r="2681" spans="1:10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 s="1">
        <f t="shared" si="41"/>
        <v>1188.891</v>
      </c>
      <c r="H2681" t="str">
        <f>VLOOKUP(C2681,[1]products!$A:$B,2,0)</f>
        <v>Heller Shagamaw Frame - 2016</v>
      </c>
      <c r="I2681">
        <f>VLOOKUP(H2681,[1]products!$B:$D,3,0)</f>
        <v>6</v>
      </c>
      <c r="J2681" t="str">
        <f>VLOOKUP(I2681,[2]categories!$A$2:$B$8,2,0)</f>
        <v>Mountain Bikes</v>
      </c>
    </row>
    <row r="2682" spans="1:10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 s="1">
        <f t="shared" si="41"/>
        <v>667.184</v>
      </c>
      <c r="H2682" t="str">
        <f>VLOOKUP(C2682,[1]products!$A:$B,2,0)</f>
        <v>Sun Bicycles Cruz 7 - 2017</v>
      </c>
      <c r="I2682">
        <f>VLOOKUP(H2682,[1]products!$B:$D,3,0)</f>
        <v>3</v>
      </c>
      <c r="J2682" t="str">
        <f>VLOOKUP(I2682,[2]categories!$A$2:$B$8,2,0)</f>
        <v>Cruisers Bicycles</v>
      </c>
    </row>
    <row r="2683" spans="1:10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 s="1">
        <f t="shared" si="41"/>
        <v>959.984</v>
      </c>
      <c r="H2683" t="str">
        <f>VLOOKUP(C2683,[1]products!$A:$B,2,0)</f>
        <v>Electra Cruiser Lux Fat Tire 1 Ladies - 2017</v>
      </c>
      <c r="I2683">
        <f>VLOOKUP(H2683,[1]products!$B:$D,3,0)</f>
        <v>3</v>
      </c>
      <c r="J2683" t="str">
        <f>VLOOKUP(I2683,[2]categories!$A$2:$B$8,2,0)</f>
        <v>Cruisers Bicycles</v>
      </c>
    </row>
    <row r="2684" spans="1:10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 s="1">
        <f t="shared" si="41"/>
        <v>449.991</v>
      </c>
      <c r="H2684" t="str">
        <f>VLOOKUP(C2684,[1]products!$A:$B,2,0)</f>
        <v>Electra Townie Original 7D - 2015/2016</v>
      </c>
      <c r="I2684">
        <f>VLOOKUP(H2684,[1]products!$B:$D,3,0)</f>
        <v>2</v>
      </c>
      <c r="J2684" t="str">
        <f>VLOOKUP(I2684,[2]categories!$A$2:$B$8,2,0)</f>
        <v>Comfort Bicycles</v>
      </c>
    </row>
    <row r="2685" spans="1:10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 s="1">
        <f t="shared" si="41"/>
        <v>930.981</v>
      </c>
      <c r="H2685" t="str">
        <f>VLOOKUP(C2685,[1]products!$A:$B,2,0)</f>
        <v>Electra Townie Original 7D - 2017</v>
      </c>
      <c r="I2685">
        <f>VLOOKUP(H2685,[1]products!$B:$D,3,0)</f>
        <v>3</v>
      </c>
      <c r="J2685" t="str">
        <f>VLOOKUP(I2685,[2]categories!$A$2:$B$8,2,0)</f>
        <v>Cruisers Bicycles</v>
      </c>
    </row>
    <row r="2686" spans="1:10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0.07</v>
      </c>
      <c r="G2686" s="1">
        <f t="shared" si="41"/>
        <v>3126.6414</v>
      </c>
      <c r="H2686" t="str">
        <f>VLOOKUP(C2686,[1]products!$A:$B,2,0)</f>
        <v>Surly Straggler 650b - 2016</v>
      </c>
      <c r="I2686">
        <f>VLOOKUP(H2686,[1]products!$B:$D,3,0)</f>
        <v>4</v>
      </c>
      <c r="J2686" t="str">
        <f>VLOOKUP(I2686,[2]categories!$A$2:$B$8,2,0)</f>
        <v>Cyclocross Bicycles</v>
      </c>
    </row>
    <row r="2687" spans="1:10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 s="1">
        <f t="shared" si="41"/>
        <v>930.981</v>
      </c>
      <c r="H2687" t="str">
        <f>VLOOKUP(C2687,[1]products!$A:$B,2,0)</f>
        <v>Electra Straight 8 3i (20-inch) - Boy's - 2017</v>
      </c>
      <c r="I2687">
        <f>VLOOKUP(H2687,[1]products!$B:$D,3,0)</f>
        <v>1</v>
      </c>
      <c r="J2687" t="str">
        <f>VLOOKUP(I2687,[2]categories!$A$2:$B$8,2,0)</f>
        <v>Children Bicycles</v>
      </c>
    </row>
    <row r="2688" spans="1:10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 s="1">
        <f t="shared" si="41"/>
        <v>847.782</v>
      </c>
      <c r="H2688" t="str">
        <f>VLOOKUP(C2688,[1]products!$A:$B,2,0)</f>
        <v>Sun Bicycles Drifter 7 - 2017</v>
      </c>
      <c r="I2688">
        <f>VLOOKUP(H2688,[1]products!$B:$D,3,0)</f>
        <v>2</v>
      </c>
      <c r="J2688" t="str">
        <f>VLOOKUP(I2688,[2]categories!$A$2:$B$8,2,0)</f>
        <v>Comfort Bicycles</v>
      </c>
    </row>
    <row r="2689" spans="1:10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0.07</v>
      </c>
      <c r="G2689" s="1">
        <f t="shared" si="41"/>
        <v>1549.3614</v>
      </c>
      <c r="H2689" t="str">
        <f>VLOOKUP(C2689,[1]products!$A:$B,2,0)</f>
        <v>Sun Bicycles Spider 3i - 2017</v>
      </c>
      <c r="I2689">
        <f>VLOOKUP(H2689,[1]products!$B:$D,3,0)</f>
        <v>6</v>
      </c>
      <c r="J2689" t="str">
        <f>VLOOKUP(I2689,[2]categories!$A$2:$B$8,2,0)</f>
        <v>Mountain Bikes</v>
      </c>
    </row>
    <row r="2690" spans="1:10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 s="1">
        <f t="shared" ref="G2690:G2753" si="42">D2690*E2690*(1-F2690)</f>
        <v>524.3905</v>
      </c>
      <c r="H2690" t="str">
        <f>VLOOKUP(C2690,[1]products!$A:$B,2,0)</f>
        <v>Sun Bicycles Streamway 3 - 2017</v>
      </c>
      <c r="I2690">
        <f>VLOOKUP(H2690,[1]products!$B:$D,3,0)</f>
        <v>2</v>
      </c>
      <c r="J2690" t="str">
        <f>VLOOKUP(I2690,[2]categories!$A$2:$B$8,2,0)</f>
        <v>Comfort Bicycles</v>
      </c>
    </row>
    <row r="2691" spans="1:10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 s="1">
        <f t="shared" si="42"/>
        <v>465.4905</v>
      </c>
      <c r="H2691" t="str">
        <f>VLOOKUP(C2691,[1]products!$A:$B,2,0)</f>
        <v>Electra Townie 3i EQ (20-inch) - Boys' - 2017</v>
      </c>
      <c r="I2691">
        <f>VLOOKUP(H2691,[1]products!$B:$D,3,0)</f>
        <v>1</v>
      </c>
      <c r="J2691" t="str">
        <f>VLOOKUP(I2691,[2]categories!$A$2:$B$8,2,0)</f>
        <v>Children Bicycles</v>
      </c>
    </row>
    <row r="2692" spans="1:10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 s="1">
        <f t="shared" si="42"/>
        <v>399.992</v>
      </c>
      <c r="H2692" t="str">
        <f>VLOOKUP(C2692,[1]products!$A:$B,2,0)</f>
        <v>Electra Townie Original 7D - 2015/2016</v>
      </c>
      <c r="I2692">
        <f>VLOOKUP(H2692,[1]products!$B:$D,3,0)</f>
        <v>2</v>
      </c>
      <c r="J2692" t="str">
        <f>VLOOKUP(I2692,[2]categories!$A$2:$B$8,2,0)</f>
        <v>Comfort Bicycles</v>
      </c>
    </row>
    <row r="2693" spans="1:10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 s="1">
        <f t="shared" si="42"/>
        <v>527.992</v>
      </c>
      <c r="H2693" t="str">
        <f>VLOOKUP(C2693,[1]products!$A:$B,2,0)</f>
        <v>Electra Amsterdam Original 3i Ladies' - 2017</v>
      </c>
      <c r="I2693">
        <f>VLOOKUP(H2693,[1]products!$B:$D,3,0)</f>
        <v>3</v>
      </c>
      <c r="J2693" t="str">
        <f>VLOOKUP(I2693,[2]categories!$A$2:$B$8,2,0)</f>
        <v>Cruisers Bicycles</v>
      </c>
    </row>
    <row r="2694" spans="1:10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0.07</v>
      </c>
      <c r="G2694" s="1">
        <f t="shared" si="42"/>
        <v>1859.9814</v>
      </c>
      <c r="H2694" t="str">
        <f>VLOOKUP(C2694,[1]products!$A:$B,2,0)</f>
        <v>Trek X-Caliber 8 - 2017</v>
      </c>
      <c r="I2694">
        <f>VLOOKUP(H2694,[1]products!$B:$D,3,0)</f>
        <v>6</v>
      </c>
      <c r="J2694" t="str">
        <f>VLOOKUP(I2694,[2]categories!$A$2:$B$8,2,0)</f>
        <v>Mountain Bikes</v>
      </c>
    </row>
    <row r="2695" spans="1:10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 s="1">
        <f t="shared" si="42"/>
        <v>1079.982</v>
      </c>
      <c r="H2695" t="str">
        <f>VLOOKUP(C2695,[1]products!$A:$B,2,0)</f>
        <v>Electra Townie Original 7D EQ - 2016</v>
      </c>
      <c r="I2695">
        <f>VLOOKUP(H2695,[1]products!$B:$D,3,0)</f>
        <v>3</v>
      </c>
      <c r="J2695" t="str">
        <f>VLOOKUP(I2695,[2]categories!$A$2:$B$8,2,0)</f>
        <v>Cruisers Bicycles</v>
      </c>
    </row>
    <row r="2696" spans="1:10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 s="1">
        <f t="shared" si="42"/>
        <v>1055.984</v>
      </c>
      <c r="H2696" t="str">
        <f>VLOOKUP(C2696,[1]products!$A:$B,2,0)</f>
        <v>Electra Amsterdam Original 3i - 2015/2017</v>
      </c>
      <c r="I2696">
        <f>VLOOKUP(H2696,[1]products!$B:$D,3,0)</f>
        <v>3</v>
      </c>
      <c r="J2696" t="str">
        <f>VLOOKUP(I2696,[2]categories!$A$2:$B$8,2,0)</f>
        <v>Cruisers Bicycles</v>
      </c>
    </row>
    <row r="2697" spans="1:10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 s="1">
        <f t="shared" si="42"/>
        <v>527.984</v>
      </c>
      <c r="H2697" t="str">
        <f>VLOOKUP(C2697,[1]products!$A:$B,2,0)</f>
        <v>Haro Downtown 16 - 2017</v>
      </c>
      <c r="I2697">
        <f>VLOOKUP(H2697,[1]products!$B:$D,3,0)</f>
        <v>1</v>
      </c>
      <c r="J2697" t="str">
        <f>VLOOKUP(I2697,[2]categories!$A$2:$B$8,2,0)</f>
        <v>Children Bicycles</v>
      </c>
    </row>
    <row r="2698" spans="1:10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0.07</v>
      </c>
      <c r="G2698" s="1">
        <f t="shared" si="42"/>
        <v>775.6014</v>
      </c>
      <c r="H2698" t="str">
        <f>VLOOKUP(C2698,[1]products!$A:$B,2,0)</f>
        <v>Sun Bicycles Cruz 7 - 2017</v>
      </c>
      <c r="I2698">
        <f>VLOOKUP(H2698,[1]products!$B:$D,3,0)</f>
        <v>3</v>
      </c>
      <c r="J2698" t="str">
        <f>VLOOKUP(I2698,[2]categories!$A$2:$B$8,2,0)</f>
        <v>Cruisers Bicycles</v>
      </c>
    </row>
    <row r="2699" spans="1:10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 s="1">
        <f t="shared" si="42"/>
        <v>507.2905</v>
      </c>
      <c r="H2699" t="str">
        <f>VLOOKUP(C2699,[1]products!$A:$B,2,0)</f>
        <v>Sun Bicycles Streamway 7 - 2017</v>
      </c>
      <c r="I2699">
        <f>VLOOKUP(H2699,[1]products!$B:$D,3,0)</f>
        <v>2</v>
      </c>
      <c r="J2699" t="str">
        <f>VLOOKUP(I2699,[2]categories!$A$2:$B$8,2,0)</f>
        <v>Comfort Bicycles</v>
      </c>
    </row>
    <row r="2700" spans="1:10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 s="1">
        <f t="shared" si="42"/>
        <v>399.984</v>
      </c>
      <c r="H2700" t="str">
        <f>VLOOKUP(C2700,[1]products!$A:$B,2,0)</f>
        <v>Haro Shredder Pro 20 - 2017</v>
      </c>
      <c r="I2700">
        <f>VLOOKUP(H2700,[1]products!$B:$D,3,0)</f>
        <v>1</v>
      </c>
      <c r="J2700" t="str">
        <f>VLOOKUP(I2700,[2]categories!$A$2:$B$8,2,0)</f>
        <v>Children Bicycles</v>
      </c>
    </row>
    <row r="2701" spans="1:10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 s="1">
        <f t="shared" si="42"/>
        <v>892.981</v>
      </c>
      <c r="H2701" t="str">
        <f>VLOOKUP(C2701,[1]products!$A:$B,2,0)</f>
        <v>Trek Session DH 27.5 Carbon Frameset - 2017</v>
      </c>
      <c r="I2701">
        <f>VLOOKUP(H2701,[1]products!$B:$D,3,0)</f>
        <v>6</v>
      </c>
      <c r="J2701" t="str">
        <f>VLOOKUP(I2701,[2]categories!$A$2:$B$8,2,0)</f>
        <v>Mountain Bikes</v>
      </c>
    </row>
    <row r="2702" spans="1:10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 s="1">
        <f t="shared" si="42"/>
        <v>971.982</v>
      </c>
      <c r="H2702" t="str">
        <f>VLOOKUP(C2702,[1]products!$A:$B,2,0)</f>
        <v>Haro SR 1.1 - 2017</v>
      </c>
      <c r="I2702">
        <f>VLOOKUP(H2702,[1]products!$B:$D,3,0)</f>
        <v>6</v>
      </c>
      <c r="J2702" t="str">
        <f>VLOOKUP(I2702,[2]categories!$A$2:$B$8,2,0)</f>
        <v>Mountain Bikes</v>
      </c>
    </row>
    <row r="2703" spans="1:10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 s="1">
        <f t="shared" si="42"/>
        <v>11399.981</v>
      </c>
      <c r="H2703" t="str">
        <f>VLOOKUP(C2703,[1]products!$A:$B,2,0)</f>
        <v>Trek Silque SLR 7 Women's - 2017</v>
      </c>
      <c r="I2703">
        <f>VLOOKUP(H2703,[1]products!$B:$D,3,0)</f>
        <v>7</v>
      </c>
      <c r="J2703" t="str">
        <f>VLOOKUP(I2703,[2]categories!$A$2:$B$8,2,0)</f>
        <v>Road Bikes</v>
      </c>
    </row>
    <row r="2704" spans="1:10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 s="1">
        <f t="shared" si="42"/>
        <v>3599.991</v>
      </c>
      <c r="H2704" t="str">
        <f>VLOOKUP(C2704,[1]products!$A:$B,2,0)</f>
        <v>Trek Slash 8 27.5 - 2016</v>
      </c>
      <c r="I2704">
        <f>VLOOKUP(H2704,[1]products!$B:$D,3,0)</f>
        <v>6</v>
      </c>
      <c r="J2704" t="str">
        <f>VLOOKUP(I2704,[2]categories!$A$2:$B$8,2,0)</f>
        <v>Mountain Bikes</v>
      </c>
    </row>
    <row r="2705" spans="1:10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 s="1">
        <f t="shared" si="42"/>
        <v>527.984</v>
      </c>
      <c r="H2705" t="str">
        <f>VLOOKUP(C2705,[1]products!$A:$B,2,0)</f>
        <v>Haro Downtown 16 - 2017</v>
      </c>
      <c r="I2705">
        <f>VLOOKUP(H2705,[1]products!$B:$D,3,0)</f>
        <v>1</v>
      </c>
      <c r="J2705" t="str">
        <f>VLOOKUP(I2705,[2]categories!$A$2:$B$8,2,0)</f>
        <v>Children Bicycles</v>
      </c>
    </row>
    <row r="2706" spans="1:10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 s="1">
        <f t="shared" si="42"/>
        <v>3324.9905</v>
      </c>
      <c r="H2706" t="str">
        <f>VLOOKUP(C2706,[1]products!$A:$B,2,0)</f>
        <v>Trek Boone 7 - 2017</v>
      </c>
      <c r="I2706">
        <f>VLOOKUP(H2706,[1]products!$B:$D,3,0)</f>
        <v>4</v>
      </c>
      <c r="J2706" t="str">
        <f>VLOOKUP(I2706,[2]categories!$A$2:$B$8,2,0)</f>
        <v>Cyclocross Bicycles</v>
      </c>
    </row>
    <row r="2707" spans="1:10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 s="1">
        <f t="shared" si="42"/>
        <v>431.984</v>
      </c>
      <c r="H2707" t="str">
        <f>VLOOKUP(C2707,[1]products!$A:$B,2,0)</f>
        <v>Electra Girl's Hawaii 1 (16-inch) - 2015/2016</v>
      </c>
      <c r="I2707">
        <f>VLOOKUP(H2707,[1]products!$B:$D,3,0)</f>
        <v>3</v>
      </c>
      <c r="J2707" t="str">
        <f>VLOOKUP(I2707,[2]categories!$A$2:$B$8,2,0)</f>
        <v>Cruisers Bicycles</v>
      </c>
    </row>
    <row r="2708" spans="1:10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0.07</v>
      </c>
      <c r="G2708" s="1">
        <f t="shared" si="42"/>
        <v>10229.9814</v>
      </c>
      <c r="H2708" t="str">
        <f>VLOOKUP(C2708,[1]products!$A:$B,2,0)</f>
        <v>Trek Domane SLR 6 Disc - 2017</v>
      </c>
      <c r="I2708">
        <f>VLOOKUP(H2708,[1]products!$B:$D,3,0)</f>
        <v>7</v>
      </c>
      <c r="J2708" t="str">
        <f>VLOOKUP(I2708,[2]categories!$A$2:$B$8,2,0)</f>
        <v>Road Bikes</v>
      </c>
    </row>
    <row r="2709" spans="1:10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 s="1">
        <f t="shared" si="42"/>
        <v>446.4905</v>
      </c>
      <c r="H2709" t="str">
        <f>VLOOKUP(C2709,[1]products!$A:$B,2,0)</f>
        <v>Trek Farley Alloy Frameset - 2017</v>
      </c>
      <c r="I2709">
        <f>VLOOKUP(H2709,[1]products!$B:$D,3,0)</f>
        <v>6</v>
      </c>
      <c r="J2709" t="str">
        <f>VLOOKUP(I2709,[2]categories!$A$2:$B$8,2,0)</f>
        <v>Mountain Bikes</v>
      </c>
    </row>
    <row r="2710" spans="1:10">
      <c r="A2710">
        <v>947</v>
      </c>
      <c r="B2710">
        <v>2</v>
      </c>
      <c r="C2710">
        <v>42</v>
      </c>
      <c r="D2710">
        <v>2</v>
      </c>
      <c r="E2710">
        <v>2299.99</v>
      </c>
      <c r="F2710">
        <v>0.07</v>
      </c>
      <c r="G2710" s="1">
        <f t="shared" si="42"/>
        <v>4277.9814</v>
      </c>
      <c r="H2710" t="str">
        <f>VLOOKUP(C2710,[1]products!$A:$B,2,0)</f>
        <v>Trek Fuel EX 5 27.5 Plus - 2017</v>
      </c>
      <c r="I2710">
        <f>VLOOKUP(H2710,[1]products!$B:$D,3,0)</f>
        <v>6</v>
      </c>
      <c r="J2710" t="str">
        <f>VLOOKUP(I2710,[2]categories!$A$2:$B$8,2,0)</f>
        <v>Mountain Bikes</v>
      </c>
    </row>
    <row r="2711" spans="1:10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0.07</v>
      </c>
      <c r="G2711" s="1">
        <f t="shared" si="42"/>
        <v>502.1907</v>
      </c>
      <c r="H2711" t="str">
        <f>VLOOKUP(C2711,[1]products!$A:$B,2,0)</f>
        <v>Haro SR 1.1 - 2017</v>
      </c>
      <c r="I2711">
        <f>VLOOKUP(H2711,[1]products!$B:$D,3,0)</f>
        <v>6</v>
      </c>
      <c r="J2711" t="str">
        <f>VLOOKUP(I2711,[2]categories!$A$2:$B$8,2,0)</f>
        <v>Mountain Bikes</v>
      </c>
    </row>
    <row r="2712" spans="1:10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 s="1">
        <f t="shared" si="42"/>
        <v>479.984</v>
      </c>
      <c r="H2712" t="str">
        <f>VLOOKUP(C2712,[1]products!$A:$B,2,0)</f>
        <v>Electra Girl's Hawaii 1 (20-inch) - 2015/2016</v>
      </c>
      <c r="I2712">
        <f>VLOOKUP(H2712,[1]products!$B:$D,3,0)</f>
        <v>1</v>
      </c>
      <c r="J2712" t="str">
        <f>VLOOKUP(I2712,[2]categories!$A$2:$B$8,2,0)</f>
        <v>Children Bicycles</v>
      </c>
    </row>
    <row r="2713" spans="1:10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 s="1">
        <f t="shared" si="42"/>
        <v>1079.982</v>
      </c>
      <c r="H2713" t="str">
        <f>VLOOKUP(C2713,[1]products!$A:$B,2,0)</f>
        <v>Electra Townie Original 7D EQ - Women's - 2016</v>
      </c>
      <c r="I2713">
        <f>VLOOKUP(H2713,[1]products!$B:$D,3,0)</f>
        <v>3</v>
      </c>
      <c r="J2713" t="str">
        <f>VLOOKUP(I2713,[2]categories!$A$2:$B$8,2,0)</f>
        <v>Cruisers Bicycles</v>
      </c>
    </row>
    <row r="2714" spans="1:10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 s="1">
        <f t="shared" si="42"/>
        <v>271.992</v>
      </c>
      <c r="H2714" t="str">
        <f>VLOOKUP(C2714,[1]products!$A:$B,2,0)</f>
        <v>Electra Townie 7D (20-inch) - Boys' - 2017</v>
      </c>
      <c r="I2714">
        <f>VLOOKUP(H2714,[1]products!$B:$D,3,0)</f>
        <v>1</v>
      </c>
      <c r="J2714" t="str">
        <f>VLOOKUP(I2714,[2]categories!$A$2:$B$8,2,0)</f>
        <v>Children Bicycles</v>
      </c>
    </row>
    <row r="2715" spans="1:10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 s="1">
        <f t="shared" si="42"/>
        <v>335.984</v>
      </c>
      <c r="H2715" t="str">
        <f>VLOOKUP(C2715,[1]products!$A:$B,2,0)</f>
        <v>Haro Shredder 20 - 2017</v>
      </c>
      <c r="I2715">
        <f>VLOOKUP(H2715,[1]products!$B:$D,3,0)</f>
        <v>1</v>
      </c>
      <c r="J2715" t="str">
        <f>VLOOKUP(I2715,[2]categories!$A$2:$B$8,2,0)</f>
        <v>Children Bicycles</v>
      </c>
    </row>
    <row r="2716" spans="1:10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 s="1">
        <f t="shared" si="42"/>
        <v>991.984</v>
      </c>
      <c r="H2716" t="str">
        <f>VLOOKUP(C2716,[1]products!$A:$B,2,0)</f>
        <v>Sun Bicycles Biscayne Tandem 7 - 2017</v>
      </c>
      <c r="I2716">
        <f>VLOOKUP(H2716,[1]products!$B:$D,3,0)</f>
        <v>3</v>
      </c>
      <c r="J2716" t="str">
        <f>VLOOKUP(I2716,[2]categories!$A$2:$B$8,2,0)</f>
        <v>Cruisers Bicycles</v>
      </c>
    </row>
    <row r="2717" spans="1:10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 s="1">
        <f t="shared" si="42"/>
        <v>5399.982</v>
      </c>
      <c r="H2717" t="str">
        <f>VLOOKUP(C2717,[1]products!$A:$B,2,0)</f>
        <v>Trek Conduit+ - 2016</v>
      </c>
      <c r="I2717">
        <f>VLOOKUP(H2717,[1]products!$B:$D,3,0)</f>
        <v>5</v>
      </c>
      <c r="J2717" t="str">
        <f>VLOOKUP(I2717,[2]categories!$A$2:$B$8,2,0)</f>
        <v>Electric Bikes</v>
      </c>
    </row>
    <row r="2718" spans="1:10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 s="1">
        <f t="shared" si="42"/>
        <v>5129.981</v>
      </c>
      <c r="H2718" t="str">
        <f>VLOOKUP(C2718,[1]products!$A:$B,2,0)</f>
        <v>Trek Domane S 6 - 2017</v>
      </c>
      <c r="I2718">
        <f>VLOOKUP(H2718,[1]products!$B:$D,3,0)</f>
        <v>7</v>
      </c>
      <c r="J2718" t="str">
        <f>VLOOKUP(I2718,[2]categories!$A$2:$B$8,2,0)</f>
        <v>Road Bikes</v>
      </c>
    </row>
    <row r="2719" spans="1:10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 s="1">
        <f t="shared" si="42"/>
        <v>5224.9905</v>
      </c>
      <c r="H2719" t="str">
        <f>VLOOKUP(C2719,[1]products!$A:$B,2,0)</f>
        <v>Trek Domane SLR 6 Disc - 2017</v>
      </c>
      <c r="I2719">
        <f>VLOOKUP(H2719,[1]products!$B:$D,3,0)</f>
        <v>7</v>
      </c>
      <c r="J2719" t="str">
        <f>VLOOKUP(I2719,[2]categories!$A$2:$B$8,2,0)</f>
        <v>Road Bikes</v>
      </c>
    </row>
    <row r="2720" spans="1:10">
      <c r="A2720">
        <v>951</v>
      </c>
      <c r="B2720">
        <v>1</v>
      </c>
      <c r="C2720">
        <v>59</v>
      </c>
      <c r="D2720">
        <v>1</v>
      </c>
      <c r="E2720">
        <v>2599.99</v>
      </c>
      <c r="F2720">
        <v>0.1</v>
      </c>
      <c r="G2720" s="1">
        <f t="shared" si="42"/>
        <v>2339.991</v>
      </c>
      <c r="H2720" t="str">
        <f>VLOOKUP(C2720,[1]products!$A:$B,2,0)</f>
        <v>Trek Domane S 5 Disc - 2017</v>
      </c>
      <c r="I2720">
        <f>VLOOKUP(H2720,[1]products!$B:$D,3,0)</f>
        <v>7</v>
      </c>
      <c r="J2720" t="str">
        <f>VLOOKUP(I2720,[2]categories!$A$2:$B$8,2,0)</f>
        <v>Road Bikes</v>
      </c>
    </row>
    <row r="2721" spans="1:10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 s="1">
        <f t="shared" si="42"/>
        <v>9539.982</v>
      </c>
      <c r="H2721" t="str">
        <f>VLOOKUP(C2721,[1]products!$A:$B,2,0)</f>
        <v>Trek Fuel EX 9.8 27.5 Plus - 2017</v>
      </c>
      <c r="I2721">
        <f>VLOOKUP(H2721,[1]products!$B:$D,3,0)</f>
        <v>6</v>
      </c>
      <c r="J2721" t="str">
        <f>VLOOKUP(I2721,[2]categories!$A$2:$B$8,2,0)</f>
        <v>Mountain Bikes</v>
      </c>
    </row>
    <row r="2722" spans="1:10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 s="1">
        <f t="shared" si="42"/>
        <v>5599.984</v>
      </c>
      <c r="H2722" t="str">
        <f>VLOOKUP(C2722,[1]products!$A:$B,2,0)</f>
        <v>Trek Boone 7 - 2017</v>
      </c>
      <c r="I2722">
        <f>VLOOKUP(H2722,[1]products!$B:$D,3,0)</f>
        <v>4</v>
      </c>
      <c r="J2722" t="str">
        <f>VLOOKUP(I2722,[2]categories!$A$2:$B$8,2,0)</f>
        <v>Cyclocross Bicycles</v>
      </c>
    </row>
    <row r="2723" spans="1:10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0.07</v>
      </c>
      <c r="G2723" s="1">
        <f t="shared" si="42"/>
        <v>1115.9814</v>
      </c>
      <c r="H2723" t="str">
        <f>VLOOKUP(C2723,[1]products!$A:$B,2,0)</f>
        <v>Electra Townie Original 7D EQ - Women's - 2016</v>
      </c>
      <c r="I2723">
        <f>VLOOKUP(H2723,[1]products!$B:$D,3,0)</f>
        <v>3</v>
      </c>
      <c r="J2723" t="str">
        <f>VLOOKUP(I2723,[2]categories!$A$2:$B$8,2,0)</f>
        <v>Cruisers Bicycles</v>
      </c>
    </row>
    <row r="2724" spans="1:10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 s="1">
        <f t="shared" si="42"/>
        <v>1899.9905</v>
      </c>
      <c r="H2724" t="str">
        <f>VLOOKUP(C2724,[1]products!$A:$B,2,0)</f>
        <v>Trek Emonda S 5 - 2017</v>
      </c>
      <c r="I2724">
        <f>VLOOKUP(H2724,[1]products!$B:$D,3,0)</f>
        <v>7</v>
      </c>
      <c r="J2724" t="str">
        <f>VLOOKUP(I2724,[2]categories!$A$2:$B$8,2,0)</f>
        <v>Road Bikes</v>
      </c>
    </row>
    <row r="2725" spans="1:10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0.07</v>
      </c>
      <c r="G2725" s="1">
        <f t="shared" si="42"/>
        <v>557.9814</v>
      </c>
      <c r="H2725" t="str">
        <f>VLOOKUP(C2725,[1]products!$A:$B,2,0)</f>
        <v>Electra Girl's Hawaii 1 (20-inch) - 2015/2016</v>
      </c>
      <c r="I2725">
        <f>VLOOKUP(H2725,[1]products!$B:$D,3,0)</f>
        <v>1</v>
      </c>
      <c r="J2725" t="str">
        <f>VLOOKUP(I2725,[2]categories!$A$2:$B$8,2,0)</f>
        <v>Children Bicycles</v>
      </c>
    </row>
    <row r="2726" spans="1:10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 s="1">
        <f t="shared" si="42"/>
        <v>5219.982</v>
      </c>
      <c r="H2726" t="str">
        <f>VLOOKUP(C2726,[1]products!$A:$B,2,0)</f>
        <v>Trek Fuel EX 8 29 - 2016</v>
      </c>
      <c r="I2726">
        <f>VLOOKUP(H2726,[1]products!$B:$D,3,0)</f>
        <v>6</v>
      </c>
      <c r="J2726" t="str">
        <f>VLOOKUP(I2726,[2]categories!$A$2:$B$8,2,0)</f>
        <v>Mountain Bikes</v>
      </c>
    </row>
    <row r="2727" spans="1:10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 s="1">
        <f t="shared" si="42"/>
        <v>4769.991</v>
      </c>
      <c r="H2727" t="str">
        <f>VLOOKUP(C2727,[1]products!$A:$B,2,0)</f>
        <v>Trek Fuel EX 9.8 27.5 Plus - 2017</v>
      </c>
      <c r="I2727">
        <f>VLOOKUP(H2727,[1]products!$B:$D,3,0)</f>
        <v>6</v>
      </c>
      <c r="J2727" t="str">
        <f>VLOOKUP(I2727,[2]categories!$A$2:$B$8,2,0)</f>
        <v>Mountain Bikes</v>
      </c>
    </row>
    <row r="2728" spans="1:10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0.07</v>
      </c>
      <c r="G2728" s="1">
        <f t="shared" si="42"/>
        <v>3037.3614</v>
      </c>
      <c r="H2728" t="str">
        <f>VLOOKUP(C2728,[1]products!$A:$B,2,0)</f>
        <v>Surly Wednesday - 2017</v>
      </c>
      <c r="I2728">
        <f>VLOOKUP(H2728,[1]products!$B:$D,3,0)</f>
        <v>6</v>
      </c>
      <c r="J2728" t="str">
        <f>VLOOKUP(I2728,[2]categories!$A$2:$B$8,2,0)</f>
        <v>Mountain Bikes</v>
      </c>
    </row>
    <row r="2729" spans="1:10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 s="1">
        <f t="shared" si="42"/>
        <v>332.4905</v>
      </c>
      <c r="H2729" t="str">
        <f>VLOOKUP(C2729,[1]products!$A:$B,2,0)</f>
        <v>Electra Moto 3i (20-inch) - Boy's - 2017</v>
      </c>
      <c r="I2729">
        <f>VLOOKUP(H2729,[1]products!$B:$D,3,0)</f>
        <v>1</v>
      </c>
      <c r="J2729" t="str">
        <f>VLOOKUP(I2729,[2]categories!$A$2:$B$8,2,0)</f>
        <v>Children Bicycles</v>
      </c>
    </row>
    <row r="2730" spans="1:10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 s="1">
        <f t="shared" si="42"/>
        <v>2799.992</v>
      </c>
      <c r="H2730" t="str">
        <f>VLOOKUP(C2730,[1]products!$A:$B,2,0)</f>
        <v>Trek Boone Race Shop Limited - 2017</v>
      </c>
      <c r="I2730">
        <f>VLOOKUP(H2730,[1]products!$B:$D,3,0)</f>
        <v>4</v>
      </c>
      <c r="J2730" t="str">
        <f>VLOOKUP(I2730,[2]categories!$A$2:$B$8,2,0)</f>
        <v>Cyclocross Bicycles</v>
      </c>
    </row>
    <row r="2731" spans="1:10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 s="1">
        <f t="shared" si="42"/>
        <v>180.4905</v>
      </c>
      <c r="H2731" t="str">
        <f>VLOOKUP(C2731,[1]products!$A:$B,2,0)</f>
        <v>Trek Precaliber 12 Girls - 2017</v>
      </c>
      <c r="I2731">
        <f>VLOOKUP(H2731,[1]products!$B:$D,3,0)</f>
        <v>1</v>
      </c>
      <c r="J2731" t="str">
        <f>VLOOKUP(I2731,[2]categories!$A$2:$B$8,2,0)</f>
        <v>Children Bicycles</v>
      </c>
    </row>
    <row r="2732" spans="1:10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 s="1">
        <f t="shared" si="42"/>
        <v>539.982</v>
      </c>
      <c r="H2732" t="str">
        <f>VLOOKUP(C2732,[1]products!$A:$B,2,0)</f>
        <v>Electra Girl's Hawaii 1 16" - 2017</v>
      </c>
      <c r="I2732">
        <f>VLOOKUP(H2732,[1]products!$B:$D,3,0)</f>
        <v>3</v>
      </c>
      <c r="J2732" t="str">
        <f>VLOOKUP(I2732,[2]categories!$A$2:$B$8,2,0)</f>
        <v>Cruisers Bicycles</v>
      </c>
    </row>
    <row r="2733" spans="1:10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 s="1">
        <f t="shared" si="42"/>
        <v>239.992</v>
      </c>
      <c r="H2733" t="str">
        <f>VLOOKUP(C2733,[1]products!$A:$B,2,0)</f>
        <v>Electra Girl's Hawaii 1 (20-inch) - 2015/2016</v>
      </c>
      <c r="I2733">
        <f>VLOOKUP(H2733,[1]products!$B:$D,3,0)</f>
        <v>1</v>
      </c>
      <c r="J2733" t="str">
        <f>VLOOKUP(I2733,[2]categories!$A$2:$B$8,2,0)</f>
        <v>Children Bicycles</v>
      </c>
    </row>
    <row r="2734" spans="1:10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 s="1">
        <f t="shared" si="42"/>
        <v>1349.982</v>
      </c>
      <c r="H2734" t="str">
        <f>VLOOKUP(C2734,[1]products!$A:$B,2,0)</f>
        <v>Sun Bicycles Brickell Tandem 7 - 2017</v>
      </c>
      <c r="I2734">
        <f>VLOOKUP(H2734,[1]products!$B:$D,3,0)</f>
        <v>3</v>
      </c>
      <c r="J2734" t="str">
        <f>VLOOKUP(I2734,[2]categories!$A$2:$B$8,2,0)</f>
        <v>Cruisers Bicycles</v>
      </c>
    </row>
    <row r="2735" spans="1:10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 s="1">
        <f t="shared" si="42"/>
        <v>431.984</v>
      </c>
      <c r="H2735" t="str">
        <f>VLOOKUP(C2735,[1]products!$A:$B,2,0)</f>
        <v>Electra Cruiser 1 (24-Inch) - 2016</v>
      </c>
      <c r="I2735">
        <f>VLOOKUP(H2735,[1]products!$B:$D,3,0)</f>
        <v>3</v>
      </c>
      <c r="J2735" t="str">
        <f>VLOOKUP(I2735,[2]categories!$A$2:$B$8,2,0)</f>
        <v>Cruisers Bicycles</v>
      </c>
    </row>
    <row r="2736" spans="1:10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 s="1">
        <f t="shared" si="42"/>
        <v>725.382</v>
      </c>
      <c r="H2736" t="str">
        <f>VLOOKUP(C2736,[1]products!$A:$B,2,0)</f>
        <v>Sun Bicycles Boardwalk (24-inch Wheels) - 2017</v>
      </c>
      <c r="I2736">
        <f>VLOOKUP(H2736,[1]products!$B:$D,3,0)</f>
        <v>3</v>
      </c>
      <c r="J2736" t="str">
        <f>VLOOKUP(I2736,[2]categories!$A$2:$B$8,2,0)</f>
        <v>Cruisers Bicycles</v>
      </c>
    </row>
    <row r="2737" spans="1:10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 s="1">
        <f t="shared" si="42"/>
        <v>854.981</v>
      </c>
      <c r="H2737" t="str">
        <f>VLOOKUP(C2737,[1]products!$A:$B,2,0)</f>
        <v>Sun Bicycles Cruz 3 - Women's - 2017</v>
      </c>
      <c r="I2737">
        <f>VLOOKUP(H2737,[1]products!$B:$D,3,0)</f>
        <v>2</v>
      </c>
      <c r="J2737" t="str">
        <f>VLOOKUP(I2737,[2]categories!$A$2:$B$8,2,0)</f>
        <v>Comfort Bicycles</v>
      </c>
    </row>
    <row r="2738" spans="1:10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0.07</v>
      </c>
      <c r="G2738" s="1">
        <f t="shared" si="42"/>
        <v>502.1814</v>
      </c>
      <c r="H2738" t="str">
        <f>VLOOKUP(C2738,[1]products!$A:$B,2,0)</f>
        <v>Electra Girl's Hawaii 1 (16-inch) - 2015/2016</v>
      </c>
      <c r="I2738">
        <f>VLOOKUP(H2738,[1]products!$B:$D,3,0)</f>
        <v>3</v>
      </c>
      <c r="J2738" t="str">
        <f>VLOOKUP(I2738,[2]categories!$A$2:$B$8,2,0)</f>
        <v>Cruisers Bicycles</v>
      </c>
    </row>
    <row r="2739" spans="1:10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 s="1">
        <f t="shared" si="42"/>
        <v>1253.981</v>
      </c>
      <c r="H2739" t="str">
        <f>VLOOKUP(C2739,[1]products!$A:$B,2,0)</f>
        <v>Electra Amsterdam Original 3i - 2015/2017</v>
      </c>
      <c r="I2739">
        <f>VLOOKUP(H2739,[1]products!$B:$D,3,0)</f>
        <v>3</v>
      </c>
      <c r="J2739" t="str">
        <f>VLOOKUP(I2739,[2]categories!$A$2:$B$8,2,0)</f>
        <v>Cruisers Bicycles</v>
      </c>
    </row>
    <row r="2740" spans="1:10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0.07</v>
      </c>
      <c r="G2740" s="1">
        <f t="shared" si="42"/>
        <v>233.4207</v>
      </c>
      <c r="H2740" t="str">
        <f>VLOOKUP(C2740,[1]products!$A:$B,2,0)</f>
        <v>Sun Bicycles Revolutions 24 - 2017</v>
      </c>
      <c r="I2740">
        <f>VLOOKUP(H2740,[1]products!$B:$D,3,0)</f>
        <v>3</v>
      </c>
      <c r="J2740" t="str">
        <f>VLOOKUP(I2740,[2]categories!$A$2:$B$8,2,0)</f>
        <v>Cruisers Bicycles</v>
      </c>
    </row>
    <row r="2741" spans="1:10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 s="1">
        <f t="shared" si="42"/>
        <v>447.4405</v>
      </c>
      <c r="H2741" t="str">
        <f>VLOOKUP(C2741,[1]products!$A:$B,2,0)</f>
        <v>Sun Bicycles Drifter 7 - Women's - 2017</v>
      </c>
      <c r="I2741">
        <f>VLOOKUP(H2741,[1]products!$B:$D,3,0)</f>
        <v>2</v>
      </c>
      <c r="J2741" t="str">
        <f>VLOOKUP(I2741,[2]categories!$A$2:$B$8,2,0)</f>
        <v>Comfort Bicycles</v>
      </c>
    </row>
    <row r="2742" spans="1:10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 s="1">
        <f t="shared" si="42"/>
        <v>5849.991</v>
      </c>
      <c r="H2742" t="str">
        <f>VLOOKUP(C2742,[1]products!$A:$B,2,0)</f>
        <v>Trek Silque SLR 8 Women's - 2017</v>
      </c>
      <c r="I2742">
        <f>VLOOKUP(H2742,[1]products!$B:$D,3,0)</f>
        <v>7</v>
      </c>
      <c r="J2742" t="str">
        <f>VLOOKUP(I2742,[2]categories!$A$2:$B$8,2,0)</f>
        <v>Road Bikes</v>
      </c>
    </row>
    <row r="2743" spans="1:10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 s="1">
        <f t="shared" si="42"/>
        <v>239.992</v>
      </c>
      <c r="H2743" t="str">
        <f>VLOOKUP(C2743,[1]products!$A:$B,2,0)</f>
        <v>Electra Girl's Hawaii 1 16" - 2017</v>
      </c>
      <c r="I2743">
        <f>VLOOKUP(H2743,[1]products!$B:$D,3,0)</f>
        <v>3</v>
      </c>
      <c r="J2743" t="str">
        <f>VLOOKUP(I2743,[2]categories!$A$2:$B$8,2,0)</f>
        <v>Cruisers Bicycles</v>
      </c>
    </row>
    <row r="2744" spans="1:10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 s="1">
        <f t="shared" si="42"/>
        <v>423.992</v>
      </c>
      <c r="H2744" t="str">
        <f>VLOOKUP(C2744,[1]products!$A:$B,2,0)</f>
        <v>Electra Moto 1 - 2016</v>
      </c>
      <c r="I2744">
        <f>VLOOKUP(H2744,[1]products!$B:$D,3,0)</f>
        <v>3</v>
      </c>
      <c r="J2744" t="str">
        <f>VLOOKUP(I2744,[2]categories!$A$2:$B$8,2,0)</f>
        <v>Cruisers Bicycles</v>
      </c>
    </row>
    <row r="2745" spans="1:10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 s="1">
        <f t="shared" si="42"/>
        <v>557.991</v>
      </c>
      <c r="H2745" t="str">
        <f>VLOOKUP(C2745,[1]products!$A:$B,2,0)</f>
        <v>Sun Bicycles Biscayne Tandem 7 - 2017</v>
      </c>
      <c r="I2745">
        <f>VLOOKUP(H2745,[1]products!$B:$D,3,0)</f>
        <v>3</v>
      </c>
      <c r="J2745" t="str">
        <f>VLOOKUP(I2745,[2]categories!$A$2:$B$8,2,0)</f>
        <v>Cruisers Bicycles</v>
      </c>
    </row>
    <row r="2746" spans="1:10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 s="1">
        <f t="shared" si="42"/>
        <v>1396.4905</v>
      </c>
      <c r="H2746" t="str">
        <f>VLOOKUP(C2746,[1]products!$A:$B,2,0)</f>
        <v>Haro Shift R3 - 2017</v>
      </c>
      <c r="I2746">
        <f>VLOOKUP(H2746,[1]products!$B:$D,3,0)</f>
        <v>6</v>
      </c>
      <c r="J2746" t="str">
        <f>VLOOKUP(I2746,[2]categories!$A$2:$B$8,2,0)</f>
        <v>Mountain Bikes</v>
      </c>
    </row>
    <row r="2747" spans="1:10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0.07</v>
      </c>
      <c r="G2747" s="1">
        <f t="shared" si="42"/>
        <v>322.7007</v>
      </c>
      <c r="H2747" t="str">
        <f>VLOOKUP(C2747,[1]products!$A:$B,2,0)</f>
        <v>Sun Bicycles Lil Bolt Type-R - 2017</v>
      </c>
      <c r="I2747">
        <f>VLOOKUP(H2747,[1]products!$B:$D,3,0)</f>
        <v>3</v>
      </c>
      <c r="J2747" t="str">
        <f>VLOOKUP(I2747,[2]categories!$A$2:$B$8,2,0)</f>
        <v>Cruisers Bicycles</v>
      </c>
    </row>
    <row r="2748" spans="1:10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 s="1">
        <f t="shared" si="42"/>
        <v>1424.981</v>
      </c>
      <c r="H2748" t="str">
        <f>VLOOKUP(C2748,[1]products!$A:$B,2,0)</f>
        <v>Sun Bicycles Brickell Tandem 7 - 2017</v>
      </c>
      <c r="I2748">
        <f>VLOOKUP(H2748,[1]products!$B:$D,3,0)</f>
        <v>3</v>
      </c>
      <c r="J2748" t="str">
        <f>VLOOKUP(I2748,[2]categories!$A$2:$B$8,2,0)</f>
        <v>Cruisers Bicycles</v>
      </c>
    </row>
    <row r="2749" spans="1:10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 s="1">
        <f t="shared" si="42"/>
        <v>788.391</v>
      </c>
      <c r="H2749" t="str">
        <f>VLOOKUP(C2749,[1]products!$A:$B,2,0)</f>
        <v>Surly Steamroller - 2017</v>
      </c>
      <c r="I2749">
        <f>VLOOKUP(H2749,[1]products!$B:$D,3,0)</f>
        <v>7</v>
      </c>
      <c r="J2749" t="str">
        <f>VLOOKUP(I2749,[2]categories!$A$2:$B$8,2,0)</f>
        <v>Road Bikes</v>
      </c>
    </row>
    <row r="2750" spans="1:10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 s="1">
        <f t="shared" si="42"/>
        <v>2849.981</v>
      </c>
      <c r="H2750" t="str">
        <f>VLOOKUP(C2750,[1]products!$A:$B,2,0)</f>
        <v>Trek Emonda S 4 - 2017</v>
      </c>
      <c r="I2750">
        <f>VLOOKUP(H2750,[1]products!$B:$D,3,0)</f>
        <v>7</v>
      </c>
      <c r="J2750" t="str">
        <f>VLOOKUP(I2750,[2]categories!$A$2:$B$8,2,0)</f>
        <v>Road Bikes</v>
      </c>
    </row>
    <row r="2751" spans="1:10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 s="1">
        <f t="shared" si="42"/>
        <v>269.982</v>
      </c>
      <c r="H2751" t="str">
        <f>VLOOKUP(C2751,[1]products!$A:$B,2,0)</f>
        <v>Trek Boy's Kickster - 2015/2017</v>
      </c>
      <c r="I2751">
        <f>VLOOKUP(H2751,[1]products!$B:$D,3,0)</f>
        <v>1</v>
      </c>
      <c r="J2751" t="str">
        <f>VLOOKUP(I2751,[2]categories!$A$2:$B$8,2,0)</f>
        <v>Children Bicycles</v>
      </c>
    </row>
    <row r="2752" spans="1:10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 s="1">
        <f t="shared" si="42"/>
        <v>480.591</v>
      </c>
      <c r="H2752" t="str">
        <f>VLOOKUP(C2752,[1]products!$A:$B,2,0)</f>
        <v>Sun Bicycles Streamway 7 - 2017</v>
      </c>
      <c r="I2752">
        <f>VLOOKUP(H2752,[1]products!$B:$D,3,0)</f>
        <v>2</v>
      </c>
      <c r="J2752" t="str">
        <f>VLOOKUP(I2752,[2]categories!$A$2:$B$8,2,0)</f>
        <v>Comfort Bicycles</v>
      </c>
    </row>
    <row r="2753" spans="1:10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 s="1">
        <f t="shared" si="42"/>
        <v>8479.984</v>
      </c>
      <c r="H2753" t="str">
        <f>VLOOKUP(C2753,[1]products!$A:$B,2,0)</f>
        <v>Trek Remedy 9.8 - 2017</v>
      </c>
      <c r="I2753">
        <f>VLOOKUP(H2753,[1]products!$B:$D,3,0)</f>
        <v>6</v>
      </c>
      <c r="J2753" t="str">
        <f>VLOOKUP(I2753,[2]categories!$A$2:$B$8,2,0)</f>
        <v>Mountain Bikes</v>
      </c>
    </row>
    <row r="2754" spans="1:10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0.07</v>
      </c>
      <c r="G2754" s="1">
        <f t="shared" ref="G2754:G2817" si="43">D2754*E2754*(1-F2754)</f>
        <v>645.4014</v>
      </c>
      <c r="H2754" t="str">
        <f>VLOOKUP(C2754,[1]products!$A:$B,2,0)</f>
        <v>Sun Bicycles Lil Bolt Type-R - 2017</v>
      </c>
      <c r="I2754">
        <f>VLOOKUP(H2754,[1]products!$B:$D,3,0)</f>
        <v>3</v>
      </c>
      <c r="J2754" t="str">
        <f>VLOOKUP(I2754,[2]categories!$A$2:$B$8,2,0)</f>
        <v>Cruisers Bicycles</v>
      </c>
    </row>
    <row r="2755" spans="1:10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0.07</v>
      </c>
      <c r="G2755" s="1">
        <f t="shared" si="43"/>
        <v>645.4014</v>
      </c>
      <c r="H2755" t="str">
        <f>VLOOKUP(C2755,[1]products!$A:$B,2,0)</f>
        <v>Sun Bicycles Lil Bolt Type-R - 2017</v>
      </c>
      <c r="I2755">
        <f>VLOOKUP(H2755,[1]products!$B:$D,3,0)</f>
        <v>3</v>
      </c>
      <c r="J2755" t="str">
        <f>VLOOKUP(I2755,[2]categories!$A$2:$B$8,2,0)</f>
        <v>Cruisers Bicycles</v>
      </c>
    </row>
    <row r="2756" spans="1:10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0.07</v>
      </c>
      <c r="G2756" s="1">
        <f t="shared" si="43"/>
        <v>911.3814</v>
      </c>
      <c r="H2756" t="str">
        <f>VLOOKUP(C2756,[1]products!$A:$B,2,0)</f>
        <v>Electra Townie Original 7D - 2017</v>
      </c>
      <c r="I2756">
        <f>VLOOKUP(H2756,[1]products!$B:$D,3,0)</f>
        <v>3</v>
      </c>
      <c r="J2756" t="str">
        <f>VLOOKUP(I2756,[2]categories!$A$2:$B$8,2,0)</f>
        <v>Cruisers Bicycles</v>
      </c>
    </row>
    <row r="2757" spans="1:10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0.07</v>
      </c>
      <c r="G2757" s="1">
        <f t="shared" si="43"/>
        <v>2696.9907</v>
      </c>
      <c r="H2757" t="str">
        <f>VLOOKUP(C2757,[1]products!$A:$B,2,0)</f>
        <v>Trek Fuel EX 8 29 - 2016</v>
      </c>
      <c r="I2757">
        <f>VLOOKUP(H2757,[1]products!$B:$D,3,0)</f>
        <v>6</v>
      </c>
      <c r="J2757" t="str">
        <f>VLOOKUP(I2757,[2]categories!$A$2:$B$8,2,0)</f>
        <v>Mountain Bikes</v>
      </c>
    </row>
    <row r="2758" spans="1:10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 s="1">
        <f t="shared" si="43"/>
        <v>167.992</v>
      </c>
      <c r="H2758" t="str">
        <f>VLOOKUP(C2758,[1]products!$A:$B,2,0)</f>
        <v>Trek Precaliber 16 Girls - 2017</v>
      </c>
      <c r="I2758">
        <f>VLOOKUP(H2758,[1]products!$B:$D,3,0)</f>
        <v>1</v>
      </c>
      <c r="J2758" t="str">
        <f>VLOOKUP(I2758,[2]categories!$A$2:$B$8,2,0)</f>
        <v>Children Bicycles</v>
      </c>
    </row>
    <row r="2759" spans="1:10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 s="1">
        <f t="shared" si="43"/>
        <v>351.992</v>
      </c>
      <c r="H2759" t="str">
        <f>VLOOKUP(C2759,[1]products!$A:$B,2,0)</f>
        <v>Electra Cruiser Lux 1 - 2017</v>
      </c>
      <c r="I2759">
        <f>VLOOKUP(H2759,[1]products!$B:$D,3,0)</f>
        <v>3</v>
      </c>
      <c r="J2759" t="str">
        <f>VLOOKUP(I2759,[2]categories!$A$2:$B$8,2,0)</f>
        <v>Cruisers Bicycles</v>
      </c>
    </row>
    <row r="2760" spans="1:10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 s="1">
        <f t="shared" si="43"/>
        <v>377.982</v>
      </c>
      <c r="H2760" t="str">
        <f>VLOOKUP(C2760,[1]products!$A:$B,2,0)</f>
        <v>Trek Precaliber 16 Girls - 2017</v>
      </c>
      <c r="I2760">
        <f>VLOOKUP(H2760,[1]products!$B:$D,3,0)</f>
        <v>1</v>
      </c>
      <c r="J2760" t="str">
        <f>VLOOKUP(I2760,[2]categories!$A$2:$B$8,2,0)</f>
        <v>Children Bicycles</v>
      </c>
    </row>
    <row r="2761" spans="1:10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 s="1">
        <f t="shared" si="43"/>
        <v>180.4905</v>
      </c>
      <c r="H2761" t="str">
        <f>VLOOKUP(C2761,[1]products!$A:$B,2,0)</f>
        <v>Trek Precaliber 12 Girls - 2017</v>
      </c>
      <c r="I2761">
        <f>VLOOKUP(H2761,[1]products!$B:$D,3,0)</f>
        <v>1</v>
      </c>
      <c r="J2761" t="str">
        <f>VLOOKUP(I2761,[2]categories!$A$2:$B$8,2,0)</f>
        <v>Children Bicycles</v>
      </c>
    </row>
    <row r="2762" spans="1:10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0.07</v>
      </c>
      <c r="G2762" s="1">
        <f t="shared" si="43"/>
        <v>697.4907</v>
      </c>
      <c r="H2762" t="str">
        <f>VLOOKUP(C2762,[1]products!$A:$B,2,0)</f>
        <v>Sun Bicycles Brickell Tandem 7 - 2017</v>
      </c>
      <c r="I2762">
        <f>VLOOKUP(H2762,[1]products!$B:$D,3,0)</f>
        <v>3</v>
      </c>
      <c r="J2762" t="str">
        <f>VLOOKUP(I2762,[2]categories!$A$2:$B$8,2,0)</f>
        <v>Cruisers Bicycles</v>
      </c>
    </row>
    <row r="2763" spans="1:10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 s="1">
        <f t="shared" si="43"/>
        <v>200.792</v>
      </c>
      <c r="H2763" t="str">
        <f>VLOOKUP(C2763,[1]products!$A:$B,2,0)</f>
        <v>Sun Bicycles Revolutions 24 - 2017</v>
      </c>
      <c r="I2763">
        <f>VLOOKUP(H2763,[1]products!$B:$D,3,0)</f>
        <v>3</v>
      </c>
      <c r="J2763" t="str">
        <f>VLOOKUP(I2763,[2]categories!$A$2:$B$8,2,0)</f>
        <v>Cruisers Bicycles</v>
      </c>
    </row>
    <row r="2764" spans="1:10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 s="1">
        <f t="shared" si="43"/>
        <v>1519.981</v>
      </c>
      <c r="H2764" t="str">
        <f>VLOOKUP(C2764,[1]products!$A:$B,2,0)</f>
        <v>Electra Glam Punk 3i Ladies' - 2017</v>
      </c>
      <c r="I2764">
        <f>VLOOKUP(H2764,[1]products!$B:$D,3,0)</f>
        <v>3</v>
      </c>
      <c r="J2764" t="str">
        <f>VLOOKUP(I2764,[2]categories!$A$2:$B$8,2,0)</f>
        <v>Cruisers Bicycles</v>
      </c>
    </row>
    <row r="2765" spans="1:10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 s="1">
        <f t="shared" si="43"/>
        <v>170.991</v>
      </c>
      <c r="H2765" t="str">
        <f>VLOOKUP(C2765,[1]products!$A:$B,2,0)</f>
        <v>Trek Precaliber 12 Boys - 2017</v>
      </c>
      <c r="I2765">
        <f>VLOOKUP(H2765,[1]products!$B:$D,3,0)</f>
        <v>1</v>
      </c>
      <c r="J2765" t="str">
        <f>VLOOKUP(I2765,[2]categories!$A$2:$B$8,2,0)</f>
        <v>Children Bicycles</v>
      </c>
    </row>
    <row r="2766" spans="1:10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 s="1">
        <f t="shared" si="43"/>
        <v>441.592</v>
      </c>
      <c r="H2766" t="str">
        <f>VLOOKUP(C2766,[1]products!$A:$B,2,0)</f>
        <v>Sun Bicycles Streamway 3 - 2017</v>
      </c>
      <c r="I2766">
        <f>VLOOKUP(H2766,[1]products!$B:$D,3,0)</f>
        <v>2</v>
      </c>
      <c r="J2766" t="str">
        <f>VLOOKUP(I2766,[2]categories!$A$2:$B$8,2,0)</f>
        <v>Comfort Bicycles</v>
      </c>
    </row>
    <row r="2767" spans="1:10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 s="1">
        <f t="shared" si="43"/>
        <v>151.992</v>
      </c>
      <c r="H2767" t="str">
        <f>VLOOKUP(C2767,[1]products!$A:$B,2,0)</f>
        <v>Trek Precaliber 12 Boys - 2017</v>
      </c>
      <c r="I2767">
        <f>VLOOKUP(H2767,[1]products!$B:$D,3,0)</f>
        <v>1</v>
      </c>
      <c r="J2767" t="str">
        <f>VLOOKUP(I2767,[2]categories!$A$2:$B$8,2,0)</f>
        <v>Children Bicycles</v>
      </c>
    </row>
    <row r="2768" spans="1:10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 s="1">
        <f t="shared" si="43"/>
        <v>9499.981</v>
      </c>
      <c r="H2768" t="str">
        <f>VLOOKUP(C2768,[1]products!$A:$B,2,0)</f>
        <v>Trek Powerfly 8 FS Plus - 2017</v>
      </c>
      <c r="I2768">
        <f>VLOOKUP(H2768,[1]products!$B:$D,3,0)</f>
        <v>5</v>
      </c>
      <c r="J2768" t="str">
        <f>VLOOKUP(I2768,[2]categories!$A$2:$B$8,2,0)</f>
        <v>Electric Bikes</v>
      </c>
    </row>
    <row r="2769" spans="1:10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 s="1">
        <f t="shared" si="43"/>
        <v>2943.1</v>
      </c>
      <c r="H2769" t="str">
        <f>VLOOKUP(C2769,[1]products!$A:$B,2,0)</f>
        <v>Surly Straggler - 2016</v>
      </c>
      <c r="I2769">
        <f>VLOOKUP(H2769,[1]products!$B:$D,3,0)</f>
        <v>4</v>
      </c>
      <c r="J2769" t="str">
        <f>VLOOKUP(I2769,[2]categories!$A$2:$B$8,2,0)</f>
        <v>Cyclocross Bicycles</v>
      </c>
    </row>
    <row r="2770" spans="1:10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 s="1">
        <f t="shared" si="43"/>
        <v>351.992</v>
      </c>
      <c r="H2770" t="str">
        <f>VLOOKUP(C2770,[1]products!$A:$B,2,0)</f>
        <v>Electra Cruiser Lux 1 - 2017</v>
      </c>
      <c r="I2770">
        <f>VLOOKUP(H2770,[1]products!$B:$D,3,0)</f>
        <v>3</v>
      </c>
      <c r="J2770" t="str">
        <f>VLOOKUP(I2770,[2]categories!$A$2:$B$8,2,0)</f>
        <v>Cruisers Bicycles</v>
      </c>
    </row>
    <row r="2771" spans="1:10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 s="1">
        <f t="shared" si="43"/>
        <v>749.691</v>
      </c>
      <c r="H2771" t="str">
        <f>VLOOKUP(C2771,[1]products!$A:$B,2,0)</f>
        <v>Surly Troll Frameset - 2017</v>
      </c>
      <c r="I2771">
        <f>VLOOKUP(H2771,[1]products!$B:$D,3,0)</f>
        <v>6</v>
      </c>
      <c r="J2771" t="str">
        <f>VLOOKUP(I2771,[2]categories!$A$2:$B$8,2,0)</f>
        <v>Mountain Bikes</v>
      </c>
    </row>
    <row r="2772" spans="1:10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 s="1">
        <f t="shared" si="43"/>
        <v>296.991</v>
      </c>
      <c r="H2772" t="str">
        <f>VLOOKUP(C2772,[1]products!$A:$B,2,0)</f>
        <v>Haro Downtown 16 - 2017</v>
      </c>
      <c r="I2772">
        <f>VLOOKUP(H2772,[1]products!$B:$D,3,0)</f>
        <v>1</v>
      </c>
      <c r="J2772" t="str">
        <f>VLOOKUP(I2772,[2]categories!$A$2:$B$8,2,0)</f>
        <v>Children Bicycles</v>
      </c>
    </row>
    <row r="2773" spans="1:10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 s="1">
        <f t="shared" si="43"/>
        <v>2699.982</v>
      </c>
      <c r="H2773" t="str">
        <f>VLOOKUP(C2773,[1]products!$A:$B,2,0)</f>
        <v>Trek Emonda S 4 - 2017</v>
      </c>
      <c r="I2773">
        <f>VLOOKUP(H2773,[1]products!$B:$D,3,0)</f>
        <v>7</v>
      </c>
      <c r="J2773" t="str">
        <f>VLOOKUP(I2773,[2]categories!$A$2:$B$8,2,0)</f>
        <v>Road Bikes</v>
      </c>
    </row>
    <row r="2774" spans="1:10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 s="1">
        <f t="shared" si="43"/>
        <v>5759.982</v>
      </c>
      <c r="H2774" t="str">
        <f>VLOOKUP(C2774,[1]products!$A:$B,2,0)</f>
        <v>Trek Domane SL Disc Frameset - 2017</v>
      </c>
      <c r="I2774">
        <f>VLOOKUP(H2774,[1]products!$B:$D,3,0)</f>
        <v>7</v>
      </c>
      <c r="J2774" t="str">
        <f>VLOOKUP(I2774,[2]categories!$A$2:$B$8,2,0)</f>
        <v>Road Bikes</v>
      </c>
    </row>
    <row r="2775" spans="1:10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 s="1">
        <f t="shared" si="43"/>
        <v>404.991</v>
      </c>
      <c r="H2775" t="str">
        <f>VLOOKUP(C2775,[1]products!$A:$B,2,0)</f>
        <v>Sun Bicycles Cruz 3 - 2017</v>
      </c>
      <c r="I2775">
        <f>VLOOKUP(H2775,[1]products!$B:$D,3,0)</f>
        <v>3</v>
      </c>
      <c r="J2775" t="str">
        <f>VLOOKUP(I2775,[2]categories!$A$2:$B$8,2,0)</f>
        <v>Cruisers Bicycles</v>
      </c>
    </row>
    <row r="2776" spans="1:10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 s="1">
        <f t="shared" si="43"/>
        <v>1253.981</v>
      </c>
      <c r="H2776" t="str">
        <f>VLOOKUP(C2776,[1]products!$A:$B,2,0)</f>
        <v>Electra Amsterdam Original 3i - 2015/2017</v>
      </c>
      <c r="I2776">
        <f>VLOOKUP(H2776,[1]products!$B:$D,3,0)</f>
        <v>3</v>
      </c>
      <c r="J2776" t="str">
        <f>VLOOKUP(I2776,[2]categories!$A$2:$B$8,2,0)</f>
        <v>Cruisers Bicycles</v>
      </c>
    </row>
    <row r="2777" spans="1:10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0.07</v>
      </c>
      <c r="G2777" s="1">
        <f t="shared" si="43"/>
        <v>645.4014</v>
      </c>
      <c r="H2777" t="str">
        <f>VLOOKUP(C2777,[1]products!$A:$B,2,0)</f>
        <v>Sun Bicycles Lil Bolt Type-R - 2017</v>
      </c>
      <c r="I2777">
        <f>VLOOKUP(H2777,[1]products!$B:$D,3,0)</f>
        <v>3</v>
      </c>
      <c r="J2777" t="str">
        <f>VLOOKUP(I2777,[2]categories!$A$2:$B$8,2,0)</f>
        <v>Cruisers Bicycles</v>
      </c>
    </row>
    <row r="2778" spans="1:10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 s="1">
        <f t="shared" si="43"/>
        <v>3419.981</v>
      </c>
      <c r="H2778" t="str">
        <f>VLOOKUP(C2778,[1]products!$A:$B,2,0)</f>
        <v>Trek Remedy 29 Carbon Frameset - 2016</v>
      </c>
      <c r="I2778">
        <f>VLOOKUP(H2778,[1]products!$B:$D,3,0)</f>
        <v>6</v>
      </c>
      <c r="J2778" t="str">
        <f>VLOOKUP(I2778,[2]categories!$A$2:$B$8,2,0)</f>
        <v>Mountain Bikes</v>
      </c>
    </row>
    <row r="2779" spans="1:10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0.07</v>
      </c>
      <c r="G2779" s="1">
        <f t="shared" si="43"/>
        <v>1022.9814</v>
      </c>
      <c r="H2779" t="str">
        <f>VLOOKUP(C2779,[1]products!$A:$B,2,0)</f>
        <v>Electra Townie Original 21D - 2016</v>
      </c>
      <c r="I2779">
        <f>VLOOKUP(H2779,[1]products!$B:$D,3,0)</f>
        <v>3</v>
      </c>
      <c r="J2779" t="str">
        <f>VLOOKUP(I2779,[2]categories!$A$2:$B$8,2,0)</f>
        <v>Cruisers Bicycles</v>
      </c>
    </row>
    <row r="2780" spans="1:10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 s="1">
        <f t="shared" si="43"/>
        <v>439.992</v>
      </c>
      <c r="H2780" t="str">
        <f>VLOOKUP(C2780,[1]products!$A:$B,2,0)</f>
        <v>Haro Flightline Two 26 Plus - 2017</v>
      </c>
      <c r="I2780">
        <f>VLOOKUP(H2780,[1]products!$B:$D,3,0)</f>
        <v>6</v>
      </c>
      <c r="J2780" t="str">
        <f>VLOOKUP(I2780,[2]categories!$A$2:$B$8,2,0)</f>
        <v>Mountain Bikes</v>
      </c>
    </row>
    <row r="2781" spans="1:10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 s="1">
        <f t="shared" si="43"/>
        <v>391.992</v>
      </c>
      <c r="H2781" t="str">
        <f>VLOOKUP(C2781,[1]products!$A:$B,2,0)</f>
        <v>Electra Townie 3i EQ (20-inch) - Boys' - 2017</v>
      </c>
      <c r="I2781">
        <f>VLOOKUP(H2781,[1]products!$B:$D,3,0)</f>
        <v>1</v>
      </c>
      <c r="J2781" t="str">
        <f>VLOOKUP(I2781,[2]categories!$A$2:$B$8,2,0)</f>
        <v>Children Bicycles</v>
      </c>
    </row>
    <row r="2782" spans="1:10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0.07</v>
      </c>
      <c r="G2782" s="1">
        <f t="shared" si="43"/>
        <v>3254.9907</v>
      </c>
      <c r="H2782" t="str">
        <f>VLOOKUP(C2782,[1]products!$A:$B,2,0)</f>
        <v>Trek Boone Race Shop Limited - 2017</v>
      </c>
      <c r="I2782">
        <f>VLOOKUP(H2782,[1]products!$B:$D,3,0)</f>
        <v>4</v>
      </c>
      <c r="J2782" t="str">
        <f>VLOOKUP(I2782,[2]categories!$A$2:$B$8,2,0)</f>
        <v>Cyclocross Bicycles</v>
      </c>
    </row>
    <row r="2783" spans="1:10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 s="1">
        <f t="shared" si="43"/>
        <v>5219.982</v>
      </c>
      <c r="H2783" t="str">
        <f>VLOOKUP(C2783,[1]products!$A:$B,2,0)</f>
        <v>Trek Fuel EX 8 29 - 2016</v>
      </c>
      <c r="I2783">
        <f>VLOOKUP(H2783,[1]products!$B:$D,3,0)</f>
        <v>6</v>
      </c>
      <c r="J2783" t="str">
        <f>VLOOKUP(I2783,[2]categories!$A$2:$B$8,2,0)</f>
        <v>Mountain Bikes</v>
      </c>
    </row>
    <row r="2784" spans="1:10">
      <c r="A2784">
        <v>973</v>
      </c>
      <c r="B2784">
        <v>2</v>
      </c>
      <c r="C2784">
        <v>28</v>
      </c>
      <c r="D2784">
        <v>2</v>
      </c>
      <c r="E2784">
        <v>2499.99</v>
      </c>
      <c r="F2784">
        <v>0.1</v>
      </c>
      <c r="G2784" s="1">
        <f t="shared" si="43"/>
        <v>4499.982</v>
      </c>
      <c r="H2784" t="str">
        <f>VLOOKUP(C2784,[1]products!$A:$B,2,0)</f>
        <v>Surly Karate Monkey 27.5+ Frameset - 2017</v>
      </c>
      <c r="I2784">
        <f>VLOOKUP(H2784,[1]products!$B:$D,3,0)</f>
        <v>6</v>
      </c>
      <c r="J2784" t="str">
        <f>VLOOKUP(I2784,[2]categories!$A$2:$B$8,2,0)</f>
        <v>Mountain Bikes</v>
      </c>
    </row>
    <row r="2785" spans="1:10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 s="1">
        <f t="shared" si="43"/>
        <v>10069.981</v>
      </c>
      <c r="H2785" t="str">
        <f>VLOOKUP(C2785,[1]products!$A:$B,2,0)</f>
        <v>Trek Remedy 9.8 - 2017</v>
      </c>
      <c r="I2785">
        <f>VLOOKUP(H2785,[1]products!$B:$D,3,0)</f>
        <v>6</v>
      </c>
      <c r="J2785" t="str">
        <f>VLOOKUP(I2785,[2]categories!$A$2:$B$8,2,0)</f>
        <v>Mountain Bikes</v>
      </c>
    </row>
    <row r="2786" spans="1:10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0.07</v>
      </c>
      <c r="G2786" s="1">
        <f t="shared" si="43"/>
        <v>387.8007</v>
      </c>
      <c r="H2786" t="str">
        <f>VLOOKUP(C2786,[1]products!$A:$B,2,0)</f>
        <v>Sun Bicycles Atlas X-Type - 2017</v>
      </c>
      <c r="I2786">
        <f>VLOOKUP(H2786,[1]products!$B:$D,3,0)</f>
        <v>3</v>
      </c>
      <c r="J2786" t="str">
        <f>VLOOKUP(I2786,[2]categories!$A$2:$B$8,2,0)</f>
        <v>Cruisers Bicycles</v>
      </c>
    </row>
    <row r="2787" spans="1:10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 s="1">
        <f t="shared" si="43"/>
        <v>845.982</v>
      </c>
      <c r="H2787" t="str">
        <f>VLOOKUP(C2787,[1]products!$A:$B,2,0)</f>
        <v>Surly Wednesday Frameset - 2017</v>
      </c>
      <c r="I2787">
        <f>VLOOKUP(H2787,[1]products!$B:$D,3,0)</f>
        <v>6</v>
      </c>
      <c r="J2787" t="str">
        <f>VLOOKUP(I2787,[2]categories!$A$2:$B$8,2,0)</f>
        <v>Mountain Bikes</v>
      </c>
    </row>
    <row r="2788" spans="1:10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 s="1">
        <f t="shared" si="43"/>
        <v>431.984</v>
      </c>
      <c r="H2788" t="str">
        <f>VLOOKUP(C2788,[1]products!$A:$B,2,0)</f>
        <v>Electra Girl's Hawaii 1 (16-inch) - 2015/2016</v>
      </c>
      <c r="I2788">
        <f>VLOOKUP(H2788,[1]products!$B:$D,3,0)</f>
        <v>3</v>
      </c>
      <c r="J2788" t="str">
        <f>VLOOKUP(I2788,[2]categories!$A$2:$B$8,2,0)</f>
        <v>Cruisers Bicycles</v>
      </c>
    </row>
    <row r="2789" spans="1:10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 s="1">
        <f t="shared" si="43"/>
        <v>753.584</v>
      </c>
      <c r="H2789" t="str">
        <f>VLOOKUP(C2789,[1]products!$A:$B,2,0)</f>
        <v>Sun Bicycles Drifter 7 - 2017</v>
      </c>
      <c r="I2789">
        <f>VLOOKUP(H2789,[1]products!$B:$D,3,0)</f>
        <v>2</v>
      </c>
      <c r="J2789" t="str">
        <f>VLOOKUP(I2789,[2]categories!$A$2:$B$8,2,0)</f>
        <v>Comfort Bicycles</v>
      </c>
    </row>
    <row r="2790" spans="1:10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 s="1">
        <f t="shared" si="43"/>
        <v>1079.982</v>
      </c>
      <c r="H2790" t="str">
        <f>VLOOKUP(C2790,[1]products!$A:$B,2,0)</f>
        <v>Electra Townie Original 7D EQ - 2016</v>
      </c>
      <c r="I2790">
        <f>VLOOKUP(H2790,[1]products!$B:$D,3,0)</f>
        <v>3</v>
      </c>
      <c r="J2790" t="str">
        <f>VLOOKUP(I2790,[2]categories!$A$2:$B$8,2,0)</f>
        <v>Cruisers Bicycles</v>
      </c>
    </row>
    <row r="2791" spans="1:10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0.07</v>
      </c>
      <c r="G2791" s="1">
        <f t="shared" si="43"/>
        <v>1394.9907</v>
      </c>
      <c r="H2791" t="str">
        <f>VLOOKUP(C2791,[1]products!$A:$B,2,0)</f>
        <v>Trek Stache 5 - 2017</v>
      </c>
      <c r="I2791">
        <f>VLOOKUP(H2791,[1]products!$B:$D,3,0)</f>
        <v>6</v>
      </c>
      <c r="J2791" t="str">
        <f>VLOOKUP(I2791,[2]categories!$A$2:$B$8,2,0)</f>
        <v>Mountain Bikes</v>
      </c>
    </row>
    <row r="2792" spans="1:10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 s="1">
        <f t="shared" si="43"/>
        <v>1576.782</v>
      </c>
      <c r="H2792" t="str">
        <f>VLOOKUP(C2792,[1]products!$A:$B,2,0)</f>
        <v>Surly Steamroller - 2017</v>
      </c>
      <c r="I2792">
        <f>VLOOKUP(H2792,[1]products!$B:$D,3,0)</f>
        <v>7</v>
      </c>
      <c r="J2792" t="str">
        <f>VLOOKUP(I2792,[2]categories!$A$2:$B$8,2,0)</f>
        <v>Road Bikes</v>
      </c>
    </row>
    <row r="2793" spans="1:10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 s="1">
        <f t="shared" si="43"/>
        <v>792.281</v>
      </c>
      <c r="H2793" t="str">
        <f>VLOOKUP(C2793,[1]products!$A:$B,2,0)</f>
        <v>Sun Bicycles Cruz 7 - 2017</v>
      </c>
      <c r="I2793">
        <f>VLOOKUP(H2793,[1]products!$B:$D,3,0)</f>
        <v>3</v>
      </c>
      <c r="J2793" t="str">
        <f>VLOOKUP(I2793,[2]categories!$A$2:$B$8,2,0)</f>
        <v>Cruisers Bicycles</v>
      </c>
    </row>
    <row r="2794" spans="1:10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 s="1">
        <f t="shared" si="43"/>
        <v>949.9905</v>
      </c>
      <c r="H2794" t="str">
        <f>VLOOKUP(C2794,[1]products!$A:$B,2,0)</f>
        <v>Surly Big Dummy Frameset - 2017</v>
      </c>
      <c r="I2794">
        <f>VLOOKUP(H2794,[1]products!$B:$D,3,0)</f>
        <v>6</v>
      </c>
      <c r="J2794" t="str">
        <f>VLOOKUP(I2794,[2]categories!$A$2:$B$8,2,0)</f>
        <v>Mountain Bikes</v>
      </c>
    </row>
    <row r="2795" spans="1:10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 s="1">
        <f t="shared" si="43"/>
        <v>1447.781</v>
      </c>
      <c r="H2795" t="str">
        <f>VLOOKUP(C2795,[1]products!$A:$B,2,0)</f>
        <v>Sun Bicycles Brickell Tandem CB - 2017</v>
      </c>
      <c r="I2795">
        <f>VLOOKUP(H2795,[1]products!$B:$D,3,0)</f>
        <v>3</v>
      </c>
      <c r="J2795" t="str">
        <f>VLOOKUP(I2795,[2]categories!$A$2:$B$8,2,0)</f>
        <v>Cruisers Bicycles</v>
      </c>
    </row>
    <row r="2796" spans="1:10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 s="1">
        <f t="shared" si="43"/>
        <v>854.981</v>
      </c>
      <c r="H2796" t="str">
        <f>VLOOKUP(C2796,[1]products!$A:$B,2,0)</f>
        <v>Sun Bicycles Cruz 3 - 2017</v>
      </c>
      <c r="I2796">
        <f>VLOOKUP(H2796,[1]products!$B:$D,3,0)</f>
        <v>3</v>
      </c>
      <c r="J2796" t="str">
        <f>VLOOKUP(I2796,[2]categories!$A$2:$B$8,2,0)</f>
        <v>Cruisers Bicycles</v>
      </c>
    </row>
    <row r="2797" spans="1:10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 s="1">
        <f t="shared" si="43"/>
        <v>799.984</v>
      </c>
      <c r="H2797" t="str">
        <f>VLOOKUP(C2797,[1]products!$A:$B,2,0)</f>
        <v>Electra Townie Original 7D - 2015/2016</v>
      </c>
      <c r="I2797">
        <f>VLOOKUP(H2797,[1]products!$B:$D,3,0)</f>
        <v>2</v>
      </c>
      <c r="J2797" t="str">
        <f>VLOOKUP(I2797,[2]categories!$A$2:$B$8,2,0)</f>
        <v>Comfort Bicycles</v>
      </c>
    </row>
    <row r="2798" spans="1:10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 s="1">
        <f t="shared" si="43"/>
        <v>854.981</v>
      </c>
      <c r="H2798" t="str">
        <f>VLOOKUP(C2798,[1]products!$A:$B,2,0)</f>
        <v>Sun Bicycles Cruz 3 - Women's - 2017</v>
      </c>
      <c r="I2798">
        <f>VLOOKUP(H2798,[1]products!$B:$D,3,0)</f>
        <v>2</v>
      </c>
      <c r="J2798" t="str">
        <f>VLOOKUP(I2798,[2]categories!$A$2:$B$8,2,0)</f>
        <v>Comfort Bicycles</v>
      </c>
    </row>
    <row r="2799" spans="1:10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 s="1">
        <f t="shared" si="43"/>
        <v>2564.9905</v>
      </c>
      <c r="H2799" t="str">
        <f>VLOOKUP(C2799,[1]products!$A:$B,2,0)</f>
        <v>Trek Domane S 6 - 2017</v>
      </c>
      <c r="I2799">
        <f>VLOOKUP(H2799,[1]products!$B:$D,3,0)</f>
        <v>7</v>
      </c>
      <c r="J2799" t="str">
        <f>VLOOKUP(I2799,[2]categories!$A$2:$B$8,2,0)</f>
        <v>Road Bikes</v>
      </c>
    </row>
    <row r="2800" spans="1:10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 s="1">
        <f t="shared" si="43"/>
        <v>667.184</v>
      </c>
      <c r="H2800" t="str">
        <f>VLOOKUP(C2800,[1]products!$A:$B,2,0)</f>
        <v>Sun Bicycles Atlas X-Type - 2017</v>
      </c>
      <c r="I2800">
        <f>VLOOKUP(H2800,[1]products!$B:$D,3,0)</f>
        <v>3</v>
      </c>
      <c r="J2800" t="str">
        <f>VLOOKUP(I2800,[2]categories!$A$2:$B$8,2,0)</f>
        <v>Cruisers Bicycles</v>
      </c>
    </row>
    <row r="2801" spans="1:10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 s="1">
        <f t="shared" si="43"/>
        <v>989.982</v>
      </c>
      <c r="H2801" t="str">
        <f>VLOOKUP(C2801,[1]products!$A:$B,2,0)</f>
        <v>Electra Townie Original 21D - 2016</v>
      </c>
      <c r="I2801">
        <f>VLOOKUP(H2801,[1]products!$B:$D,3,0)</f>
        <v>3</v>
      </c>
      <c r="J2801" t="str">
        <f>VLOOKUP(I2801,[2]categories!$A$2:$B$8,2,0)</f>
        <v>Cruisers Bicycles</v>
      </c>
    </row>
    <row r="2802" spans="1:10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 s="1">
        <f t="shared" si="43"/>
        <v>700.792</v>
      </c>
      <c r="H2802" t="str">
        <f>VLOOKUP(C2802,[1]products!$A:$B,2,0)</f>
        <v>Surly Steamroller - 2017</v>
      </c>
      <c r="I2802">
        <f>VLOOKUP(H2802,[1]products!$B:$D,3,0)</f>
        <v>7</v>
      </c>
      <c r="J2802" t="str">
        <f>VLOOKUP(I2802,[2]categories!$A$2:$B$8,2,0)</f>
        <v>Road Bikes</v>
      </c>
    </row>
    <row r="2803" spans="1:10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 s="1">
        <f t="shared" si="43"/>
        <v>5599.984</v>
      </c>
      <c r="H2803" t="str">
        <f>VLOOKUP(C2803,[1]products!$A:$B,2,0)</f>
        <v>Trek Domane SL 6 - 2017</v>
      </c>
      <c r="I2803">
        <f>VLOOKUP(H2803,[1]products!$B:$D,3,0)</f>
        <v>7</v>
      </c>
      <c r="J2803" t="str">
        <f>VLOOKUP(I2803,[2]categories!$A$2:$B$8,2,0)</f>
        <v>Road Bikes</v>
      </c>
    </row>
    <row r="2804" spans="1:10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 s="1">
        <f t="shared" si="43"/>
        <v>2699.991</v>
      </c>
      <c r="H2804" t="str">
        <f>VLOOKUP(C2804,[1]products!$A:$B,2,0)</f>
        <v>Trek Conduit+ - 2016</v>
      </c>
      <c r="I2804">
        <f>VLOOKUP(H2804,[1]products!$B:$D,3,0)</f>
        <v>5</v>
      </c>
      <c r="J2804" t="str">
        <f>VLOOKUP(I2804,[2]categories!$A$2:$B$8,2,0)</f>
        <v>Electric Bikes</v>
      </c>
    </row>
    <row r="2805" spans="1:10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 s="1">
        <f t="shared" si="43"/>
        <v>440.991</v>
      </c>
      <c r="H2805" t="str">
        <f>VLOOKUP(C2805,[1]products!$A:$B,2,0)</f>
        <v>Electra Townie Original 7D - 2017</v>
      </c>
      <c r="I2805">
        <f>VLOOKUP(H2805,[1]products!$B:$D,3,0)</f>
        <v>3</v>
      </c>
      <c r="J2805" t="str">
        <f>VLOOKUP(I2805,[2]categories!$A$2:$B$8,2,0)</f>
        <v>Cruisers Bicycles</v>
      </c>
    </row>
    <row r="2806" spans="1:10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 s="1">
        <f t="shared" si="43"/>
        <v>749.691</v>
      </c>
      <c r="H2806" t="str">
        <f>VLOOKUP(C2806,[1]products!$A:$B,2,0)</f>
        <v>Sun Bicycles Spider 3i - 2017</v>
      </c>
      <c r="I2806">
        <f>VLOOKUP(H2806,[1]products!$B:$D,3,0)</f>
        <v>6</v>
      </c>
      <c r="J2806" t="str">
        <f>VLOOKUP(I2806,[2]categories!$A$2:$B$8,2,0)</f>
        <v>Mountain Bikes</v>
      </c>
    </row>
    <row r="2807" spans="1:10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 s="1">
        <f t="shared" si="43"/>
        <v>569.981</v>
      </c>
      <c r="H2807" t="str">
        <f>VLOOKUP(C2807,[1]products!$A:$B,2,0)</f>
        <v>Electra Girl's Hawaii 1 16" - 2017</v>
      </c>
      <c r="I2807">
        <f>VLOOKUP(H2807,[1]products!$B:$D,3,0)</f>
        <v>3</v>
      </c>
      <c r="J2807" t="str">
        <f>VLOOKUP(I2807,[2]categories!$A$2:$B$8,2,0)</f>
        <v>Cruisers Bicycles</v>
      </c>
    </row>
    <row r="2808" spans="1:10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0.07</v>
      </c>
      <c r="G2808" s="1">
        <f t="shared" si="43"/>
        <v>502.1814</v>
      </c>
      <c r="H2808" t="str">
        <f>VLOOKUP(C2808,[1]products!$A:$B,2,0)</f>
        <v>Electra Cruiser 1 (24-Inch) - 2016</v>
      </c>
      <c r="I2808">
        <f>VLOOKUP(H2808,[1]products!$B:$D,3,0)</f>
        <v>3</v>
      </c>
      <c r="J2808" t="str">
        <f>VLOOKUP(I2808,[2]categories!$A$2:$B$8,2,0)</f>
        <v>Cruisers Bicycles</v>
      </c>
    </row>
    <row r="2809" spans="1:10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 s="1">
        <f t="shared" si="43"/>
        <v>1499.382</v>
      </c>
      <c r="H2809" t="str">
        <f>VLOOKUP(C2809,[1]products!$A:$B,2,0)</f>
        <v>Surly Troll Frameset - 2017</v>
      </c>
      <c r="I2809">
        <f>VLOOKUP(H2809,[1]products!$B:$D,3,0)</f>
        <v>6</v>
      </c>
      <c r="J2809" t="str">
        <f>VLOOKUP(I2809,[2]categories!$A$2:$B$8,2,0)</f>
        <v>Mountain Bikes</v>
      </c>
    </row>
    <row r="2810" spans="1:10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0.07</v>
      </c>
      <c r="G2810" s="1">
        <f t="shared" si="43"/>
        <v>4649.9907</v>
      </c>
      <c r="H2810" t="str">
        <f>VLOOKUP(C2810,[1]products!$A:$B,2,0)</f>
        <v>Trek Powerfly 8 FS Plus - 2017</v>
      </c>
      <c r="I2810">
        <f>VLOOKUP(H2810,[1]products!$B:$D,3,0)</f>
        <v>5</v>
      </c>
      <c r="J2810" t="str">
        <f>VLOOKUP(I2810,[2]categories!$A$2:$B$8,2,0)</f>
        <v>Electric Bikes</v>
      </c>
    </row>
    <row r="2811" spans="1:10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 s="1">
        <f t="shared" si="43"/>
        <v>485.982</v>
      </c>
      <c r="H2811" t="str">
        <f>VLOOKUP(C2811,[1]products!$A:$B,2,0)</f>
        <v>Electra Girl's Hawaii 1 (16-inch) - 2015/2016</v>
      </c>
      <c r="I2811">
        <f>VLOOKUP(H2811,[1]products!$B:$D,3,0)</f>
        <v>3</v>
      </c>
      <c r="J2811" t="str">
        <f>VLOOKUP(I2811,[2]categories!$A$2:$B$8,2,0)</f>
        <v>Cruisers Bicycles</v>
      </c>
    </row>
    <row r="2812" spans="1:10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0.07</v>
      </c>
      <c r="G2812" s="1">
        <f t="shared" si="43"/>
        <v>438.0207</v>
      </c>
      <c r="H2812" t="str">
        <f>VLOOKUP(C2812,[1]products!$A:$B,2,0)</f>
        <v>Sun Bicycles Drifter 7 - 2017</v>
      </c>
      <c r="I2812">
        <f>VLOOKUP(H2812,[1]products!$B:$D,3,0)</f>
        <v>2</v>
      </c>
      <c r="J2812" t="str">
        <f>VLOOKUP(I2812,[2]categories!$A$2:$B$8,2,0)</f>
        <v>Comfort Bicycles</v>
      </c>
    </row>
    <row r="2813" spans="1:10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0.07</v>
      </c>
      <c r="G2813" s="1">
        <f t="shared" si="43"/>
        <v>814.6707</v>
      </c>
      <c r="H2813" t="str">
        <f>VLOOKUP(C2813,[1]products!$A:$B,2,0)</f>
        <v>Surly Steamroller - 2017</v>
      </c>
      <c r="I2813">
        <f>VLOOKUP(H2813,[1]products!$B:$D,3,0)</f>
        <v>7</v>
      </c>
      <c r="J2813" t="str">
        <f>VLOOKUP(I2813,[2]categories!$A$2:$B$8,2,0)</f>
        <v>Road Bikes</v>
      </c>
    </row>
    <row r="2814" spans="1:10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 s="1">
        <f t="shared" si="43"/>
        <v>9499.981</v>
      </c>
      <c r="H2814" t="str">
        <f>VLOOKUP(C2814,[1]products!$A:$B,2,0)</f>
        <v>Trek Fuel EX 9.8 29 - 2017</v>
      </c>
      <c r="I2814">
        <f>VLOOKUP(H2814,[1]products!$B:$D,3,0)</f>
        <v>6</v>
      </c>
      <c r="J2814" t="str">
        <f>VLOOKUP(I2814,[2]categories!$A$2:$B$8,2,0)</f>
        <v>Mountain Bikes</v>
      </c>
    </row>
    <row r="2815" spans="1:10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 s="1">
        <f t="shared" si="43"/>
        <v>3149.991</v>
      </c>
      <c r="H2815" t="str">
        <f>VLOOKUP(C2815,[1]products!$A:$B,2,0)</f>
        <v>Trek Boone Race Shop Limited - 2017</v>
      </c>
      <c r="I2815">
        <f>VLOOKUP(H2815,[1]products!$B:$D,3,0)</f>
        <v>4</v>
      </c>
      <c r="J2815" t="str">
        <f>VLOOKUP(I2815,[2]categories!$A$2:$B$8,2,0)</f>
        <v>Cyclocross Bicycles</v>
      </c>
    </row>
    <row r="2816" spans="1:10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 s="1">
        <f t="shared" si="43"/>
        <v>959.984</v>
      </c>
      <c r="H2816" t="str">
        <f>VLOOKUP(C2816,[1]products!$A:$B,2,0)</f>
        <v>Electra Townie Original 7D EQ - Women's - 2016</v>
      </c>
      <c r="I2816">
        <f>VLOOKUP(H2816,[1]products!$B:$D,3,0)</f>
        <v>3</v>
      </c>
      <c r="J2816" t="str">
        <f>VLOOKUP(I2816,[2]categories!$A$2:$B$8,2,0)</f>
        <v>Cruisers Bicycles</v>
      </c>
    </row>
    <row r="2817" spans="1:10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0.07</v>
      </c>
      <c r="G2817" s="1">
        <f t="shared" si="43"/>
        <v>418.4907</v>
      </c>
      <c r="H2817" t="str">
        <f>VLOOKUP(C2817,[1]products!$A:$B,2,0)</f>
        <v>Sun Bicycles Cruz 3 - 2017</v>
      </c>
      <c r="I2817">
        <f>VLOOKUP(H2817,[1]products!$B:$D,3,0)</f>
        <v>3</v>
      </c>
      <c r="J2817" t="str">
        <f>VLOOKUP(I2817,[2]categories!$A$2:$B$8,2,0)</f>
        <v>Cruisers Bicycles</v>
      </c>
    </row>
    <row r="2818" spans="1:10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0.07</v>
      </c>
      <c r="G2818" s="1">
        <f t="shared" ref="G2818:G2881" si="44">D2818*E2818*(1-F2818)</f>
        <v>2045.9814</v>
      </c>
      <c r="H2818" t="str">
        <f>VLOOKUP(C2818,[1]products!$A:$B,2,0)</f>
        <v>Electra Amsterdam Fashion 7i Ladies' - 2017</v>
      </c>
      <c r="I2818">
        <f>VLOOKUP(H2818,[1]products!$B:$D,3,0)</f>
        <v>3</v>
      </c>
      <c r="J2818" t="str">
        <f>VLOOKUP(I2818,[2]categories!$A$2:$B$8,2,0)</f>
        <v>Cruisers Bicycles</v>
      </c>
    </row>
    <row r="2819" spans="1:10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 s="1">
        <f t="shared" si="44"/>
        <v>180.4905</v>
      </c>
      <c r="H2819" t="str">
        <f>VLOOKUP(C2819,[1]products!$A:$B,2,0)</f>
        <v>Trek Precaliber 12 Girls - 2017</v>
      </c>
      <c r="I2819">
        <f>VLOOKUP(H2819,[1]products!$B:$D,3,0)</f>
        <v>1</v>
      </c>
      <c r="J2819" t="str">
        <f>VLOOKUP(I2819,[2]categories!$A$2:$B$8,2,0)</f>
        <v>Children Bicycles</v>
      </c>
    </row>
    <row r="2820" spans="1:10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 s="1">
        <f t="shared" si="44"/>
        <v>359.992</v>
      </c>
      <c r="H2820" t="str">
        <f>VLOOKUP(C2820,[1]products!$A:$B,2,0)</f>
        <v>Sun Bicycles Cruz 3 - 2017</v>
      </c>
      <c r="I2820">
        <f>VLOOKUP(H2820,[1]products!$B:$D,3,0)</f>
        <v>3</v>
      </c>
      <c r="J2820" t="str">
        <f>VLOOKUP(I2820,[2]categories!$A$2:$B$8,2,0)</f>
        <v>Cruisers Bicycles</v>
      </c>
    </row>
    <row r="2821" spans="1:10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 s="1">
        <f t="shared" si="44"/>
        <v>1759.984</v>
      </c>
      <c r="H2821" t="str">
        <f>VLOOKUP(C2821,[1]products!$A:$B,2,0)</f>
        <v>Electra Amsterdam Fashion 7i Ladies' - 2017</v>
      </c>
      <c r="I2821">
        <f>VLOOKUP(H2821,[1]products!$B:$D,3,0)</f>
        <v>3</v>
      </c>
      <c r="J2821" t="str">
        <f>VLOOKUP(I2821,[2]categories!$A$2:$B$8,2,0)</f>
        <v>Cruisers Bicycles</v>
      </c>
    </row>
    <row r="2822" spans="1:10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 s="1">
        <f t="shared" si="44"/>
        <v>494.991</v>
      </c>
      <c r="H2822" t="str">
        <f>VLOOKUP(C2822,[1]products!$A:$B,2,0)</f>
        <v>Electra Townie Original 21D - 2016</v>
      </c>
      <c r="I2822">
        <f>VLOOKUP(H2822,[1]products!$B:$D,3,0)</f>
        <v>3</v>
      </c>
      <c r="J2822" t="str">
        <f>VLOOKUP(I2822,[2]categories!$A$2:$B$8,2,0)</f>
        <v>Cruisers Bicycles</v>
      </c>
    </row>
    <row r="2823" spans="1:10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 s="1">
        <f t="shared" si="44"/>
        <v>376.792</v>
      </c>
      <c r="H2823" t="str">
        <f>VLOOKUP(C2823,[1]products!$A:$B,2,0)</f>
        <v>Sun Bicycles Drifter 7 - Women's - 2017</v>
      </c>
      <c r="I2823">
        <f>VLOOKUP(H2823,[1]products!$B:$D,3,0)</f>
        <v>2</v>
      </c>
      <c r="J2823" t="str">
        <f>VLOOKUP(I2823,[2]categories!$A$2:$B$8,2,0)</f>
        <v>Comfort Bicycles</v>
      </c>
    </row>
    <row r="2824" spans="1:10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0.07</v>
      </c>
      <c r="G2824" s="1">
        <f t="shared" si="44"/>
        <v>2457.0414</v>
      </c>
      <c r="H2824" t="str">
        <f>VLOOKUP(C2824,[1]products!$A:$B,2,0)</f>
        <v>Heller Shagamaw Frame - 2016</v>
      </c>
      <c r="I2824">
        <f>VLOOKUP(H2824,[1]products!$B:$D,3,0)</f>
        <v>6</v>
      </c>
      <c r="J2824" t="str">
        <f>VLOOKUP(I2824,[2]categories!$A$2:$B$8,2,0)</f>
        <v>Mountain Bikes</v>
      </c>
    </row>
    <row r="2825" spans="1:10">
      <c r="A2825">
        <v>985</v>
      </c>
      <c r="B2825">
        <v>2</v>
      </c>
      <c r="C2825">
        <v>59</v>
      </c>
      <c r="D2825">
        <v>1</v>
      </c>
      <c r="E2825">
        <v>2599.99</v>
      </c>
      <c r="F2825">
        <v>0.2</v>
      </c>
      <c r="G2825" s="1">
        <f t="shared" si="44"/>
        <v>2079.992</v>
      </c>
      <c r="H2825" t="str">
        <f>VLOOKUP(C2825,[1]products!$A:$B,2,0)</f>
        <v>Trek Domane S 5 Disc - 2017</v>
      </c>
      <c r="I2825">
        <f>VLOOKUP(H2825,[1]products!$B:$D,3,0)</f>
        <v>7</v>
      </c>
      <c r="J2825" t="str">
        <f>VLOOKUP(I2825,[2]categories!$A$2:$B$8,2,0)</f>
        <v>Road Bikes</v>
      </c>
    </row>
    <row r="2826" spans="1:10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 s="1">
        <f t="shared" si="44"/>
        <v>1231.181</v>
      </c>
      <c r="H2826" t="str">
        <f>VLOOKUP(C2826,[1]products!$A:$B,2,0)</f>
        <v>Sun Bicycles Biscayne Tandem CB - 2017</v>
      </c>
      <c r="I2826">
        <f>VLOOKUP(H2826,[1]products!$B:$D,3,0)</f>
        <v>3</v>
      </c>
      <c r="J2826" t="str">
        <f>VLOOKUP(I2826,[2]categories!$A$2:$B$8,2,0)</f>
        <v>Cruisers Bicycles</v>
      </c>
    </row>
    <row r="2827" spans="1:10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 s="1">
        <f t="shared" si="44"/>
        <v>170.991</v>
      </c>
      <c r="H2827" t="str">
        <f>VLOOKUP(C2827,[1]products!$A:$B,2,0)</f>
        <v>Trek Precaliber 12 Boys - 2017</v>
      </c>
      <c r="I2827">
        <f>VLOOKUP(H2827,[1]products!$B:$D,3,0)</f>
        <v>1</v>
      </c>
      <c r="J2827" t="str">
        <f>VLOOKUP(I2827,[2]categories!$A$2:$B$8,2,0)</f>
        <v>Children Bicycles</v>
      </c>
    </row>
    <row r="2828" spans="1:10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 s="1">
        <f t="shared" si="44"/>
        <v>615.5905</v>
      </c>
      <c r="H2828" t="str">
        <f>VLOOKUP(C2828,[1]products!$A:$B,2,0)</f>
        <v>Sun Bicycles Biscayne Tandem CB - 2017</v>
      </c>
      <c r="I2828">
        <f>VLOOKUP(H2828,[1]products!$B:$D,3,0)</f>
        <v>3</v>
      </c>
      <c r="J2828" t="str">
        <f>VLOOKUP(I2828,[2]categories!$A$2:$B$8,2,0)</f>
        <v>Cruisers Bicycles</v>
      </c>
    </row>
    <row r="2829" spans="1:10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0.07</v>
      </c>
      <c r="G2829" s="1">
        <f t="shared" si="44"/>
        <v>1115.9814</v>
      </c>
      <c r="H2829" t="str">
        <f>VLOOKUP(C2829,[1]products!$A:$B,2,0)</f>
        <v>Electra Townie Original 7D EQ - 2016</v>
      </c>
      <c r="I2829">
        <f>VLOOKUP(H2829,[1]products!$B:$D,3,0)</f>
        <v>3</v>
      </c>
      <c r="J2829" t="str">
        <f>VLOOKUP(I2829,[2]categories!$A$2:$B$8,2,0)</f>
        <v>Cruisers Bicycles</v>
      </c>
    </row>
    <row r="2830" spans="1:10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 s="1">
        <f t="shared" si="44"/>
        <v>11699.982</v>
      </c>
      <c r="H2830" t="str">
        <f>VLOOKUP(C2830,[1]products!$A:$B,2,0)</f>
        <v>Trek Silque SLR 8 Women's - 2017</v>
      </c>
      <c r="I2830">
        <f>VLOOKUP(H2830,[1]products!$B:$D,3,0)</f>
        <v>7</v>
      </c>
      <c r="J2830" t="str">
        <f>VLOOKUP(I2830,[2]categories!$A$2:$B$8,2,0)</f>
        <v>Road Bikes</v>
      </c>
    </row>
    <row r="2831" spans="1:10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 s="1">
        <f t="shared" si="44"/>
        <v>2495.984</v>
      </c>
      <c r="H2831" t="str">
        <f>VLOOKUP(C2831,[1]products!$A:$B,2,0)</f>
        <v>Sun Bicycles ElectroLite - 2017</v>
      </c>
      <c r="I2831">
        <f>VLOOKUP(H2831,[1]products!$B:$D,3,0)</f>
        <v>5</v>
      </c>
      <c r="J2831" t="str">
        <f>VLOOKUP(I2831,[2]categories!$A$2:$B$8,2,0)</f>
        <v>Electric Bikes</v>
      </c>
    </row>
    <row r="2832" spans="1:10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0.07</v>
      </c>
      <c r="G2832" s="1">
        <f t="shared" si="44"/>
        <v>708.6507</v>
      </c>
      <c r="H2832" t="str">
        <f>VLOOKUP(C2832,[1]products!$A:$B,2,0)</f>
        <v>Sun Bicycles Brickell Tandem CB - 2017</v>
      </c>
      <c r="I2832">
        <f>VLOOKUP(H2832,[1]products!$B:$D,3,0)</f>
        <v>3</v>
      </c>
      <c r="J2832" t="str">
        <f>VLOOKUP(I2832,[2]categories!$A$2:$B$8,2,0)</f>
        <v>Cruisers Bicycles</v>
      </c>
    </row>
    <row r="2833" spans="1:10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 s="1">
        <f t="shared" si="44"/>
        <v>666.392</v>
      </c>
      <c r="H2833" t="str">
        <f>VLOOKUP(C2833,[1]products!$A:$B,2,0)</f>
        <v>Sun Bicycles Spider 3i - 2017</v>
      </c>
      <c r="I2833">
        <f>VLOOKUP(H2833,[1]products!$B:$D,3,0)</f>
        <v>6</v>
      </c>
      <c r="J2833" t="str">
        <f>VLOOKUP(I2833,[2]categories!$A$2:$B$8,2,0)</f>
        <v>Mountain Bikes</v>
      </c>
    </row>
    <row r="2834" spans="1:10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0.07</v>
      </c>
      <c r="G2834" s="1">
        <f t="shared" si="44"/>
        <v>511.4907</v>
      </c>
      <c r="H2834" t="str">
        <f>VLOOKUP(C2834,[1]products!$A:$B,2,0)</f>
        <v>Haro Flightline Two 26 Plus - 2017</v>
      </c>
      <c r="I2834">
        <f>VLOOKUP(H2834,[1]products!$B:$D,3,0)</f>
        <v>6</v>
      </c>
      <c r="J2834" t="str">
        <f>VLOOKUP(I2834,[2]categories!$A$2:$B$8,2,0)</f>
        <v>Mountain Bikes</v>
      </c>
    </row>
    <row r="2835" spans="1:10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0.07</v>
      </c>
      <c r="G2835" s="1">
        <f t="shared" si="44"/>
        <v>1022.9814</v>
      </c>
      <c r="H2835" t="str">
        <f>VLOOKUP(C2835,[1]products!$A:$B,2,0)</f>
        <v>Electra Townie Original 21D - 2016</v>
      </c>
      <c r="I2835">
        <f>VLOOKUP(H2835,[1]products!$B:$D,3,0)</f>
        <v>3</v>
      </c>
      <c r="J2835" t="str">
        <f>VLOOKUP(I2835,[2]categories!$A$2:$B$8,2,0)</f>
        <v>Cruisers Bicycles</v>
      </c>
    </row>
    <row r="2836" spans="1:10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 s="1">
        <f t="shared" si="44"/>
        <v>284.9905</v>
      </c>
      <c r="H2836" t="str">
        <f>VLOOKUP(C2836,[1]products!$A:$B,2,0)</f>
        <v>Electra Sugar Skulls 1 (20-inch) - Girl's - 2017</v>
      </c>
      <c r="I2836">
        <f>VLOOKUP(H2836,[1]products!$B:$D,3,0)</f>
        <v>1</v>
      </c>
      <c r="J2836" t="str">
        <f>VLOOKUP(I2836,[2]categories!$A$2:$B$8,2,0)</f>
        <v>Children Bicycles</v>
      </c>
    </row>
    <row r="2837" spans="1:10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 s="1">
        <f t="shared" si="44"/>
        <v>899.991</v>
      </c>
      <c r="H2837" t="str">
        <f>VLOOKUP(C2837,[1]products!$A:$B,2,0)</f>
        <v>Surly Big Dummy Frameset - 2017</v>
      </c>
      <c r="I2837">
        <f>VLOOKUP(H2837,[1]products!$B:$D,3,0)</f>
        <v>6</v>
      </c>
      <c r="J2837" t="str">
        <f>VLOOKUP(I2837,[2]categories!$A$2:$B$8,2,0)</f>
        <v>Mountain Bikes</v>
      </c>
    </row>
    <row r="2838" spans="1:10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 s="1">
        <f t="shared" si="44"/>
        <v>593.991</v>
      </c>
      <c r="H2838" t="str">
        <f>VLOOKUP(C2838,[1]products!$A:$B,2,0)</f>
        <v>Electra Amsterdam Original 3i - 2015/2017</v>
      </c>
      <c r="I2838">
        <f>VLOOKUP(H2838,[1]products!$B:$D,3,0)</f>
        <v>3</v>
      </c>
      <c r="J2838" t="str">
        <f>VLOOKUP(I2838,[2]categories!$A$2:$B$8,2,0)</f>
        <v>Cruisers Bicycles</v>
      </c>
    </row>
    <row r="2839" spans="1:10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0.07</v>
      </c>
      <c r="G2839" s="1">
        <f t="shared" si="44"/>
        <v>204.5814</v>
      </c>
      <c r="H2839" t="str">
        <f>VLOOKUP(C2839,[1]products!$A:$B,2,0)</f>
        <v>Sun Bicycles Lil Kitt'n - 2017</v>
      </c>
      <c r="I2839">
        <f>VLOOKUP(H2839,[1]products!$B:$D,3,0)</f>
        <v>1</v>
      </c>
      <c r="J2839" t="str">
        <f>VLOOKUP(I2839,[2]categories!$A$2:$B$8,2,0)</f>
        <v>Children Bicycles</v>
      </c>
    </row>
    <row r="2840" spans="1:10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 s="1">
        <f t="shared" si="44"/>
        <v>1188.891</v>
      </c>
      <c r="H2840" t="str">
        <f>VLOOKUP(C2840,[1]products!$A:$B,2,0)</f>
        <v>Heller Shagamaw Frame - 2016</v>
      </c>
      <c r="I2840">
        <f>VLOOKUP(H2840,[1]products!$B:$D,3,0)</f>
        <v>6</v>
      </c>
      <c r="J2840" t="str">
        <f>VLOOKUP(I2840,[2]categories!$A$2:$B$8,2,0)</f>
        <v>Mountain Bikes</v>
      </c>
    </row>
    <row r="2841" spans="1:10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 s="1">
        <f t="shared" si="44"/>
        <v>751.984</v>
      </c>
      <c r="H2841" t="str">
        <f>VLOOKUP(C2841,[1]products!$A:$B,2,0)</f>
        <v>Surly Ice Cream Truck Frameset - 2016</v>
      </c>
      <c r="I2841">
        <f>VLOOKUP(H2841,[1]products!$B:$D,3,0)</f>
        <v>6</v>
      </c>
      <c r="J2841" t="str">
        <f>VLOOKUP(I2841,[2]categories!$A$2:$B$8,2,0)</f>
        <v>Mountain Bikes</v>
      </c>
    </row>
    <row r="2842" spans="1:10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 s="1">
        <f t="shared" si="44"/>
        <v>899.991</v>
      </c>
      <c r="H2842" t="str">
        <f>VLOOKUP(C2842,[1]products!$A:$B,2,0)</f>
        <v>Trek X-Caliber 8 - 2017</v>
      </c>
      <c r="I2842">
        <f>VLOOKUP(H2842,[1]products!$B:$D,3,0)</f>
        <v>6</v>
      </c>
      <c r="J2842" t="str">
        <f>VLOOKUP(I2842,[2]categories!$A$2:$B$8,2,0)</f>
        <v>Mountain Bikes</v>
      </c>
    </row>
    <row r="2843" spans="1:10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 s="1">
        <f t="shared" si="44"/>
        <v>314.991</v>
      </c>
      <c r="H2843" t="str">
        <f>VLOOKUP(C2843,[1]products!$A:$B,2,0)</f>
        <v>Trek Precaliber 24 (21-Speed) - Girls - 2017</v>
      </c>
      <c r="I2843">
        <f>VLOOKUP(H2843,[1]products!$B:$D,3,0)</f>
        <v>1</v>
      </c>
      <c r="J2843" t="str">
        <f>VLOOKUP(I2843,[2]categories!$A$2:$B$8,2,0)</f>
        <v>Children Bicycles</v>
      </c>
    </row>
    <row r="2844" spans="1:10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 s="1">
        <f t="shared" si="44"/>
        <v>485.982</v>
      </c>
      <c r="H2844" t="str">
        <f>VLOOKUP(C2844,[1]products!$A:$B,2,0)</f>
        <v>Electra Girl's Hawaii 1 (16-inch) - 2015/2016</v>
      </c>
      <c r="I2844">
        <f>VLOOKUP(H2844,[1]products!$B:$D,3,0)</f>
        <v>3</v>
      </c>
      <c r="J2844" t="str">
        <f>VLOOKUP(I2844,[2]categories!$A$2:$B$8,2,0)</f>
        <v>Cruisers Bicycles</v>
      </c>
    </row>
    <row r="2845" spans="1:10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 s="1">
        <f t="shared" si="44"/>
        <v>4799.984</v>
      </c>
      <c r="H2845" t="str">
        <f>VLOOKUP(C2845,[1]products!$A:$B,2,0)</f>
        <v>Trek Conduit+ - 2016</v>
      </c>
      <c r="I2845">
        <f>VLOOKUP(H2845,[1]products!$B:$D,3,0)</f>
        <v>5</v>
      </c>
      <c r="J2845" t="str">
        <f>VLOOKUP(I2845,[2]categories!$A$2:$B$8,2,0)</f>
        <v>Electric Bikes</v>
      </c>
    </row>
    <row r="2846" spans="1:10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 s="1">
        <f t="shared" si="44"/>
        <v>322.392</v>
      </c>
      <c r="H2846" t="str">
        <f>VLOOKUP(C2846,[1]products!$A:$B,2,0)</f>
        <v>Sun Bicycles Boardwalk (24-inch Wheels) - 2017</v>
      </c>
      <c r="I2846">
        <f>VLOOKUP(H2846,[1]products!$B:$D,3,0)</f>
        <v>3</v>
      </c>
      <c r="J2846" t="str">
        <f>VLOOKUP(I2846,[2]categories!$A$2:$B$8,2,0)</f>
        <v>Cruisers Bicycles</v>
      </c>
    </row>
    <row r="2847" spans="1:10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 s="1">
        <f t="shared" si="44"/>
        <v>375.992</v>
      </c>
      <c r="H2847" t="str">
        <f>VLOOKUP(C2847,[1]products!$A:$B,2,0)</f>
        <v>Trek Session DH 27.5 Carbon Frameset - 2017</v>
      </c>
      <c r="I2847">
        <f>VLOOKUP(H2847,[1]products!$B:$D,3,0)</f>
        <v>6</v>
      </c>
      <c r="J2847" t="str">
        <f>VLOOKUP(I2847,[2]categories!$A$2:$B$8,2,0)</f>
        <v>Mountain Bikes</v>
      </c>
    </row>
    <row r="2848" spans="1:10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0.07</v>
      </c>
      <c r="G2848" s="1">
        <f t="shared" si="44"/>
        <v>809.0907</v>
      </c>
      <c r="H2848" t="str">
        <f>VLOOKUP(C2848,[1]products!$A:$B,2,0)</f>
        <v>Haro SR 1.2 - 2017</v>
      </c>
      <c r="I2848">
        <f>VLOOKUP(H2848,[1]products!$B:$D,3,0)</f>
        <v>6</v>
      </c>
      <c r="J2848" t="str">
        <f>VLOOKUP(I2848,[2]categories!$A$2:$B$8,2,0)</f>
        <v>Mountain Bikes</v>
      </c>
    </row>
    <row r="2849" spans="1:10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 s="1">
        <f t="shared" si="44"/>
        <v>440.991</v>
      </c>
      <c r="H2849" t="str">
        <f>VLOOKUP(C2849,[1]products!$A:$B,2,0)</f>
        <v>Electra Townie Original 7D - 2017</v>
      </c>
      <c r="I2849">
        <f>VLOOKUP(H2849,[1]products!$B:$D,3,0)</f>
        <v>3</v>
      </c>
      <c r="J2849" t="str">
        <f>VLOOKUP(I2849,[2]categories!$A$2:$B$8,2,0)</f>
        <v>Cruisers Bicycles</v>
      </c>
    </row>
    <row r="2850" spans="1:10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 s="1">
        <f t="shared" si="44"/>
        <v>479.992</v>
      </c>
      <c r="H2850" t="str">
        <f>VLOOKUP(C2850,[1]products!$A:$B,2,0)</f>
        <v>Electra Townie Original 7D EQ - Women's - 2016</v>
      </c>
      <c r="I2850">
        <f>VLOOKUP(H2850,[1]products!$B:$D,3,0)</f>
        <v>3</v>
      </c>
      <c r="J2850" t="str">
        <f>VLOOKUP(I2850,[2]categories!$A$2:$B$8,2,0)</f>
        <v>Cruisers Bicycles</v>
      </c>
    </row>
    <row r="2851" spans="1:10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 s="1">
        <f t="shared" si="44"/>
        <v>543.984</v>
      </c>
      <c r="H2851" t="str">
        <f>VLOOKUP(C2851,[1]products!$A:$B,2,0)</f>
        <v>Electra Townie 7D (20-inch) - Boys' - 2017</v>
      </c>
      <c r="I2851">
        <f>VLOOKUP(H2851,[1]products!$B:$D,3,0)</f>
        <v>1</v>
      </c>
      <c r="J2851" t="str">
        <f>VLOOKUP(I2851,[2]categories!$A$2:$B$8,2,0)</f>
        <v>Children Bicycles</v>
      </c>
    </row>
    <row r="2852" spans="1:10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 s="1">
        <f t="shared" si="44"/>
        <v>3799.9905</v>
      </c>
      <c r="H2852" t="str">
        <f>VLOOKUP(C2852,[1]products!$A:$B,2,0)</f>
        <v>Trek Slash 8 27.5 - 2016</v>
      </c>
      <c r="I2852">
        <f>VLOOKUP(H2852,[1]products!$B:$D,3,0)</f>
        <v>6</v>
      </c>
      <c r="J2852" t="str">
        <f>VLOOKUP(I2852,[2]categories!$A$2:$B$8,2,0)</f>
        <v>Mountain Bikes</v>
      </c>
    </row>
    <row r="2853" spans="1:10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 s="1">
        <f t="shared" si="44"/>
        <v>3999.992</v>
      </c>
      <c r="H2853" t="str">
        <f>VLOOKUP(C2853,[1]products!$A:$B,2,0)</f>
        <v>Trek Madone 9.2 - 2017</v>
      </c>
      <c r="I2853">
        <f>VLOOKUP(H2853,[1]products!$B:$D,3,0)</f>
        <v>7</v>
      </c>
      <c r="J2853" t="str">
        <f>VLOOKUP(I2853,[2]categories!$A$2:$B$8,2,0)</f>
        <v>Road Bikes</v>
      </c>
    </row>
    <row r="2854" spans="1:10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 s="1">
        <f t="shared" si="44"/>
        <v>1499.382</v>
      </c>
      <c r="H2854" t="str">
        <f>VLOOKUP(C2854,[1]products!$A:$B,2,0)</f>
        <v>Surly Troll Frameset - 2017</v>
      </c>
      <c r="I2854">
        <f>VLOOKUP(H2854,[1]products!$B:$D,3,0)</f>
        <v>6</v>
      </c>
      <c r="J2854" t="str">
        <f>VLOOKUP(I2854,[2]categories!$A$2:$B$8,2,0)</f>
        <v>Mountain Bikes</v>
      </c>
    </row>
    <row r="2855" spans="1:10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 s="1">
        <f t="shared" si="44"/>
        <v>2943.1</v>
      </c>
      <c r="H2855" t="str">
        <f>VLOOKUP(C2855,[1]products!$A:$B,2,0)</f>
        <v>Surly Straggler - 2016</v>
      </c>
      <c r="I2855">
        <f>VLOOKUP(H2855,[1]products!$B:$D,3,0)</f>
        <v>4</v>
      </c>
      <c r="J2855" t="str">
        <f>VLOOKUP(I2855,[2]categories!$A$2:$B$8,2,0)</f>
        <v>Cyclocross Bicycles</v>
      </c>
    </row>
    <row r="2856" spans="1:10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0.07</v>
      </c>
      <c r="G2856" s="1">
        <f t="shared" si="44"/>
        <v>557.9814</v>
      </c>
      <c r="H2856" t="str">
        <f>VLOOKUP(C2856,[1]products!$A:$B,2,0)</f>
        <v>Electra Sugar Skulls 1 (20-inch) - Girl's - 2017</v>
      </c>
      <c r="I2856">
        <f>VLOOKUP(H2856,[1]products!$B:$D,3,0)</f>
        <v>1</v>
      </c>
      <c r="J2856" t="str">
        <f>VLOOKUP(I2856,[2]categories!$A$2:$B$8,2,0)</f>
        <v>Children Bicycles</v>
      </c>
    </row>
    <row r="2857" spans="1:10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 s="1">
        <f t="shared" si="44"/>
        <v>725.382</v>
      </c>
      <c r="H2857" t="str">
        <f>VLOOKUP(C2857,[1]products!$A:$B,2,0)</f>
        <v>Sun Bicycles Boardwalk (24-inch Wheels) - 2017</v>
      </c>
      <c r="I2857">
        <f>VLOOKUP(H2857,[1]products!$B:$D,3,0)</f>
        <v>3</v>
      </c>
      <c r="J2857" t="str">
        <f>VLOOKUP(I2857,[2]categories!$A$2:$B$8,2,0)</f>
        <v>Cruisers Bicycles</v>
      </c>
    </row>
    <row r="2858" spans="1:10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 s="1">
        <f t="shared" si="44"/>
        <v>683.982</v>
      </c>
      <c r="H2858" t="str">
        <f>VLOOKUP(C2858,[1]products!$A:$B,2,0)</f>
        <v>Haro Flightline One ST - 2017</v>
      </c>
      <c r="I2858">
        <f>VLOOKUP(H2858,[1]products!$B:$D,3,0)</f>
        <v>6</v>
      </c>
      <c r="J2858" t="str">
        <f>VLOOKUP(I2858,[2]categories!$A$2:$B$8,2,0)</f>
        <v>Mountain Bikes</v>
      </c>
    </row>
    <row r="2859" spans="1:10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 s="1">
        <f t="shared" si="44"/>
        <v>695.992</v>
      </c>
      <c r="H2859" t="str">
        <f>VLOOKUP(C2859,[1]products!$A:$B,2,0)</f>
        <v>Haro SR 1.2 - 2017</v>
      </c>
      <c r="I2859">
        <f>VLOOKUP(H2859,[1]products!$B:$D,3,0)</f>
        <v>6</v>
      </c>
      <c r="J2859" t="str">
        <f>VLOOKUP(I2859,[2]categories!$A$2:$B$8,2,0)</f>
        <v>Mountain Bikes</v>
      </c>
    </row>
    <row r="2860" spans="1:10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0.07</v>
      </c>
      <c r="G2860" s="1">
        <f t="shared" si="44"/>
        <v>233.4207</v>
      </c>
      <c r="H2860" t="str">
        <f>VLOOKUP(C2860,[1]products!$A:$B,2,0)</f>
        <v>Sun Bicycles Revolutions 24 - 2017</v>
      </c>
      <c r="I2860">
        <f>VLOOKUP(H2860,[1]products!$B:$D,3,0)</f>
        <v>3</v>
      </c>
      <c r="J2860" t="str">
        <f>VLOOKUP(I2860,[2]categories!$A$2:$B$8,2,0)</f>
        <v>Cruisers Bicycles</v>
      </c>
    </row>
    <row r="2861" spans="1:10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 s="1">
        <f t="shared" si="44"/>
        <v>1079.982</v>
      </c>
      <c r="H2861" t="str">
        <f>VLOOKUP(C2861,[1]products!$A:$B,2,0)</f>
        <v>Electra Townie Original 7D EQ - 2016</v>
      </c>
      <c r="I2861">
        <f>VLOOKUP(H2861,[1]products!$B:$D,3,0)</f>
        <v>3</v>
      </c>
      <c r="J2861" t="str">
        <f>VLOOKUP(I2861,[2]categories!$A$2:$B$8,2,0)</f>
        <v>Cruisers Bicycles</v>
      </c>
    </row>
    <row r="2862" spans="1:10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 s="1">
        <f t="shared" si="44"/>
        <v>167.992</v>
      </c>
      <c r="H2862" t="str">
        <f>VLOOKUP(C2862,[1]products!$A:$B,2,0)</f>
        <v>Trek Precaliber 16 Girls - 2017</v>
      </c>
      <c r="I2862">
        <f>VLOOKUP(H2862,[1]products!$B:$D,3,0)</f>
        <v>1</v>
      </c>
      <c r="J2862" t="str">
        <f>VLOOKUP(I2862,[2]categories!$A$2:$B$8,2,0)</f>
        <v>Children Bicycles</v>
      </c>
    </row>
    <row r="2863" spans="1:10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 s="1">
        <f t="shared" si="44"/>
        <v>305.991</v>
      </c>
      <c r="H2863" t="str">
        <f>VLOOKUP(C2863,[1]products!$A:$B,2,0)</f>
        <v>Electra Townie 7D (20-inch) - Boys' - 2017</v>
      </c>
      <c r="I2863">
        <f>VLOOKUP(H2863,[1]products!$B:$D,3,0)</f>
        <v>1</v>
      </c>
      <c r="J2863" t="str">
        <f>VLOOKUP(I2863,[2]categories!$A$2:$B$8,2,0)</f>
        <v>Children Bicycles</v>
      </c>
    </row>
    <row r="2864" spans="1:10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 s="1">
        <f t="shared" si="44"/>
        <v>854.981</v>
      </c>
      <c r="H2864" t="str">
        <f>VLOOKUP(C2864,[1]products!$A:$B,2,0)</f>
        <v>Sun Bicycles Cruz 3 - 2017</v>
      </c>
      <c r="I2864">
        <f>VLOOKUP(H2864,[1]products!$B:$D,3,0)</f>
        <v>3</v>
      </c>
      <c r="J2864" t="str">
        <f>VLOOKUP(I2864,[2]categories!$A$2:$B$8,2,0)</f>
        <v>Cruisers Bicycles</v>
      </c>
    </row>
    <row r="2865" spans="1:10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 s="1">
        <f t="shared" si="44"/>
        <v>446.4905</v>
      </c>
      <c r="H2865" t="str">
        <f>VLOOKUP(C2865,[1]products!$A:$B,2,0)</f>
        <v>Trek Farley Alloy Frameset - 2017</v>
      </c>
      <c r="I2865">
        <f>VLOOKUP(H2865,[1]products!$B:$D,3,0)</f>
        <v>6</v>
      </c>
      <c r="J2865" t="str">
        <f>VLOOKUP(I2865,[2]categories!$A$2:$B$8,2,0)</f>
        <v>Mountain Bikes</v>
      </c>
    </row>
    <row r="2866" spans="1:10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0.07</v>
      </c>
      <c r="G2866" s="1">
        <f t="shared" si="44"/>
        <v>278.9814</v>
      </c>
      <c r="H2866" t="str">
        <f>VLOOKUP(C2866,[1]products!$A:$B,2,0)</f>
        <v>Trek Girl's Kickster - 2017</v>
      </c>
      <c r="I2866">
        <f>VLOOKUP(H2866,[1]products!$B:$D,3,0)</f>
        <v>1</v>
      </c>
      <c r="J2866" t="str">
        <f>VLOOKUP(I2866,[2]categories!$A$2:$B$8,2,0)</f>
        <v>Children Bicycles</v>
      </c>
    </row>
    <row r="2867" spans="1:10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 s="1">
        <f t="shared" si="44"/>
        <v>854.384</v>
      </c>
      <c r="H2867" t="str">
        <f>VLOOKUP(C2867,[1]products!$A:$B,2,0)</f>
        <v>Sun Bicycles Streamway 7 - 2017</v>
      </c>
      <c r="I2867">
        <f>VLOOKUP(H2867,[1]products!$B:$D,3,0)</f>
        <v>2</v>
      </c>
      <c r="J2867" t="str">
        <f>VLOOKUP(I2867,[2]categories!$A$2:$B$8,2,0)</f>
        <v>Comfort Bicycles</v>
      </c>
    </row>
    <row r="2868" spans="1:10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0.07</v>
      </c>
      <c r="G2868" s="1">
        <f t="shared" si="44"/>
        <v>502.1814</v>
      </c>
      <c r="H2868" t="str">
        <f>VLOOKUP(C2868,[1]products!$A:$B,2,0)</f>
        <v>Electra Girl's Hawaii 1 (16-inch) - 2015/2016</v>
      </c>
      <c r="I2868">
        <f>VLOOKUP(H2868,[1]products!$B:$D,3,0)</f>
        <v>3</v>
      </c>
      <c r="J2868" t="str">
        <f>VLOOKUP(I2868,[2]categories!$A$2:$B$8,2,0)</f>
        <v>Cruisers Bicycles</v>
      </c>
    </row>
    <row r="2869" spans="1:10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 s="1">
        <f t="shared" si="44"/>
        <v>1139.981</v>
      </c>
      <c r="H2869" t="str">
        <f>VLOOKUP(C2869,[1]products!$A:$B,2,0)</f>
        <v>Electra Townie Original 7D EQ - 2016</v>
      </c>
      <c r="I2869">
        <f>VLOOKUP(H2869,[1]products!$B:$D,3,0)</f>
        <v>3</v>
      </c>
      <c r="J2869" t="str">
        <f>VLOOKUP(I2869,[2]categories!$A$2:$B$8,2,0)</f>
        <v>Cruisers Bicycles</v>
      </c>
    </row>
    <row r="2870" spans="1:10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 s="1">
        <f t="shared" si="44"/>
        <v>427.192</v>
      </c>
      <c r="H2870" t="str">
        <f>VLOOKUP(C2870,[1]products!$A:$B,2,0)</f>
        <v>Sun Bicycles Streamway 7 - 2017</v>
      </c>
      <c r="I2870">
        <f>VLOOKUP(H2870,[1]products!$B:$D,3,0)</f>
        <v>2</v>
      </c>
      <c r="J2870" t="str">
        <f>VLOOKUP(I2870,[2]categories!$A$2:$B$8,2,0)</f>
        <v>Comfort Bicycles</v>
      </c>
    </row>
    <row r="2871" spans="1:10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0.07</v>
      </c>
      <c r="G2871" s="1">
        <f t="shared" si="44"/>
        <v>1227.5814</v>
      </c>
      <c r="H2871" t="str">
        <f>VLOOKUP(C2871,[1]products!$A:$B,2,0)</f>
        <v>Electra Amsterdam Original 3i - 2015/2017</v>
      </c>
      <c r="I2871">
        <f>VLOOKUP(H2871,[1]products!$B:$D,3,0)</f>
        <v>3</v>
      </c>
      <c r="J2871" t="str">
        <f>VLOOKUP(I2871,[2]categories!$A$2:$B$8,2,0)</f>
        <v>Cruisers Bicycles</v>
      </c>
    </row>
    <row r="2872" spans="1:10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 s="1">
        <f t="shared" si="44"/>
        <v>427.4905</v>
      </c>
      <c r="H2872" t="str">
        <f>VLOOKUP(C2872,[1]products!$A:$B,2,0)</f>
        <v>Sun Bicycles Cruz 3 - 2017</v>
      </c>
      <c r="I2872">
        <f>VLOOKUP(H2872,[1]products!$B:$D,3,0)</f>
        <v>3</v>
      </c>
      <c r="J2872" t="str">
        <f>VLOOKUP(I2872,[2]categories!$A$2:$B$8,2,0)</f>
        <v>Cruisers Bicycles</v>
      </c>
    </row>
    <row r="2873" spans="1:10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 s="1">
        <f t="shared" si="44"/>
        <v>659.281</v>
      </c>
      <c r="H2873" t="str">
        <f>VLOOKUP(C2873,[1]products!$A:$B,2,0)</f>
        <v>Sun Bicycles Lil Bolt Type-R - 2017</v>
      </c>
      <c r="I2873">
        <f>VLOOKUP(H2873,[1]products!$B:$D,3,0)</f>
        <v>3</v>
      </c>
      <c r="J2873" t="str">
        <f>VLOOKUP(I2873,[2]categories!$A$2:$B$8,2,0)</f>
        <v>Cruisers Bicycles</v>
      </c>
    </row>
    <row r="2874" spans="1:10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 s="1">
        <f t="shared" si="44"/>
        <v>423.891</v>
      </c>
      <c r="H2874" t="str">
        <f>VLOOKUP(C2874,[1]products!$A:$B,2,0)</f>
        <v>Sun Bicycles Drifter 7 - Women's - 2017</v>
      </c>
      <c r="I2874">
        <f>VLOOKUP(H2874,[1]products!$B:$D,3,0)</f>
        <v>2</v>
      </c>
      <c r="J2874" t="str">
        <f>VLOOKUP(I2874,[2]categories!$A$2:$B$8,2,0)</f>
        <v>Comfort Bicycles</v>
      </c>
    </row>
    <row r="2875" spans="1:10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0.07</v>
      </c>
      <c r="G2875" s="1">
        <f t="shared" si="44"/>
        <v>835.14</v>
      </c>
      <c r="H2875" t="str">
        <f>VLOOKUP(C2875,[1]products!$A:$B,2,0)</f>
        <v>Pure Cycles William 3-Speed - 2016</v>
      </c>
      <c r="I2875">
        <f>VLOOKUP(H2875,[1]products!$B:$D,3,0)</f>
        <v>3</v>
      </c>
      <c r="J2875" t="str">
        <f>VLOOKUP(I2875,[2]categories!$A$2:$B$8,2,0)</f>
        <v>Cruisers Bicycles</v>
      </c>
    </row>
    <row r="2876" spans="1:10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 s="1">
        <f t="shared" si="44"/>
        <v>1899.981</v>
      </c>
      <c r="H2876" t="str">
        <f>VLOOKUP(C2876,[1]products!$A:$B,2,0)</f>
        <v>Trek X-Caliber 8 - 2017</v>
      </c>
      <c r="I2876">
        <f>VLOOKUP(H2876,[1]products!$B:$D,3,0)</f>
        <v>6</v>
      </c>
      <c r="J2876" t="str">
        <f>VLOOKUP(I2876,[2]categories!$A$2:$B$8,2,0)</f>
        <v>Mountain Bikes</v>
      </c>
    </row>
    <row r="2877" spans="1:10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 s="1">
        <f t="shared" si="44"/>
        <v>588.9905</v>
      </c>
      <c r="H2877" t="str">
        <f>VLOOKUP(C2877,[1]products!$A:$B,2,0)</f>
        <v>Sun Bicycles Biscayne Tandem 7 - 2017</v>
      </c>
      <c r="I2877">
        <f>VLOOKUP(H2877,[1]products!$B:$D,3,0)</f>
        <v>3</v>
      </c>
      <c r="J2877" t="str">
        <f>VLOOKUP(I2877,[2]categories!$A$2:$B$8,2,0)</f>
        <v>Cruisers Bicycles</v>
      </c>
    </row>
    <row r="2878" spans="1:10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 s="1">
        <f t="shared" si="44"/>
        <v>1652.981</v>
      </c>
      <c r="H2878" t="str">
        <f>VLOOKUP(C2878,[1]products!$A:$B,2,0)</f>
        <v>Haro SR 1.2 - 2017</v>
      </c>
      <c r="I2878">
        <f>VLOOKUP(H2878,[1]products!$B:$D,3,0)</f>
        <v>6</v>
      </c>
      <c r="J2878" t="str">
        <f>VLOOKUP(I2878,[2]categories!$A$2:$B$8,2,0)</f>
        <v>Mountain Bikes</v>
      </c>
    </row>
    <row r="2879" spans="1:10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 s="1">
        <f t="shared" si="44"/>
        <v>4499.991</v>
      </c>
      <c r="H2879" t="str">
        <f>VLOOKUP(C2879,[1]products!$A:$B,2,0)</f>
        <v>Trek Madone 9.2 - 2017</v>
      </c>
      <c r="I2879">
        <f>VLOOKUP(H2879,[1]products!$B:$D,3,0)</f>
        <v>7</v>
      </c>
      <c r="J2879" t="str">
        <f>VLOOKUP(I2879,[2]categories!$A$2:$B$8,2,0)</f>
        <v>Road Bikes</v>
      </c>
    </row>
    <row r="2880" spans="1:10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0.07</v>
      </c>
      <c r="G2880" s="1">
        <f t="shared" si="44"/>
        <v>438.0207</v>
      </c>
      <c r="H2880" t="str">
        <f>VLOOKUP(C2880,[1]products!$A:$B,2,0)</f>
        <v>Sun Bicycles Drifter 7 - Women's - 2017</v>
      </c>
      <c r="I2880">
        <f>VLOOKUP(H2880,[1]products!$B:$D,3,0)</f>
        <v>2</v>
      </c>
      <c r="J2880" t="str">
        <f>VLOOKUP(I2880,[2]categories!$A$2:$B$8,2,0)</f>
        <v>Comfort Bicycles</v>
      </c>
    </row>
    <row r="2881" spans="1:10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 s="1">
        <f t="shared" si="44"/>
        <v>465.4905</v>
      </c>
      <c r="H2881" t="str">
        <f>VLOOKUP(C2881,[1]products!$A:$B,2,0)</f>
        <v>Electra Townie 3i EQ (20-inch) - Boys' - 2017</v>
      </c>
      <c r="I2881">
        <f>VLOOKUP(H2881,[1]products!$B:$D,3,0)</f>
        <v>1</v>
      </c>
      <c r="J2881" t="str">
        <f>VLOOKUP(I2881,[2]categories!$A$2:$B$8,2,0)</f>
        <v>Children Bicycles</v>
      </c>
    </row>
    <row r="2882" spans="1:10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 s="1">
        <f t="shared" ref="G2882:G2945" si="45">D2882*E2882*(1-F2882)</f>
        <v>134.991</v>
      </c>
      <c r="H2882" t="str">
        <f>VLOOKUP(C2882,[1]products!$A:$B,2,0)</f>
        <v>Trek Boy's Kickster - 2015/2017</v>
      </c>
      <c r="I2882">
        <f>VLOOKUP(H2882,[1]products!$B:$D,3,0)</f>
        <v>1</v>
      </c>
      <c r="J2882" t="str">
        <f>VLOOKUP(I2882,[2]categories!$A$2:$B$8,2,0)</f>
        <v>Children Bicycles</v>
      </c>
    </row>
    <row r="2883" spans="1:10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 s="1">
        <f t="shared" si="45"/>
        <v>3239.982</v>
      </c>
      <c r="H2883" t="str">
        <f>VLOOKUP(C2883,[1]products!$A:$B,2,0)</f>
        <v>Trek Remedy 29 Carbon Frameset - 2016</v>
      </c>
      <c r="I2883">
        <f>VLOOKUP(H2883,[1]products!$B:$D,3,0)</f>
        <v>6</v>
      </c>
      <c r="J2883" t="str">
        <f>VLOOKUP(I2883,[2]categories!$A$2:$B$8,2,0)</f>
        <v>Mountain Bikes</v>
      </c>
    </row>
    <row r="2884" spans="1:10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 s="1">
        <f t="shared" si="45"/>
        <v>322.392</v>
      </c>
      <c r="H2884" t="str">
        <f>VLOOKUP(C2884,[1]products!$A:$B,2,0)</f>
        <v>Sun Bicycles Boardwalk (24-inch Wheels) - 2017</v>
      </c>
      <c r="I2884">
        <f>VLOOKUP(H2884,[1]products!$B:$D,3,0)</f>
        <v>3</v>
      </c>
      <c r="J2884" t="str">
        <f>VLOOKUP(I2884,[2]categories!$A$2:$B$8,2,0)</f>
        <v>Cruisers Bicycles</v>
      </c>
    </row>
    <row r="2885" spans="1:10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 s="1">
        <f t="shared" si="45"/>
        <v>892.981</v>
      </c>
      <c r="H2885" t="str">
        <f>VLOOKUP(C2885,[1]products!$A:$B,2,0)</f>
        <v>Trek Session DH 27.5 Carbon Frameset - 2017</v>
      </c>
      <c r="I2885">
        <f>VLOOKUP(H2885,[1]products!$B:$D,3,0)</f>
        <v>6</v>
      </c>
      <c r="J2885" t="str">
        <f>VLOOKUP(I2885,[2]categories!$A$2:$B$8,2,0)</f>
        <v>Mountain Bikes</v>
      </c>
    </row>
    <row r="2886" spans="1:10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 s="1">
        <f t="shared" si="45"/>
        <v>12349.981</v>
      </c>
      <c r="H2886" t="str">
        <f>VLOOKUP(C2886,[1]products!$A:$B,2,0)</f>
        <v>Trek Silque SLR 8 Women's - 2017</v>
      </c>
      <c r="I2886">
        <f>VLOOKUP(H2886,[1]products!$B:$D,3,0)</f>
        <v>7</v>
      </c>
      <c r="J2886" t="str">
        <f>VLOOKUP(I2886,[2]categories!$A$2:$B$8,2,0)</f>
        <v>Road Bikes</v>
      </c>
    </row>
    <row r="2887" spans="1:10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 s="1">
        <f t="shared" si="45"/>
        <v>1499.382</v>
      </c>
      <c r="H2887" t="str">
        <f>VLOOKUP(C2887,[1]products!$A:$B,2,0)</f>
        <v>Surly Troll Frameset - 2017</v>
      </c>
      <c r="I2887">
        <f>VLOOKUP(H2887,[1]products!$B:$D,3,0)</f>
        <v>6</v>
      </c>
      <c r="J2887" t="str">
        <f>VLOOKUP(I2887,[2]categories!$A$2:$B$8,2,0)</f>
        <v>Mountain Bikes</v>
      </c>
    </row>
    <row r="2888" spans="1:10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 s="1">
        <f t="shared" si="45"/>
        <v>431.984</v>
      </c>
      <c r="H2888" t="str">
        <f>VLOOKUP(C2888,[1]products!$A:$B,2,0)</f>
        <v>Electra Girl's Hawaii 1 (16-inch) - 2015/2016</v>
      </c>
      <c r="I2888">
        <f>VLOOKUP(H2888,[1]products!$B:$D,3,0)</f>
        <v>3</v>
      </c>
      <c r="J2888" t="str">
        <f>VLOOKUP(I2888,[2]categories!$A$2:$B$8,2,0)</f>
        <v>Cruisers Bicycles</v>
      </c>
    </row>
    <row r="2889" spans="1:10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 s="1">
        <f t="shared" si="45"/>
        <v>1979.982</v>
      </c>
      <c r="H2889" t="str">
        <f>VLOOKUP(C2889,[1]products!$A:$B,2,0)</f>
        <v>Electra Amsterdam Fashion 7i Ladies' - 2017</v>
      </c>
      <c r="I2889">
        <f>VLOOKUP(H2889,[1]products!$B:$D,3,0)</f>
        <v>3</v>
      </c>
      <c r="J2889" t="str">
        <f>VLOOKUP(I2889,[2]categories!$A$2:$B$8,2,0)</f>
        <v>Cruisers Bicycles</v>
      </c>
    </row>
    <row r="2890" spans="1:10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 s="1">
        <f t="shared" si="45"/>
        <v>269.991</v>
      </c>
      <c r="H2890" t="str">
        <f>VLOOKUP(C2890,[1]products!$A:$B,2,0)</f>
        <v>Electra Sugar Skulls 1 (20-inch) - Girl's - 2017</v>
      </c>
      <c r="I2890">
        <f>VLOOKUP(H2890,[1]products!$B:$D,3,0)</f>
        <v>1</v>
      </c>
      <c r="J2890" t="str">
        <f>VLOOKUP(I2890,[2]categories!$A$2:$B$8,2,0)</f>
        <v>Children Bicycles</v>
      </c>
    </row>
    <row r="2891" spans="1:10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0.07</v>
      </c>
      <c r="G2891" s="1">
        <f t="shared" si="45"/>
        <v>557.9907</v>
      </c>
      <c r="H2891" t="str">
        <f>VLOOKUP(C2891,[1]products!$A:$B,2,0)</f>
        <v>Electra Townie Original 7D EQ - Women's - 2016</v>
      </c>
      <c r="I2891">
        <f>VLOOKUP(H2891,[1]products!$B:$D,3,0)</f>
        <v>3</v>
      </c>
      <c r="J2891" t="str">
        <f>VLOOKUP(I2891,[2]categories!$A$2:$B$8,2,0)</f>
        <v>Cruisers Bicycles</v>
      </c>
    </row>
    <row r="2892" spans="1:10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 s="1">
        <f t="shared" si="45"/>
        <v>404.991</v>
      </c>
      <c r="H2892" t="str">
        <f>VLOOKUP(C2892,[1]products!$A:$B,2,0)</f>
        <v>Sun Bicycles Cruz 3 - 2017</v>
      </c>
      <c r="I2892">
        <f>VLOOKUP(H2892,[1]products!$B:$D,3,0)</f>
        <v>3</v>
      </c>
      <c r="J2892" t="str">
        <f>VLOOKUP(I2892,[2]categories!$A$2:$B$8,2,0)</f>
        <v>Cruisers Bicycles</v>
      </c>
    </row>
    <row r="2893" spans="1:10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0.07</v>
      </c>
      <c r="G2893" s="1">
        <f t="shared" si="45"/>
        <v>10229.9814</v>
      </c>
      <c r="H2893" t="str">
        <f>VLOOKUP(C2893,[1]products!$A:$B,2,0)</f>
        <v>Trek Domane SLR 6 Disc - 2017</v>
      </c>
      <c r="I2893">
        <f>VLOOKUP(H2893,[1]products!$B:$D,3,0)</f>
        <v>7</v>
      </c>
      <c r="J2893" t="str">
        <f>VLOOKUP(I2893,[2]categories!$A$2:$B$8,2,0)</f>
        <v>Road Bikes</v>
      </c>
    </row>
    <row r="2894" spans="1:10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 s="1">
        <f t="shared" si="45"/>
        <v>312.291</v>
      </c>
      <c r="H2894" t="str">
        <f>VLOOKUP(C2894,[1]products!$A:$B,2,0)</f>
        <v>Sun Bicycles Lil Bolt Type-R - 2017</v>
      </c>
      <c r="I2894">
        <f>VLOOKUP(H2894,[1]products!$B:$D,3,0)</f>
        <v>3</v>
      </c>
      <c r="J2894" t="str">
        <f>VLOOKUP(I2894,[2]categories!$A$2:$B$8,2,0)</f>
        <v>Cruisers Bicycles</v>
      </c>
    </row>
    <row r="2895" spans="1:10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 s="1">
        <f t="shared" si="45"/>
        <v>1268.991</v>
      </c>
      <c r="H2895" t="str">
        <f>VLOOKUP(C2895,[1]products!$A:$B,2,0)</f>
        <v>Haro SR 1.3 - 2017</v>
      </c>
      <c r="I2895">
        <f>VLOOKUP(H2895,[1]products!$B:$D,3,0)</f>
        <v>6</v>
      </c>
      <c r="J2895" t="str">
        <f>VLOOKUP(I2895,[2]categories!$A$2:$B$8,2,0)</f>
        <v>Mountain Bikes</v>
      </c>
    </row>
    <row r="2896" spans="1:10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 s="1">
        <f t="shared" si="45"/>
        <v>479.992</v>
      </c>
      <c r="H2896" t="str">
        <f>VLOOKUP(C2896,[1]products!$A:$B,2,0)</f>
        <v>Electra Townie Original 7D EQ - 2016</v>
      </c>
      <c r="I2896">
        <f>VLOOKUP(H2896,[1]products!$B:$D,3,0)</f>
        <v>3</v>
      </c>
      <c r="J2896" t="str">
        <f>VLOOKUP(I2896,[2]categories!$A$2:$B$8,2,0)</f>
        <v>Cruisers Bicycles</v>
      </c>
    </row>
    <row r="2897" spans="1:10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 s="1">
        <f t="shared" si="45"/>
        <v>1596.9405</v>
      </c>
      <c r="H2897" t="str">
        <f>VLOOKUP(C2897,[1]products!$A:$B,2,0)</f>
        <v>Surly Straggler 650b - 2016</v>
      </c>
      <c r="I2897">
        <f>VLOOKUP(H2897,[1]products!$B:$D,3,0)</f>
        <v>4</v>
      </c>
      <c r="J2897" t="str">
        <f>VLOOKUP(I2897,[2]categories!$A$2:$B$8,2,0)</f>
        <v>Cyclocross Bicycles</v>
      </c>
    </row>
    <row r="2898" spans="1:10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 s="1">
        <f t="shared" si="45"/>
        <v>593.982</v>
      </c>
      <c r="H2898" t="str">
        <f>VLOOKUP(C2898,[1]products!$A:$B,2,0)</f>
        <v>Haro Downtown 16 - 2017</v>
      </c>
      <c r="I2898">
        <f>VLOOKUP(H2898,[1]products!$B:$D,3,0)</f>
        <v>1</v>
      </c>
      <c r="J2898" t="str">
        <f>VLOOKUP(I2898,[2]categories!$A$2:$B$8,2,0)</f>
        <v>Children Bicycles</v>
      </c>
    </row>
    <row r="2899" spans="1:10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 s="1">
        <f t="shared" si="45"/>
        <v>239.992</v>
      </c>
      <c r="H2899" t="str">
        <f>VLOOKUP(C2899,[1]products!$A:$B,2,0)</f>
        <v>Electra Girl's Hawaii 1 16" - 2017</v>
      </c>
      <c r="I2899">
        <f>VLOOKUP(H2899,[1]products!$B:$D,3,0)</f>
        <v>3</v>
      </c>
      <c r="J2899" t="str">
        <f>VLOOKUP(I2899,[2]categories!$A$2:$B$8,2,0)</f>
        <v>Cruisers Bicycles</v>
      </c>
    </row>
    <row r="2900" spans="1:10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 s="1">
        <f t="shared" si="45"/>
        <v>809.982</v>
      </c>
      <c r="H2900" t="str">
        <f>VLOOKUP(C2900,[1]products!$A:$B,2,0)</f>
        <v>Sun Bicycles Cruz 3 - 2017</v>
      </c>
      <c r="I2900">
        <f>VLOOKUP(H2900,[1]products!$B:$D,3,0)</f>
        <v>3</v>
      </c>
      <c r="J2900" t="str">
        <f>VLOOKUP(I2900,[2]categories!$A$2:$B$8,2,0)</f>
        <v>Cruisers Bicycles</v>
      </c>
    </row>
    <row r="2901" spans="1:10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 s="1">
        <f t="shared" si="45"/>
        <v>333.592</v>
      </c>
      <c r="H2901" t="str">
        <f>VLOOKUP(C2901,[1]products!$A:$B,2,0)</f>
        <v>Sun Bicycles Atlas X-Type - 2017</v>
      </c>
      <c r="I2901">
        <f>VLOOKUP(H2901,[1]products!$B:$D,3,0)</f>
        <v>3</v>
      </c>
      <c r="J2901" t="str">
        <f>VLOOKUP(I2901,[2]categories!$A$2:$B$8,2,0)</f>
        <v>Cruisers Bicycles</v>
      </c>
    </row>
    <row r="2902" spans="1:10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 s="1">
        <f t="shared" si="45"/>
        <v>674.991</v>
      </c>
      <c r="H2902" t="str">
        <f>VLOOKUP(C2902,[1]products!$A:$B,2,0)</f>
        <v>Ritchey Timberwolf Frameset - 2016</v>
      </c>
      <c r="I2902">
        <f>VLOOKUP(H2902,[1]products!$B:$D,3,0)</f>
        <v>6</v>
      </c>
      <c r="J2902" t="str">
        <f>VLOOKUP(I2902,[2]categories!$A$2:$B$8,2,0)</f>
        <v>Mountain Bikes</v>
      </c>
    </row>
    <row r="2903" spans="1:10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0.07</v>
      </c>
      <c r="G2903" s="1">
        <f t="shared" si="45"/>
        <v>278.9907</v>
      </c>
      <c r="H2903" t="str">
        <f>VLOOKUP(C2903,[1]products!$A:$B,2,0)</f>
        <v>Electra Girl's Hawaii 1 16" - 2017</v>
      </c>
      <c r="I2903">
        <f>VLOOKUP(H2903,[1]products!$B:$D,3,0)</f>
        <v>3</v>
      </c>
      <c r="J2903" t="str">
        <f>VLOOKUP(I2903,[2]categories!$A$2:$B$8,2,0)</f>
        <v>Cruisers Bicycles</v>
      </c>
    </row>
    <row r="2904" spans="1:10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0.07</v>
      </c>
      <c r="G2904" s="1">
        <f t="shared" si="45"/>
        <v>557.9814</v>
      </c>
      <c r="H2904" t="str">
        <f>VLOOKUP(C2904,[1]products!$A:$B,2,0)</f>
        <v>Electra Girl's Hawaii 1 16" - 2017</v>
      </c>
      <c r="I2904">
        <f>VLOOKUP(H2904,[1]products!$B:$D,3,0)</f>
        <v>3</v>
      </c>
      <c r="J2904" t="str">
        <f>VLOOKUP(I2904,[2]categories!$A$2:$B$8,2,0)</f>
        <v>Cruisers Bicycles</v>
      </c>
    </row>
    <row r="2905" spans="1:10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0.07</v>
      </c>
      <c r="G2905" s="1">
        <f t="shared" si="45"/>
        <v>502.1907</v>
      </c>
      <c r="H2905" t="str">
        <f>VLOOKUP(C2905,[1]products!$A:$B,2,0)</f>
        <v>Haro SR 1.1 - 2017</v>
      </c>
      <c r="I2905">
        <f>VLOOKUP(H2905,[1]products!$B:$D,3,0)</f>
        <v>6</v>
      </c>
      <c r="J2905" t="str">
        <f>VLOOKUP(I2905,[2]categories!$A$2:$B$8,2,0)</f>
        <v>Mountain Bikes</v>
      </c>
    </row>
    <row r="2906" spans="1:10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 s="1">
        <f t="shared" si="45"/>
        <v>750.582</v>
      </c>
      <c r="H2906" t="str">
        <f>VLOOKUP(C2906,[1]products!$A:$B,2,0)</f>
        <v>Sun Bicycles Cruz 7 - Women's - 2017</v>
      </c>
      <c r="I2906">
        <f>VLOOKUP(H2906,[1]products!$B:$D,3,0)</f>
        <v>2</v>
      </c>
      <c r="J2906" t="str">
        <f>VLOOKUP(I2906,[2]categories!$A$2:$B$8,2,0)</f>
        <v>Comfort Bicycles</v>
      </c>
    </row>
    <row r="2907" spans="1:10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 s="1">
        <f t="shared" si="45"/>
        <v>151.992</v>
      </c>
      <c r="H2907" t="str">
        <f>VLOOKUP(C2907,[1]products!$A:$B,2,0)</f>
        <v>Trek Precaliber 12 Girls - 2017</v>
      </c>
      <c r="I2907">
        <f>VLOOKUP(H2907,[1]products!$B:$D,3,0)</f>
        <v>1</v>
      </c>
      <c r="J2907" t="str">
        <f>VLOOKUP(I2907,[2]categories!$A$2:$B$8,2,0)</f>
        <v>Children Bicycles</v>
      </c>
    </row>
    <row r="2908" spans="1:10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 s="1">
        <f t="shared" si="45"/>
        <v>479.984</v>
      </c>
      <c r="H2908" t="str">
        <f>VLOOKUP(C2908,[1]products!$A:$B,2,0)</f>
        <v>Electra Sugar Skulls 1 (20-inch) - Girl's - 2017</v>
      </c>
      <c r="I2908">
        <f>VLOOKUP(H2908,[1]products!$B:$D,3,0)</f>
        <v>1</v>
      </c>
      <c r="J2908" t="str">
        <f>VLOOKUP(I2908,[2]categories!$A$2:$B$8,2,0)</f>
        <v>Children Bicycles</v>
      </c>
    </row>
    <row r="2909" spans="1:10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 s="1">
        <f t="shared" si="45"/>
        <v>959.984</v>
      </c>
      <c r="H2909" t="str">
        <f>VLOOKUP(C2909,[1]products!$A:$B,2,0)</f>
        <v>Electra Townie Original 7D EQ - 2016</v>
      </c>
      <c r="I2909">
        <f>VLOOKUP(H2909,[1]products!$B:$D,3,0)</f>
        <v>3</v>
      </c>
      <c r="J2909" t="str">
        <f>VLOOKUP(I2909,[2]categories!$A$2:$B$8,2,0)</f>
        <v>Cruisers Bicycles</v>
      </c>
    </row>
    <row r="2910" spans="1:10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 s="1">
        <f t="shared" si="45"/>
        <v>854.981</v>
      </c>
      <c r="H2910" t="str">
        <f>VLOOKUP(C2910,[1]products!$A:$B,2,0)</f>
        <v>Sun Bicycles Cruz 3 - 2017</v>
      </c>
      <c r="I2910">
        <f>VLOOKUP(H2910,[1]products!$B:$D,3,0)</f>
        <v>3</v>
      </c>
      <c r="J2910" t="str">
        <f>VLOOKUP(I2910,[2]categories!$A$2:$B$8,2,0)</f>
        <v>Cruisers Bicycles</v>
      </c>
    </row>
    <row r="2911" spans="1:10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0.07</v>
      </c>
      <c r="G2911" s="1">
        <f t="shared" si="45"/>
        <v>1673.9907</v>
      </c>
      <c r="H2911" t="str">
        <f>VLOOKUP(C2911,[1]products!$A:$B,2,0)</f>
        <v>Trek Remedy 29 Carbon Frameset - 2016</v>
      </c>
      <c r="I2911">
        <f>VLOOKUP(H2911,[1]products!$B:$D,3,0)</f>
        <v>6</v>
      </c>
      <c r="J2911" t="str">
        <f>VLOOKUP(I2911,[2]categories!$A$2:$B$8,2,0)</f>
        <v>Mountain Bikes</v>
      </c>
    </row>
    <row r="2912" spans="1:10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 s="1">
        <f t="shared" si="45"/>
        <v>391.992</v>
      </c>
      <c r="H2912" t="str">
        <f>VLOOKUP(C2912,[1]products!$A:$B,2,0)</f>
        <v>Electra Townie Original 7D - 2017</v>
      </c>
      <c r="I2912">
        <f>VLOOKUP(H2912,[1]products!$B:$D,3,0)</f>
        <v>3</v>
      </c>
      <c r="J2912" t="str">
        <f>VLOOKUP(I2912,[2]categories!$A$2:$B$8,2,0)</f>
        <v>Cruisers Bicycles</v>
      </c>
    </row>
    <row r="2913" spans="1:10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 s="1">
        <f t="shared" si="45"/>
        <v>2963.981</v>
      </c>
      <c r="H2913" t="str">
        <f>VLOOKUP(C2913,[1]products!$A:$B,2,0)</f>
        <v>Sun Bicycles ElectroLite - 2017</v>
      </c>
      <c r="I2913">
        <f>VLOOKUP(H2913,[1]products!$B:$D,3,0)</f>
        <v>5</v>
      </c>
      <c r="J2913" t="str">
        <f>VLOOKUP(I2913,[2]categories!$A$2:$B$8,2,0)</f>
        <v>Electric Bikes</v>
      </c>
    </row>
    <row r="2914" spans="1:10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 s="1">
        <f t="shared" si="45"/>
        <v>279.992</v>
      </c>
      <c r="H2914" t="str">
        <f>VLOOKUP(C2914,[1]products!$A:$B,2,0)</f>
        <v>Electra Savannah 3i (20-inch) - Girl's - 2017</v>
      </c>
      <c r="I2914">
        <f>VLOOKUP(H2914,[1]products!$B:$D,3,0)</f>
        <v>1</v>
      </c>
      <c r="J2914" t="str">
        <f>VLOOKUP(I2914,[2]categories!$A$2:$B$8,2,0)</f>
        <v>Children Bicycles</v>
      </c>
    </row>
    <row r="2915" spans="1:10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 s="1">
        <f t="shared" si="45"/>
        <v>1652.981</v>
      </c>
      <c r="H2915" t="str">
        <f>VLOOKUP(C2915,[1]products!$A:$B,2,0)</f>
        <v>Haro SR 1.2 - 2017</v>
      </c>
      <c r="I2915">
        <f>VLOOKUP(H2915,[1]products!$B:$D,3,0)</f>
        <v>6</v>
      </c>
      <c r="J2915" t="str">
        <f>VLOOKUP(I2915,[2]categories!$A$2:$B$8,2,0)</f>
        <v>Mountain Bikes</v>
      </c>
    </row>
    <row r="2916" spans="1:10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 s="1">
        <f t="shared" si="45"/>
        <v>1979.982</v>
      </c>
      <c r="H2916" t="str">
        <f>VLOOKUP(C2916,[1]products!$A:$B,2,0)</f>
        <v>Electra Amsterdam Fashion 7i Ladies' - 2017</v>
      </c>
      <c r="I2916">
        <f>VLOOKUP(H2916,[1]products!$B:$D,3,0)</f>
        <v>3</v>
      </c>
      <c r="J2916" t="str">
        <f>VLOOKUP(I2916,[2]categories!$A$2:$B$8,2,0)</f>
        <v>Cruisers Bicycles</v>
      </c>
    </row>
    <row r="2917" spans="1:10">
      <c r="A2917">
        <v>1014</v>
      </c>
      <c r="B2917">
        <v>4</v>
      </c>
      <c r="C2917">
        <v>59</v>
      </c>
      <c r="D2917">
        <v>1</v>
      </c>
      <c r="E2917">
        <v>2599.99</v>
      </c>
      <c r="F2917">
        <v>0.05</v>
      </c>
      <c r="G2917" s="1">
        <f t="shared" si="45"/>
        <v>2469.9905</v>
      </c>
      <c r="H2917" t="str">
        <f>VLOOKUP(C2917,[1]products!$A:$B,2,0)</f>
        <v>Trek Domane S 5 Disc - 2017</v>
      </c>
      <c r="I2917">
        <f>VLOOKUP(H2917,[1]products!$B:$D,3,0)</f>
        <v>7</v>
      </c>
      <c r="J2917" t="str">
        <f>VLOOKUP(I2917,[2]categories!$A$2:$B$8,2,0)</f>
        <v>Road Bikes</v>
      </c>
    </row>
    <row r="2918" spans="1:10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 s="1">
        <f t="shared" si="45"/>
        <v>845.982</v>
      </c>
      <c r="H2918" t="str">
        <f>VLOOKUP(C2918,[1]products!$A:$B,2,0)</f>
        <v>Surly Ice Cream Truck Frameset - 2016</v>
      </c>
      <c r="I2918">
        <f>VLOOKUP(H2918,[1]products!$B:$D,3,0)</f>
        <v>6</v>
      </c>
      <c r="J2918" t="str">
        <f>VLOOKUP(I2918,[2]categories!$A$2:$B$8,2,0)</f>
        <v>Mountain Bikes</v>
      </c>
    </row>
    <row r="2919" spans="1:10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 s="1">
        <f t="shared" si="45"/>
        <v>1199.984</v>
      </c>
      <c r="H2919" t="str">
        <f>VLOOKUP(C2919,[1]products!$A:$B,2,0)</f>
        <v>Sun Bicycles Brickell Tandem 7 - 2017</v>
      </c>
      <c r="I2919">
        <f>VLOOKUP(H2919,[1]products!$B:$D,3,0)</f>
        <v>3</v>
      </c>
      <c r="J2919" t="str">
        <f>VLOOKUP(I2919,[2]categories!$A$2:$B$8,2,0)</f>
        <v>Cruisers Bicycles</v>
      </c>
    </row>
    <row r="2920" spans="1:10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 s="1">
        <f t="shared" si="45"/>
        <v>611.982</v>
      </c>
      <c r="H2920" t="str">
        <f>VLOOKUP(C2920,[1]products!$A:$B,2,0)</f>
        <v>Electra Townie 7D (20-inch) - Boys' - 2017</v>
      </c>
      <c r="I2920">
        <f>VLOOKUP(H2920,[1]products!$B:$D,3,0)</f>
        <v>1</v>
      </c>
      <c r="J2920" t="str">
        <f>VLOOKUP(I2920,[2]categories!$A$2:$B$8,2,0)</f>
        <v>Children Bicycles</v>
      </c>
    </row>
    <row r="2921" spans="1:10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 s="1">
        <f t="shared" si="45"/>
        <v>215.992</v>
      </c>
      <c r="H2921" t="str">
        <f>VLOOKUP(C2921,[1]products!$A:$B,2,0)</f>
        <v>Electra Cruiser 1 (24-Inch) - 2016</v>
      </c>
      <c r="I2921">
        <f>VLOOKUP(H2921,[1]products!$B:$D,3,0)</f>
        <v>3</v>
      </c>
      <c r="J2921" t="str">
        <f>VLOOKUP(I2921,[2]categories!$A$2:$B$8,2,0)</f>
        <v>Cruisers Bicycles</v>
      </c>
    </row>
    <row r="2922" spans="1:10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0.07</v>
      </c>
      <c r="G2922" s="1">
        <f t="shared" si="45"/>
        <v>557.9814</v>
      </c>
      <c r="H2922" t="str">
        <f>VLOOKUP(C2922,[1]products!$A:$B,2,0)</f>
        <v>Electra Girl's Hawaii 1 16" - 2017</v>
      </c>
      <c r="I2922">
        <f>VLOOKUP(H2922,[1]products!$B:$D,3,0)</f>
        <v>3</v>
      </c>
      <c r="J2922" t="str">
        <f>VLOOKUP(I2922,[2]categories!$A$2:$B$8,2,0)</f>
        <v>Cruisers Bicycles</v>
      </c>
    </row>
    <row r="2923" spans="1:10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0.07</v>
      </c>
      <c r="G2923" s="1">
        <f t="shared" si="45"/>
        <v>195.2907</v>
      </c>
      <c r="H2923" t="str">
        <f>VLOOKUP(C2923,[1]products!$A:$B,2,0)</f>
        <v>Trek Precaliber 16 Boys - 2017</v>
      </c>
      <c r="I2923">
        <f>VLOOKUP(H2923,[1]products!$B:$D,3,0)</f>
        <v>1</v>
      </c>
      <c r="J2923" t="str">
        <f>VLOOKUP(I2923,[2]categories!$A$2:$B$8,2,0)</f>
        <v>Children Bicycles</v>
      </c>
    </row>
    <row r="2924" spans="1:10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 s="1">
        <f t="shared" si="45"/>
        <v>1055.984</v>
      </c>
      <c r="H2924" t="str">
        <f>VLOOKUP(C2924,[1]products!$A:$B,2,0)</f>
        <v>Electra Amsterdam Original 3i Ladies' - 2017</v>
      </c>
      <c r="I2924">
        <f>VLOOKUP(H2924,[1]products!$B:$D,3,0)</f>
        <v>3</v>
      </c>
      <c r="J2924" t="str">
        <f>VLOOKUP(I2924,[2]categories!$A$2:$B$8,2,0)</f>
        <v>Cruisers Bicycles</v>
      </c>
    </row>
    <row r="2925" spans="1:10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 s="1">
        <f t="shared" si="45"/>
        <v>391.992</v>
      </c>
      <c r="H2925" t="str">
        <f>VLOOKUP(C2925,[1]products!$A:$B,2,0)</f>
        <v>Electra Townie 3i EQ (20-inch) - Boys' - 2017</v>
      </c>
      <c r="I2925">
        <f>VLOOKUP(H2925,[1]products!$B:$D,3,0)</f>
        <v>1</v>
      </c>
      <c r="J2925" t="str">
        <f>VLOOKUP(I2925,[2]categories!$A$2:$B$8,2,0)</f>
        <v>Children Bicycles</v>
      </c>
    </row>
    <row r="2926" spans="1:10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 s="1">
        <f t="shared" si="45"/>
        <v>718.4</v>
      </c>
      <c r="H2926" t="str">
        <f>VLOOKUP(C2926,[1]products!$A:$B,2,0)</f>
        <v>Pure Cycles Western 3-Speed - Women's - 2015/2016</v>
      </c>
      <c r="I2926">
        <f>VLOOKUP(H2926,[1]products!$B:$D,3,0)</f>
        <v>3</v>
      </c>
      <c r="J2926" t="str">
        <f>VLOOKUP(I2926,[2]categories!$A$2:$B$8,2,0)</f>
        <v>Cruisers Bicycles</v>
      </c>
    </row>
    <row r="2927" spans="1:10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 s="1">
        <f t="shared" si="45"/>
        <v>1439.982</v>
      </c>
      <c r="H2927" t="str">
        <f>VLOOKUP(C2927,[1]products!$A:$B,2,0)</f>
        <v>Electra Glam Punk 3i Ladies' - 2017</v>
      </c>
      <c r="I2927">
        <f>VLOOKUP(H2927,[1]products!$B:$D,3,0)</f>
        <v>3</v>
      </c>
      <c r="J2927" t="str">
        <f>VLOOKUP(I2927,[2]categories!$A$2:$B$8,2,0)</f>
        <v>Cruisers Bicycles</v>
      </c>
    </row>
    <row r="2928" spans="1:10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0.07</v>
      </c>
      <c r="G2928" s="1">
        <f t="shared" si="45"/>
        <v>557.9814</v>
      </c>
      <c r="H2928" t="str">
        <f>VLOOKUP(C2928,[1]products!$A:$B,2,0)</f>
        <v>Electra Girl's Hawaii 1 16" - 2017</v>
      </c>
      <c r="I2928">
        <f>VLOOKUP(H2928,[1]products!$B:$D,3,0)</f>
        <v>3</v>
      </c>
      <c r="J2928" t="str">
        <f>VLOOKUP(I2928,[2]categories!$A$2:$B$8,2,0)</f>
        <v>Cruisers Bicycles</v>
      </c>
    </row>
    <row r="2929" spans="1:10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 s="1">
        <f t="shared" si="45"/>
        <v>629.982</v>
      </c>
      <c r="H2929" t="str">
        <f>VLOOKUP(C2929,[1]products!$A:$B,2,0)</f>
        <v>Electra Savannah 3i (20-inch) - Girl's - 2017</v>
      </c>
      <c r="I2929">
        <f>VLOOKUP(H2929,[1]products!$B:$D,3,0)</f>
        <v>1</v>
      </c>
      <c r="J2929" t="str">
        <f>VLOOKUP(I2929,[2]categories!$A$2:$B$8,2,0)</f>
        <v>Children Bicycles</v>
      </c>
    </row>
    <row r="2930" spans="1:10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 s="1">
        <f t="shared" si="45"/>
        <v>279.992</v>
      </c>
      <c r="H2930" t="str">
        <f>VLOOKUP(C2930,[1]products!$A:$B,2,0)</f>
        <v>Trek Precaliber 24 (21-Speed) - Girls - 2017</v>
      </c>
      <c r="I2930">
        <f>VLOOKUP(H2930,[1]products!$B:$D,3,0)</f>
        <v>1</v>
      </c>
      <c r="J2930" t="str">
        <f>VLOOKUP(I2930,[2]categories!$A$2:$B$8,2,0)</f>
        <v>Children Bicycles</v>
      </c>
    </row>
    <row r="2931" spans="1:10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 s="1">
        <f t="shared" si="45"/>
        <v>899.991</v>
      </c>
      <c r="H2931" t="str">
        <f>VLOOKUP(C2931,[1]products!$A:$B,2,0)</f>
        <v>Surly Ice Cream Truck Frameset - 2017</v>
      </c>
      <c r="I2931">
        <f>VLOOKUP(H2931,[1]products!$B:$D,3,0)</f>
        <v>6</v>
      </c>
      <c r="J2931" t="str">
        <f>VLOOKUP(I2931,[2]categories!$A$2:$B$8,2,0)</f>
        <v>Mountain Bikes</v>
      </c>
    </row>
    <row r="2932" spans="1:10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 s="1">
        <f t="shared" si="45"/>
        <v>700.792</v>
      </c>
      <c r="H2932" t="str">
        <f>VLOOKUP(C2932,[1]products!$A:$B,2,0)</f>
        <v>Surly Steamroller - 2017</v>
      </c>
      <c r="I2932">
        <f>VLOOKUP(H2932,[1]products!$B:$D,3,0)</f>
        <v>7</v>
      </c>
      <c r="J2932" t="str">
        <f>VLOOKUP(I2932,[2]categories!$A$2:$B$8,2,0)</f>
        <v>Road Bikes</v>
      </c>
    </row>
    <row r="2933" spans="1:10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 s="1">
        <f t="shared" si="45"/>
        <v>360.9905</v>
      </c>
      <c r="H2933" t="str">
        <f>VLOOKUP(C2933,[1]products!$A:$B,2,0)</f>
        <v>Haro Flightline One ST - 2017</v>
      </c>
      <c r="I2933">
        <f>VLOOKUP(H2933,[1]products!$B:$D,3,0)</f>
        <v>6</v>
      </c>
      <c r="J2933" t="str">
        <f>VLOOKUP(I2933,[2]categories!$A$2:$B$8,2,0)</f>
        <v>Mountain Bikes</v>
      </c>
    </row>
    <row r="2934" spans="1:10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 s="1">
        <f t="shared" si="45"/>
        <v>335.984</v>
      </c>
      <c r="H2934" t="str">
        <f>VLOOKUP(C2934,[1]products!$A:$B,2,0)</f>
        <v>Haro Shredder 20 Girls - 2017</v>
      </c>
      <c r="I2934">
        <f>VLOOKUP(H2934,[1]products!$B:$D,3,0)</f>
        <v>1</v>
      </c>
      <c r="J2934" t="str">
        <f>VLOOKUP(I2934,[2]categories!$A$2:$B$8,2,0)</f>
        <v>Children Bicycles</v>
      </c>
    </row>
    <row r="2935" spans="1:10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 s="1">
        <f t="shared" si="45"/>
        <v>1139.981</v>
      </c>
      <c r="H2935" t="str">
        <f>VLOOKUP(C2935,[1]products!$A:$B,2,0)</f>
        <v>Electra Townie Original 7D EQ - Women's - 2016</v>
      </c>
      <c r="I2935">
        <f>VLOOKUP(H2935,[1]products!$B:$D,3,0)</f>
        <v>3</v>
      </c>
      <c r="J2935" t="str">
        <f>VLOOKUP(I2935,[2]categories!$A$2:$B$8,2,0)</f>
        <v>Cruisers Bicycles</v>
      </c>
    </row>
    <row r="2936" spans="1:10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 s="1">
        <f t="shared" si="45"/>
        <v>792.281</v>
      </c>
      <c r="H2936" t="str">
        <f>VLOOKUP(C2936,[1]products!$A:$B,2,0)</f>
        <v>Sun Bicycles Cruz 7 - 2017</v>
      </c>
      <c r="I2936">
        <f>VLOOKUP(H2936,[1]products!$B:$D,3,0)</f>
        <v>3</v>
      </c>
      <c r="J2936" t="str">
        <f>VLOOKUP(I2936,[2]categories!$A$2:$B$8,2,0)</f>
        <v>Cruisers Bicycles</v>
      </c>
    </row>
    <row r="2937" spans="1:10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0.07</v>
      </c>
      <c r="G2937" s="1">
        <f t="shared" si="45"/>
        <v>492.8907</v>
      </c>
      <c r="H2937" t="str">
        <f>VLOOKUP(C2937,[1]products!$A:$B,2,0)</f>
        <v>Electra Moto 1 - 2016</v>
      </c>
      <c r="I2937">
        <f>VLOOKUP(H2937,[1]products!$B:$D,3,0)</f>
        <v>3</v>
      </c>
      <c r="J2937" t="str">
        <f>VLOOKUP(I2937,[2]categories!$A$2:$B$8,2,0)</f>
        <v>Cruisers Bicycles</v>
      </c>
    </row>
    <row r="2938" spans="1:10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 s="1">
        <f t="shared" si="45"/>
        <v>3599.982</v>
      </c>
      <c r="H2938" t="str">
        <f>VLOOKUP(C2938,[1]products!$A:$B,2,0)</f>
        <v>Trek Emonda S 5 - 2017</v>
      </c>
      <c r="I2938">
        <f>VLOOKUP(H2938,[1]products!$B:$D,3,0)</f>
        <v>7</v>
      </c>
      <c r="J2938" t="str">
        <f>VLOOKUP(I2938,[2]categories!$A$2:$B$8,2,0)</f>
        <v>Road Bikes</v>
      </c>
    </row>
    <row r="2939" spans="1:10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 s="1">
        <f t="shared" si="45"/>
        <v>9499.981</v>
      </c>
      <c r="H2939" t="str">
        <f>VLOOKUP(C2939,[1]products!$A:$B,2,0)</f>
        <v>Trek Fuel EX 9.8 29 - 2017</v>
      </c>
      <c r="I2939">
        <f>VLOOKUP(H2939,[1]products!$B:$D,3,0)</f>
        <v>6</v>
      </c>
      <c r="J2939" t="str">
        <f>VLOOKUP(I2939,[2]categories!$A$2:$B$8,2,0)</f>
        <v>Mountain Bikes</v>
      </c>
    </row>
    <row r="2940" spans="1:10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0.07</v>
      </c>
      <c r="G2940" s="1">
        <f t="shared" si="45"/>
        <v>6509.9814</v>
      </c>
      <c r="H2940" t="str">
        <f>VLOOKUP(C2940,[1]products!$A:$B,2,0)</f>
        <v>Trek Domane SL 6 - 2017</v>
      </c>
      <c r="I2940">
        <f>VLOOKUP(H2940,[1]products!$B:$D,3,0)</f>
        <v>7</v>
      </c>
      <c r="J2940" t="str">
        <f>VLOOKUP(I2940,[2]categories!$A$2:$B$8,2,0)</f>
        <v>Road Bikes</v>
      </c>
    </row>
    <row r="2941" spans="1:10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0.07</v>
      </c>
      <c r="G2941" s="1">
        <f t="shared" si="45"/>
        <v>557.9814</v>
      </c>
      <c r="H2941" t="str">
        <f>VLOOKUP(C2941,[1]products!$A:$B,2,0)</f>
        <v>Electra Girl's Hawaii 1 (20-inch) - 2015/2016</v>
      </c>
      <c r="I2941">
        <f>VLOOKUP(H2941,[1]products!$B:$D,3,0)</f>
        <v>1</v>
      </c>
      <c r="J2941" t="str">
        <f>VLOOKUP(I2941,[2]categories!$A$2:$B$8,2,0)</f>
        <v>Children Bicycles</v>
      </c>
    </row>
    <row r="2942" spans="1:10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 s="1">
        <f t="shared" si="45"/>
        <v>375.992</v>
      </c>
      <c r="H2942" t="str">
        <f>VLOOKUP(C2942,[1]products!$A:$B,2,0)</f>
        <v>Surly Wednesday Frameset - 2017</v>
      </c>
      <c r="I2942">
        <f>VLOOKUP(H2942,[1]products!$B:$D,3,0)</f>
        <v>6</v>
      </c>
      <c r="J2942" t="str">
        <f>VLOOKUP(I2942,[2]categories!$A$2:$B$8,2,0)</f>
        <v>Mountain Bikes</v>
      </c>
    </row>
    <row r="2943" spans="1:10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 s="1">
        <f t="shared" si="45"/>
        <v>1268.991</v>
      </c>
      <c r="H2943" t="str">
        <f>VLOOKUP(C2943,[1]products!$A:$B,2,0)</f>
        <v>Haro SR 1.3 - 2017</v>
      </c>
      <c r="I2943">
        <f>VLOOKUP(H2943,[1]products!$B:$D,3,0)</f>
        <v>6</v>
      </c>
      <c r="J2943" t="str">
        <f>VLOOKUP(I2943,[2]categories!$A$2:$B$8,2,0)</f>
        <v>Mountain Bikes</v>
      </c>
    </row>
    <row r="2944" spans="1:10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0.07</v>
      </c>
      <c r="G2944" s="1">
        <f t="shared" si="45"/>
        <v>322.7007</v>
      </c>
      <c r="H2944" t="str">
        <f>VLOOKUP(C2944,[1]products!$A:$B,2,0)</f>
        <v>Sun Bicycles Lil Bolt Type-R - 2017</v>
      </c>
      <c r="I2944">
        <f>VLOOKUP(H2944,[1]products!$B:$D,3,0)</f>
        <v>3</v>
      </c>
      <c r="J2944" t="str">
        <f>VLOOKUP(I2944,[2]categories!$A$2:$B$8,2,0)</f>
        <v>Cruisers Bicycles</v>
      </c>
    </row>
    <row r="2945" spans="1:10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0.07</v>
      </c>
      <c r="G2945" s="1">
        <f t="shared" si="45"/>
        <v>1228.5207</v>
      </c>
      <c r="H2945" t="str">
        <f>VLOOKUP(C2945,[1]products!$A:$B,2,0)</f>
        <v>Heller Shagamaw Frame - 2016</v>
      </c>
      <c r="I2945">
        <f>VLOOKUP(H2945,[1]products!$B:$D,3,0)</f>
        <v>6</v>
      </c>
      <c r="J2945" t="str">
        <f>VLOOKUP(I2945,[2]categories!$A$2:$B$8,2,0)</f>
        <v>Mountain Bikes</v>
      </c>
    </row>
    <row r="2946" spans="1:10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0.07</v>
      </c>
      <c r="G2946" s="1">
        <f t="shared" ref="G2946:G3009" si="46">D2946*E2946*(1-F2946)</f>
        <v>325.4907</v>
      </c>
      <c r="H2946" t="str">
        <f>VLOOKUP(C2946,[1]products!$A:$B,2,0)</f>
        <v>Trek Precaliber 24 (21-Speed) - Girls - 2017</v>
      </c>
      <c r="I2946">
        <f>VLOOKUP(H2946,[1]products!$B:$D,3,0)</f>
        <v>1</v>
      </c>
      <c r="J2946" t="str">
        <f>VLOOKUP(I2946,[2]categories!$A$2:$B$8,2,0)</f>
        <v>Children Bicycles</v>
      </c>
    </row>
    <row r="2947" spans="1:10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 s="1">
        <f t="shared" si="46"/>
        <v>9539.982</v>
      </c>
      <c r="H2947" t="str">
        <f>VLOOKUP(C2947,[1]products!$A:$B,2,0)</f>
        <v>Trek Fuel EX 9.8 27.5 Plus - 2017</v>
      </c>
      <c r="I2947">
        <f>VLOOKUP(H2947,[1]products!$B:$D,3,0)</f>
        <v>6</v>
      </c>
      <c r="J2947" t="str">
        <f>VLOOKUP(I2947,[2]categories!$A$2:$B$8,2,0)</f>
        <v>Mountain Bikes</v>
      </c>
    </row>
    <row r="2948" spans="1:10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 s="1">
        <f t="shared" si="46"/>
        <v>385.592</v>
      </c>
      <c r="H2948" t="str">
        <f>VLOOKUP(C2948,[1]products!$A:$B,2,0)</f>
        <v>Sun Bicycles Streamway - 2017</v>
      </c>
      <c r="I2948">
        <f>VLOOKUP(H2948,[1]products!$B:$D,3,0)</f>
        <v>2</v>
      </c>
      <c r="J2948" t="str">
        <f>VLOOKUP(I2948,[2]categories!$A$2:$B$8,2,0)</f>
        <v>Comfort Bicycles</v>
      </c>
    </row>
    <row r="2949" spans="1:10">
      <c r="A2949">
        <v>1024</v>
      </c>
      <c r="B2949">
        <v>2</v>
      </c>
      <c r="C2949">
        <v>28</v>
      </c>
      <c r="D2949">
        <v>2</v>
      </c>
      <c r="E2949">
        <v>2499.99</v>
      </c>
      <c r="F2949">
        <v>0.05</v>
      </c>
      <c r="G2949" s="1">
        <f t="shared" si="46"/>
        <v>4749.981</v>
      </c>
      <c r="H2949" t="str">
        <f>VLOOKUP(C2949,[1]products!$A:$B,2,0)</f>
        <v>Surly Karate Monkey 27.5+ Frameset - 2017</v>
      </c>
      <c r="I2949">
        <f>VLOOKUP(H2949,[1]products!$B:$D,3,0)</f>
        <v>6</v>
      </c>
      <c r="J2949" t="str">
        <f>VLOOKUP(I2949,[2]categories!$A$2:$B$8,2,0)</f>
        <v>Mountain Bikes</v>
      </c>
    </row>
    <row r="2950" spans="1:10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 s="1">
        <f t="shared" si="46"/>
        <v>783.984</v>
      </c>
      <c r="H2950" t="str">
        <f>VLOOKUP(C2950,[1]products!$A:$B,2,0)</f>
        <v>Electra Straight 8 3i (20-inch) - Boy's - 2017</v>
      </c>
      <c r="I2950">
        <f>VLOOKUP(H2950,[1]products!$B:$D,3,0)</f>
        <v>1</v>
      </c>
      <c r="J2950" t="str">
        <f>VLOOKUP(I2950,[2]categories!$A$2:$B$8,2,0)</f>
        <v>Children Bicycles</v>
      </c>
    </row>
    <row r="2951" spans="1:10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 s="1">
        <f t="shared" si="46"/>
        <v>629.982</v>
      </c>
      <c r="H2951" t="str">
        <f>VLOOKUP(C2951,[1]products!$A:$B,2,0)</f>
        <v>Electra Moto 3i (20-inch) - Boy's - 2017</v>
      </c>
      <c r="I2951">
        <f>VLOOKUP(H2951,[1]products!$B:$D,3,0)</f>
        <v>1</v>
      </c>
      <c r="J2951" t="str">
        <f>VLOOKUP(I2951,[2]categories!$A$2:$B$8,2,0)</f>
        <v>Children Bicycles</v>
      </c>
    </row>
    <row r="2952" spans="1:10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 s="1">
        <f t="shared" si="46"/>
        <v>279.992</v>
      </c>
      <c r="H2952" t="str">
        <f>VLOOKUP(C2952,[1]products!$A:$B,2,0)</f>
        <v>Trek Precaliber 24 (21-Speed) - Girls - 2017</v>
      </c>
      <c r="I2952">
        <f>VLOOKUP(H2952,[1]products!$B:$D,3,0)</f>
        <v>1</v>
      </c>
      <c r="J2952" t="str">
        <f>VLOOKUP(I2952,[2]categories!$A$2:$B$8,2,0)</f>
        <v>Children Bicycles</v>
      </c>
    </row>
    <row r="2953" spans="1:10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0.07</v>
      </c>
      <c r="G2953" s="1">
        <f t="shared" si="46"/>
        <v>195.2907</v>
      </c>
      <c r="H2953" t="str">
        <f>VLOOKUP(C2953,[1]products!$A:$B,2,0)</f>
        <v>Trek Precaliber 16 Boys - 2017</v>
      </c>
      <c r="I2953">
        <f>VLOOKUP(H2953,[1]products!$B:$D,3,0)</f>
        <v>1</v>
      </c>
      <c r="J2953" t="str">
        <f>VLOOKUP(I2953,[2]categories!$A$2:$B$8,2,0)</f>
        <v>Children Bicycles</v>
      </c>
    </row>
    <row r="2954" spans="1:10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 s="1">
        <f t="shared" si="46"/>
        <v>440.991</v>
      </c>
      <c r="H2954" t="str">
        <f>VLOOKUP(C2954,[1]products!$A:$B,2,0)</f>
        <v>Electra Townie Original 7D - 2017</v>
      </c>
      <c r="I2954">
        <f>VLOOKUP(H2954,[1]products!$B:$D,3,0)</f>
        <v>3</v>
      </c>
      <c r="J2954" t="str">
        <f>VLOOKUP(I2954,[2]categories!$A$2:$B$8,2,0)</f>
        <v>Cruisers Bicycles</v>
      </c>
    </row>
    <row r="2955" spans="1:10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 s="1">
        <f t="shared" si="46"/>
        <v>1349.991</v>
      </c>
      <c r="H2955" t="str">
        <f>VLOOKUP(C2955,[1]products!$A:$B,2,0)</f>
        <v>Trek Stache 5 - 2017</v>
      </c>
      <c r="I2955">
        <f>VLOOKUP(H2955,[1]products!$B:$D,3,0)</f>
        <v>6</v>
      </c>
      <c r="J2955" t="str">
        <f>VLOOKUP(I2955,[2]categories!$A$2:$B$8,2,0)</f>
        <v>Mountain Bikes</v>
      </c>
    </row>
    <row r="2956" spans="1:10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 s="1">
        <f t="shared" si="46"/>
        <v>503.4905</v>
      </c>
      <c r="H2956" t="str">
        <f>VLOOKUP(C2956,[1]products!$A:$B,2,0)</f>
        <v>Electra Moto 1 - 2016</v>
      </c>
      <c r="I2956">
        <f>VLOOKUP(H2956,[1]products!$B:$D,3,0)</f>
        <v>3</v>
      </c>
      <c r="J2956" t="str">
        <f>VLOOKUP(I2956,[2]categories!$A$2:$B$8,2,0)</f>
        <v>Cruisers Bicycles</v>
      </c>
    </row>
    <row r="2957" spans="1:10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 s="1">
        <f t="shared" si="46"/>
        <v>476.881</v>
      </c>
      <c r="H2957" t="str">
        <f>VLOOKUP(C2957,[1]products!$A:$B,2,0)</f>
        <v>Sun Bicycles Revolutions 24 - 2017</v>
      </c>
      <c r="I2957">
        <f>VLOOKUP(H2957,[1]products!$B:$D,3,0)</f>
        <v>3</v>
      </c>
      <c r="J2957" t="str">
        <f>VLOOKUP(I2957,[2]categories!$A$2:$B$8,2,0)</f>
        <v>Cruisers Bicycles</v>
      </c>
    </row>
    <row r="2958" spans="1:10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0.07</v>
      </c>
      <c r="G2958" s="1">
        <f t="shared" si="46"/>
        <v>7439.9814</v>
      </c>
      <c r="H2958" t="str">
        <f>VLOOKUP(C2958,[1]products!$A:$B,2,0)</f>
        <v>Trek Slash 8 27.5 - 2016</v>
      </c>
      <c r="I2958">
        <f>VLOOKUP(H2958,[1]products!$B:$D,3,0)</f>
        <v>6</v>
      </c>
      <c r="J2958" t="str">
        <f>VLOOKUP(I2958,[2]categories!$A$2:$B$8,2,0)</f>
        <v>Mountain Bikes</v>
      </c>
    </row>
    <row r="2959" spans="1:10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 s="1">
        <f t="shared" si="46"/>
        <v>539.982</v>
      </c>
      <c r="H2959" t="str">
        <f>VLOOKUP(C2959,[1]products!$A:$B,2,0)</f>
        <v>Electra Girl's Hawaii 1 16" - 2017</v>
      </c>
      <c r="I2959">
        <f>VLOOKUP(H2959,[1]products!$B:$D,3,0)</f>
        <v>3</v>
      </c>
      <c r="J2959" t="str">
        <f>VLOOKUP(I2959,[2]categories!$A$2:$B$8,2,0)</f>
        <v>Cruisers Bicycles</v>
      </c>
    </row>
    <row r="2960" spans="1:10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 s="1">
        <f t="shared" si="46"/>
        <v>512.981</v>
      </c>
      <c r="H2960" t="str">
        <f>VLOOKUP(C2960,[1]products!$A:$B,2,0)</f>
        <v>Electra Girl's Hawaii 1 (16-inch) - 2015/2016</v>
      </c>
      <c r="I2960">
        <f>VLOOKUP(H2960,[1]products!$B:$D,3,0)</f>
        <v>3</v>
      </c>
      <c r="J2960" t="str">
        <f>VLOOKUP(I2960,[2]categories!$A$2:$B$8,2,0)</f>
        <v>Cruisers Bicycles</v>
      </c>
    </row>
    <row r="2961" spans="1:10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 s="1">
        <f t="shared" si="46"/>
        <v>847.782</v>
      </c>
      <c r="H2961" t="str">
        <f>VLOOKUP(C2961,[1]products!$A:$B,2,0)</f>
        <v>Sun Bicycles Drifter 7 - Women's - 2017</v>
      </c>
      <c r="I2961">
        <f>VLOOKUP(H2961,[1]products!$B:$D,3,0)</f>
        <v>2</v>
      </c>
      <c r="J2961" t="str">
        <f>VLOOKUP(I2961,[2]categories!$A$2:$B$8,2,0)</f>
        <v>Comfort Bicycles</v>
      </c>
    </row>
    <row r="2962" spans="1:10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 s="1">
        <f t="shared" si="46"/>
        <v>1239.2</v>
      </c>
      <c r="H2962" t="str">
        <f>VLOOKUP(C2962,[1]products!$A:$B,2,0)</f>
        <v>Surly Straggler - 2016</v>
      </c>
      <c r="I2962">
        <f>VLOOKUP(H2962,[1]products!$B:$D,3,0)</f>
        <v>4</v>
      </c>
      <c r="J2962" t="str">
        <f>VLOOKUP(I2962,[2]categories!$A$2:$B$8,2,0)</f>
        <v>Cyclocross Bicycles</v>
      </c>
    </row>
    <row r="2963" spans="1:10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 s="1">
        <f t="shared" si="46"/>
        <v>1175.992</v>
      </c>
      <c r="H2963" t="str">
        <f>VLOOKUP(C2963,[1]products!$A:$B,2,0)</f>
        <v>Haro Shift R3 - 2017</v>
      </c>
      <c r="I2963">
        <f>VLOOKUP(H2963,[1]products!$B:$D,3,0)</f>
        <v>6</v>
      </c>
      <c r="J2963" t="str">
        <f>VLOOKUP(I2963,[2]categories!$A$2:$B$8,2,0)</f>
        <v>Mountain Bikes</v>
      </c>
    </row>
    <row r="2964" spans="1:10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 s="1">
        <f t="shared" si="46"/>
        <v>1499.382</v>
      </c>
      <c r="H2964" t="str">
        <f>VLOOKUP(C2964,[1]products!$A:$B,2,0)</f>
        <v>Sun Bicycles Spider 3i - 2017</v>
      </c>
      <c r="I2964">
        <f>VLOOKUP(H2964,[1]products!$B:$D,3,0)</f>
        <v>6</v>
      </c>
      <c r="J2964" t="str">
        <f>VLOOKUP(I2964,[2]categories!$A$2:$B$8,2,0)</f>
        <v>Mountain Bikes</v>
      </c>
    </row>
    <row r="2965" spans="1:10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 s="1">
        <f t="shared" si="46"/>
        <v>359.992</v>
      </c>
      <c r="H2965" t="str">
        <f>VLOOKUP(C2965,[1]products!$A:$B,2,0)</f>
        <v>Sun Bicycles Cruz 3 - Women's - 2017</v>
      </c>
      <c r="I2965">
        <f>VLOOKUP(H2965,[1]products!$B:$D,3,0)</f>
        <v>2</v>
      </c>
      <c r="J2965" t="str">
        <f>VLOOKUP(I2965,[2]categories!$A$2:$B$8,2,0)</f>
        <v>Comfort Bicycles</v>
      </c>
    </row>
    <row r="2966" spans="1:10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 s="1">
        <f t="shared" si="46"/>
        <v>479.992</v>
      </c>
      <c r="H2966" t="str">
        <f>VLOOKUP(C2966,[1]products!$A:$B,2,0)</f>
        <v>Electra Townie Original 7D EQ - Women's - 2016</v>
      </c>
      <c r="I2966">
        <f>VLOOKUP(H2966,[1]products!$B:$D,3,0)</f>
        <v>3</v>
      </c>
      <c r="J2966" t="str">
        <f>VLOOKUP(I2966,[2]categories!$A$2:$B$8,2,0)</f>
        <v>Cruisers Bicycles</v>
      </c>
    </row>
    <row r="2967" spans="1:10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 s="1">
        <f t="shared" si="46"/>
        <v>2429.991</v>
      </c>
      <c r="H2967" t="str">
        <f>VLOOKUP(C2967,[1]products!$A:$B,2,0)</f>
        <v>Trek Domane S 6 - 2017</v>
      </c>
      <c r="I2967">
        <f>VLOOKUP(H2967,[1]products!$B:$D,3,0)</f>
        <v>7</v>
      </c>
      <c r="J2967" t="str">
        <f>VLOOKUP(I2967,[2]categories!$A$2:$B$8,2,0)</f>
        <v>Road Bikes</v>
      </c>
    </row>
    <row r="2968" spans="1:10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 s="1">
        <f t="shared" si="46"/>
        <v>3999.992</v>
      </c>
      <c r="H2968" t="str">
        <f>VLOOKUP(C2968,[1]products!$A:$B,2,0)</f>
        <v>Trek Fuel EX 9.8 29 - 2017</v>
      </c>
      <c r="I2968">
        <f>VLOOKUP(H2968,[1]products!$B:$D,3,0)</f>
        <v>6</v>
      </c>
      <c r="J2968" t="str">
        <f>VLOOKUP(I2968,[2]categories!$A$2:$B$8,2,0)</f>
        <v>Mountain Bikes</v>
      </c>
    </row>
    <row r="2969" spans="1:10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 s="1">
        <f t="shared" si="46"/>
        <v>809.982</v>
      </c>
      <c r="H2969" t="str">
        <f>VLOOKUP(C2969,[1]products!$A:$B,2,0)</f>
        <v>Sun Bicycles Cruz 3 - 2017</v>
      </c>
      <c r="I2969">
        <f>VLOOKUP(H2969,[1]products!$B:$D,3,0)</f>
        <v>3</v>
      </c>
      <c r="J2969" t="str">
        <f>VLOOKUP(I2969,[2]categories!$A$2:$B$8,2,0)</f>
        <v>Cruisers Bicycles</v>
      </c>
    </row>
    <row r="2970" spans="1:10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 s="1">
        <f t="shared" si="46"/>
        <v>949.9905</v>
      </c>
      <c r="H2970" t="str">
        <f>VLOOKUP(C2970,[1]products!$A:$B,2,0)</f>
        <v>Surly Big Dummy Frameset - 2017</v>
      </c>
      <c r="I2970">
        <f>VLOOKUP(H2970,[1]products!$B:$D,3,0)</f>
        <v>6</v>
      </c>
      <c r="J2970" t="str">
        <f>VLOOKUP(I2970,[2]categories!$A$2:$B$8,2,0)</f>
        <v>Mountain Bikes</v>
      </c>
    </row>
    <row r="2971" spans="1:10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 s="1">
        <f t="shared" si="46"/>
        <v>2788.2</v>
      </c>
      <c r="H2971" t="str">
        <f>VLOOKUP(C2971,[1]products!$A:$B,2,0)</f>
        <v>Surly Straggler - 2016</v>
      </c>
      <c r="I2971">
        <f>VLOOKUP(H2971,[1]products!$B:$D,3,0)</f>
        <v>4</v>
      </c>
      <c r="J2971" t="str">
        <f>VLOOKUP(I2971,[2]categories!$A$2:$B$8,2,0)</f>
        <v>Cyclocross Bicycles</v>
      </c>
    </row>
    <row r="2972" spans="1:10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 s="1">
        <f t="shared" si="46"/>
        <v>557.991</v>
      </c>
      <c r="H2972" t="str">
        <f>VLOOKUP(C2972,[1]products!$A:$B,2,0)</f>
        <v>Sun Bicycles Biscayne Tandem 7 - 2017</v>
      </c>
      <c r="I2972">
        <f>VLOOKUP(H2972,[1]products!$B:$D,3,0)</f>
        <v>3</v>
      </c>
      <c r="J2972" t="str">
        <f>VLOOKUP(I2972,[2]categories!$A$2:$B$8,2,0)</f>
        <v>Cruisers Bicycles</v>
      </c>
    </row>
    <row r="2973" spans="1:10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 s="1">
        <f t="shared" si="46"/>
        <v>1599.984</v>
      </c>
      <c r="H2973" t="str">
        <f>VLOOKUP(C2973,[1]products!$A:$B,2,0)</f>
        <v>Surly Big Dummy Frameset - 2017</v>
      </c>
      <c r="I2973">
        <f>VLOOKUP(H2973,[1]products!$B:$D,3,0)</f>
        <v>6</v>
      </c>
      <c r="J2973" t="str">
        <f>VLOOKUP(I2973,[2]categories!$A$2:$B$8,2,0)</f>
        <v>Mountain Bikes</v>
      </c>
    </row>
    <row r="2974" spans="1:10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 s="1">
        <f t="shared" si="46"/>
        <v>719.984</v>
      </c>
      <c r="H2974" t="str">
        <f>VLOOKUP(C2974,[1]products!$A:$B,2,0)</f>
        <v>Sun Bicycles Cruz 3 - Women's - 2017</v>
      </c>
      <c r="I2974">
        <f>VLOOKUP(H2974,[1]products!$B:$D,3,0)</f>
        <v>2</v>
      </c>
      <c r="J2974" t="str">
        <f>VLOOKUP(I2974,[2]categories!$A$2:$B$8,2,0)</f>
        <v>Comfort Bicycles</v>
      </c>
    </row>
    <row r="2975" spans="1:10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 s="1">
        <f t="shared" si="46"/>
        <v>2807.982</v>
      </c>
      <c r="H2975" t="str">
        <f>VLOOKUP(C2975,[1]products!$A:$B,2,0)</f>
        <v>Sun Bicycles ElectroLite - 2017</v>
      </c>
      <c r="I2975">
        <f>VLOOKUP(H2975,[1]products!$B:$D,3,0)</f>
        <v>5</v>
      </c>
      <c r="J2975" t="str">
        <f>VLOOKUP(I2975,[2]categories!$A$2:$B$8,2,0)</f>
        <v>Electric Bikes</v>
      </c>
    </row>
    <row r="2976" spans="1:10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 s="1">
        <f t="shared" si="46"/>
        <v>386.1</v>
      </c>
      <c r="H2976" t="str">
        <f>VLOOKUP(C2976,[1]products!$A:$B,2,0)</f>
        <v>Pure Cycles Vine 8-Speed - 2016</v>
      </c>
      <c r="I2976">
        <f>VLOOKUP(H2976,[1]products!$B:$D,3,0)</f>
        <v>3</v>
      </c>
      <c r="J2976" t="str">
        <f>VLOOKUP(I2976,[2]categories!$A$2:$B$8,2,0)</f>
        <v>Cruisers Bicycles</v>
      </c>
    </row>
    <row r="2977" spans="1:10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0.07</v>
      </c>
      <c r="G2977" s="1">
        <f t="shared" si="46"/>
        <v>557.9907</v>
      </c>
      <c r="H2977" t="str">
        <f>VLOOKUP(C2977,[1]products!$A:$B,2,0)</f>
        <v>Electra Townie Original 7D EQ - 2016</v>
      </c>
      <c r="I2977">
        <f>VLOOKUP(H2977,[1]products!$B:$D,3,0)</f>
        <v>3</v>
      </c>
      <c r="J2977" t="str">
        <f>VLOOKUP(I2977,[2]categories!$A$2:$B$8,2,0)</f>
        <v>Cruisers Bicycles</v>
      </c>
    </row>
    <row r="2978" spans="1:10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 s="1">
        <f t="shared" si="46"/>
        <v>750.582</v>
      </c>
      <c r="H2978" t="str">
        <f>VLOOKUP(C2978,[1]products!$A:$B,2,0)</f>
        <v>Sun Bicycles Cruz 7 - Women's - 2017</v>
      </c>
      <c r="I2978">
        <f>VLOOKUP(H2978,[1]products!$B:$D,3,0)</f>
        <v>2</v>
      </c>
      <c r="J2978" t="str">
        <f>VLOOKUP(I2978,[2]categories!$A$2:$B$8,2,0)</f>
        <v>Comfort Bicycles</v>
      </c>
    </row>
    <row r="2979" spans="1:10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0.07</v>
      </c>
      <c r="G2979" s="1">
        <f t="shared" si="46"/>
        <v>1859.9814</v>
      </c>
      <c r="H2979" t="str">
        <f>VLOOKUP(C2979,[1]products!$A:$B,2,0)</f>
        <v>Surly Big Dummy Frameset - 2017</v>
      </c>
      <c r="I2979">
        <f>VLOOKUP(H2979,[1]products!$B:$D,3,0)</f>
        <v>6</v>
      </c>
      <c r="J2979" t="str">
        <f>VLOOKUP(I2979,[2]categories!$A$2:$B$8,2,0)</f>
        <v>Mountain Bikes</v>
      </c>
    </row>
    <row r="2980" spans="1:10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 s="1">
        <f t="shared" si="46"/>
        <v>305.991</v>
      </c>
      <c r="H2980" t="str">
        <f>VLOOKUP(C2980,[1]products!$A:$B,2,0)</f>
        <v>Electra Townie 7D (20-inch) - Boys' - 2017</v>
      </c>
      <c r="I2980">
        <f>VLOOKUP(H2980,[1]products!$B:$D,3,0)</f>
        <v>1</v>
      </c>
      <c r="J2980" t="str">
        <f>VLOOKUP(I2980,[2]categories!$A$2:$B$8,2,0)</f>
        <v>Children Bicycles</v>
      </c>
    </row>
    <row r="2981" spans="1:10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 s="1">
        <f t="shared" si="46"/>
        <v>3239.982</v>
      </c>
      <c r="H2981" t="str">
        <f>VLOOKUP(C2981,[1]products!$A:$B,2,0)</f>
        <v>Trek Remedy 29 Carbon Frameset - 2016</v>
      </c>
      <c r="I2981">
        <f>VLOOKUP(H2981,[1]products!$B:$D,3,0)</f>
        <v>6</v>
      </c>
      <c r="J2981" t="str">
        <f>VLOOKUP(I2981,[2]categories!$A$2:$B$8,2,0)</f>
        <v>Mountain Bikes</v>
      </c>
    </row>
    <row r="2982" spans="1:10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0.07</v>
      </c>
      <c r="G2982" s="1">
        <f t="shared" si="46"/>
        <v>3126.6414</v>
      </c>
      <c r="H2982" t="str">
        <f>VLOOKUP(C2982,[1]products!$A:$B,2,0)</f>
        <v>Surly Straggler 650b - 2016</v>
      </c>
      <c r="I2982">
        <f>VLOOKUP(H2982,[1]products!$B:$D,3,0)</f>
        <v>4</v>
      </c>
      <c r="J2982" t="str">
        <f>VLOOKUP(I2982,[2]categories!$A$2:$B$8,2,0)</f>
        <v>Cyclocross Bicycles</v>
      </c>
    </row>
    <row r="2983" spans="1:10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 s="1">
        <f t="shared" si="46"/>
        <v>256.4905</v>
      </c>
      <c r="H2983" t="str">
        <f>VLOOKUP(C2983,[1]products!$A:$B,2,0)</f>
        <v>Electra Cruiser 1 (24-Inch) - 2016</v>
      </c>
      <c r="I2983">
        <f>VLOOKUP(H2983,[1]products!$B:$D,3,0)</f>
        <v>3</v>
      </c>
      <c r="J2983" t="str">
        <f>VLOOKUP(I2983,[2]categories!$A$2:$B$8,2,0)</f>
        <v>Cruisers Bicycles</v>
      </c>
    </row>
    <row r="2984" spans="1:10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 s="1">
        <f t="shared" si="46"/>
        <v>279.992</v>
      </c>
      <c r="H2984" t="str">
        <f>VLOOKUP(C2984,[1]products!$A:$B,2,0)</f>
        <v>Electra Moto 3i (20-inch) - Boy's - 2017</v>
      </c>
      <c r="I2984">
        <f>VLOOKUP(H2984,[1]products!$B:$D,3,0)</f>
        <v>1</v>
      </c>
      <c r="J2984" t="str">
        <f>VLOOKUP(I2984,[2]categories!$A$2:$B$8,2,0)</f>
        <v>Children Bicycles</v>
      </c>
    </row>
    <row r="2985" spans="1:10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 s="1">
        <f t="shared" si="46"/>
        <v>4859.982</v>
      </c>
      <c r="H2985" t="str">
        <f>VLOOKUP(C2985,[1]products!$A:$B,2,0)</f>
        <v>Trek Domane S 6 - 2017</v>
      </c>
      <c r="I2985">
        <f>VLOOKUP(H2985,[1]products!$B:$D,3,0)</f>
        <v>7</v>
      </c>
      <c r="J2985" t="str">
        <f>VLOOKUP(I2985,[2]categories!$A$2:$B$8,2,0)</f>
        <v>Road Bikes</v>
      </c>
    </row>
    <row r="2986" spans="1:10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0.07</v>
      </c>
      <c r="G2986" s="1">
        <f t="shared" si="46"/>
        <v>278.9907</v>
      </c>
      <c r="H2986" t="str">
        <f>VLOOKUP(C2986,[1]products!$A:$B,2,0)</f>
        <v>Electra Girl's Hawaii 1 16" - 2017</v>
      </c>
      <c r="I2986">
        <f>VLOOKUP(H2986,[1]products!$B:$D,3,0)</f>
        <v>3</v>
      </c>
      <c r="J2986" t="str">
        <f>VLOOKUP(I2986,[2]categories!$A$2:$B$8,2,0)</f>
        <v>Cruisers Bicycles</v>
      </c>
    </row>
    <row r="2987" spans="1:10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 s="1">
        <f t="shared" si="46"/>
        <v>853.1</v>
      </c>
      <c r="H2987" t="str">
        <f>VLOOKUP(C2987,[1]products!$A:$B,2,0)</f>
        <v>Pure Cycles Western 3-Speed - Women's - 2015/2016</v>
      </c>
      <c r="I2987">
        <f>VLOOKUP(H2987,[1]products!$B:$D,3,0)</f>
        <v>3</v>
      </c>
      <c r="J2987" t="str">
        <f>VLOOKUP(I2987,[2]categories!$A$2:$B$8,2,0)</f>
        <v>Cruisers Bicycles</v>
      </c>
    </row>
    <row r="2988" spans="1:10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 s="1">
        <f t="shared" si="46"/>
        <v>555.184</v>
      </c>
      <c r="H2988" t="str">
        <f>VLOOKUP(C2988,[1]products!$A:$B,2,0)</f>
        <v>Sun Bicycles Lil Bolt Type-R - 2017</v>
      </c>
      <c r="I2988">
        <f>VLOOKUP(H2988,[1]products!$B:$D,3,0)</f>
        <v>3</v>
      </c>
      <c r="J2988" t="str">
        <f>VLOOKUP(I2988,[2]categories!$A$2:$B$8,2,0)</f>
        <v>Cruisers Bicycles</v>
      </c>
    </row>
    <row r="2989" spans="1:10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 s="1">
        <f t="shared" si="46"/>
        <v>439.992</v>
      </c>
      <c r="H2989" t="str">
        <f>VLOOKUP(C2989,[1]products!$A:$B,2,0)</f>
        <v>Electra Townie Original 21D - 2016</v>
      </c>
      <c r="I2989">
        <f>VLOOKUP(H2989,[1]products!$B:$D,3,0)</f>
        <v>3</v>
      </c>
      <c r="J2989" t="str">
        <f>VLOOKUP(I2989,[2]categories!$A$2:$B$8,2,0)</f>
        <v>Cruisers Bicycles</v>
      </c>
    </row>
    <row r="2990" spans="1:10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0.07</v>
      </c>
      <c r="G2990" s="1">
        <f t="shared" si="46"/>
        <v>818.3814</v>
      </c>
      <c r="H2990" t="str">
        <f>VLOOKUP(C2990,[1]products!$A:$B,2,0)</f>
        <v>Electra Cruiser Lux 1 - 2017</v>
      </c>
      <c r="I2990">
        <f>VLOOKUP(H2990,[1]products!$B:$D,3,0)</f>
        <v>3</v>
      </c>
      <c r="J2990" t="str">
        <f>VLOOKUP(I2990,[2]categories!$A$2:$B$8,2,0)</f>
        <v>Cruisers Bicycles</v>
      </c>
    </row>
    <row r="2991" spans="1:10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0.07</v>
      </c>
      <c r="G2991" s="1">
        <f t="shared" si="46"/>
        <v>929.9907</v>
      </c>
      <c r="H2991" t="str">
        <f>VLOOKUP(C2991,[1]products!$A:$B,2,0)</f>
        <v>Surly Wednesday Frameset - 2016</v>
      </c>
      <c r="I2991">
        <f>VLOOKUP(H2991,[1]products!$B:$D,3,0)</f>
        <v>6</v>
      </c>
      <c r="J2991" t="str">
        <f>VLOOKUP(I2991,[2]categories!$A$2:$B$8,2,0)</f>
        <v>Mountain Bikes</v>
      </c>
    </row>
    <row r="2992" spans="1:10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 s="1">
        <f t="shared" si="46"/>
        <v>555.184</v>
      </c>
      <c r="H2992" t="str">
        <f>VLOOKUP(C2992,[1]products!$A:$B,2,0)</f>
        <v>Sun Bicycles Lil Bolt Type-R - 2017</v>
      </c>
      <c r="I2992">
        <f>VLOOKUP(H2992,[1]products!$B:$D,3,0)</f>
        <v>3</v>
      </c>
      <c r="J2992" t="str">
        <f>VLOOKUP(I2992,[2]categories!$A$2:$B$8,2,0)</f>
        <v>Cruisers Bicycles</v>
      </c>
    </row>
    <row r="2993" spans="1:10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0.07</v>
      </c>
      <c r="G2993" s="1">
        <f t="shared" si="46"/>
        <v>195.2907</v>
      </c>
      <c r="H2993" t="str">
        <f>VLOOKUP(C2993,[1]products!$A:$B,2,0)</f>
        <v>Haro Shredder 20 - 2017</v>
      </c>
      <c r="I2993">
        <f>VLOOKUP(H2993,[1]products!$B:$D,3,0)</f>
        <v>1</v>
      </c>
      <c r="J2993" t="str">
        <f>VLOOKUP(I2993,[2]categories!$A$2:$B$8,2,0)</f>
        <v>Children Bicycles</v>
      </c>
    </row>
    <row r="2994" spans="1:10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 s="1">
        <f t="shared" si="46"/>
        <v>208.981</v>
      </c>
      <c r="H2994" t="str">
        <f>VLOOKUP(C2994,[1]products!$A:$B,2,0)</f>
        <v>Sun Bicycles Lil Kitt'n - 2017</v>
      </c>
      <c r="I2994">
        <f>VLOOKUP(H2994,[1]products!$B:$D,3,0)</f>
        <v>1</v>
      </c>
      <c r="J2994" t="str">
        <f>VLOOKUP(I2994,[2]categories!$A$2:$B$8,2,0)</f>
        <v>Children Bicycles</v>
      </c>
    </row>
    <row r="2995" spans="1:10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 s="1">
        <f t="shared" si="46"/>
        <v>142.4905</v>
      </c>
      <c r="H2995" t="str">
        <f>VLOOKUP(C2995,[1]products!$A:$B,2,0)</f>
        <v>Trek Boy's Kickster - 2015/2017</v>
      </c>
      <c r="I2995">
        <f>VLOOKUP(H2995,[1]products!$B:$D,3,0)</f>
        <v>1</v>
      </c>
      <c r="J2995" t="str">
        <f>VLOOKUP(I2995,[2]categories!$A$2:$B$8,2,0)</f>
        <v>Children Bicycles</v>
      </c>
    </row>
    <row r="2996" spans="1:10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0.07</v>
      </c>
      <c r="G2996" s="1">
        <f t="shared" si="46"/>
        <v>2789.9907</v>
      </c>
      <c r="H2996" t="str">
        <f>VLOOKUP(C2996,[1]products!$A:$B,2,0)</f>
        <v>Trek Conduit+ - 2016</v>
      </c>
      <c r="I2996">
        <f>VLOOKUP(H2996,[1]products!$B:$D,3,0)</f>
        <v>5</v>
      </c>
      <c r="J2996" t="str">
        <f>VLOOKUP(I2996,[2]categories!$A$2:$B$8,2,0)</f>
        <v>Electric Bikes</v>
      </c>
    </row>
    <row r="2997" spans="1:10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 s="1">
        <f t="shared" si="46"/>
        <v>718.4</v>
      </c>
      <c r="H2997" t="str">
        <f>VLOOKUP(C2997,[1]products!$A:$B,2,0)</f>
        <v>Pure Cycles Western 3-Speed - Women's - 2015/2016</v>
      </c>
      <c r="I2997">
        <f>VLOOKUP(H2997,[1]products!$B:$D,3,0)</f>
        <v>3</v>
      </c>
      <c r="J2997" t="str">
        <f>VLOOKUP(I2997,[2]categories!$A$2:$B$8,2,0)</f>
        <v>Cruisers Bicycles</v>
      </c>
    </row>
    <row r="2998" spans="1:10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 s="1">
        <f t="shared" si="46"/>
        <v>314.991</v>
      </c>
      <c r="H2998" t="str">
        <f>VLOOKUP(C2998,[1]products!$A:$B,2,0)</f>
        <v>Electra Savannah 3i (20-inch) - Girl's - 2017</v>
      </c>
      <c r="I2998">
        <f>VLOOKUP(H2998,[1]products!$B:$D,3,0)</f>
        <v>1</v>
      </c>
      <c r="J2998" t="str">
        <f>VLOOKUP(I2998,[2]categories!$A$2:$B$8,2,0)</f>
        <v>Children Bicycles</v>
      </c>
    </row>
    <row r="2999" spans="1:10">
      <c r="A2999">
        <v>1040</v>
      </c>
      <c r="B2999">
        <v>2</v>
      </c>
      <c r="C2999">
        <v>28</v>
      </c>
      <c r="D2999">
        <v>2</v>
      </c>
      <c r="E2999">
        <v>2499.99</v>
      </c>
      <c r="F2999">
        <v>0.2</v>
      </c>
      <c r="G2999" s="1">
        <f t="shared" si="46"/>
        <v>3999.984</v>
      </c>
      <c r="H2999" t="str">
        <f>VLOOKUP(C2999,[1]products!$A:$B,2,0)</f>
        <v>Surly Karate Monkey 27.5+ Frameset - 2017</v>
      </c>
      <c r="I2999">
        <f>VLOOKUP(H2999,[1]products!$B:$D,3,0)</f>
        <v>6</v>
      </c>
      <c r="J2999" t="str">
        <f>VLOOKUP(I2999,[2]categories!$A$2:$B$8,2,0)</f>
        <v>Mountain Bikes</v>
      </c>
    </row>
    <row r="3000" spans="1:10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0.07</v>
      </c>
      <c r="G3000" s="1">
        <f t="shared" si="46"/>
        <v>455.6907</v>
      </c>
      <c r="H3000" t="str">
        <f>VLOOKUP(C3000,[1]products!$A:$B,2,0)</f>
        <v>Electra Townie Original 7D - 2017</v>
      </c>
      <c r="I3000">
        <f>VLOOKUP(H3000,[1]products!$B:$D,3,0)</f>
        <v>3</v>
      </c>
      <c r="J3000" t="str">
        <f>VLOOKUP(I3000,[2]categories!$A$2:$B$8,2,0)</f>
        <v>Cruisers Bicycles</v>
      </c>
    </row>
    <row r="3001" spans="1:10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0.07</v>
      </c>
      <c r="G3001" s="1">
        <f t="shared" si="46"/>
        <v>1859.9814</v>
      </c>
      <c r="H3001" t="str">
        <f>VLOOKUP(C3001,[1]products!$A:$B,2,0)</f>
        <v>Surly Big Dummy Frameset - 2017</v>
      </c>
      <c r="I3001">
        <f>VLOOKUP(H3001,[1]products!$B:$D,3,0)</f>
        <v>6</v>
      </c>
      <c r="J3001" t="str">
        <f>VLOOKUP(I3001,[2]categories!$A$2:$B$8,2,0)</f>
        <v>Mountain Bikes</v>
      </c>
    </row>
    <row r="3002" spans="1:10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 s="1">
        <f t="shared" si="46"/>
        <v>3419.981</v>
      </c>
      <c r="H3002" t="str">
        <f>VLOOKUP(C3002,[1]products!$A:$B,2,0)</f>
        <v>Trek Remedy 29 Carbon Frameset - 2016</v>
      </c>
      <c r="I3002">
        <f>VLOOKUP(H3002,[1]products!$B:$D,3,0)</f>
        <v>6</v>
      </c>
      <c r="J3002" t="str">
        <f>VLOOKUP(I3002,[2]categories!$A$2:$B$8,2,0)</f>
        <v>Mountain Bikes</v>
      </c>
    </row>
    <row r="3003" spans="1:10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 s="1">
        <f t="shared" si="46"/>
        <v>188.991</v>
      </c>
      <c r="H3003" t="str">
        <f>VLOOKUP(C3003,[1]products!$A:$B,2,0)</f>
        <v>Trek Precaliber 16 Boys - 2017</v>
      </c>
      <c r="I3003">
        <f>VLOOKUP(H3003,[1]products!$B:$D,3,0)</f>
        <v>1</v>
      </c>
      <c r="J3003" t="str">
        <f>VLOOKUP(I3003,[2]categories!$A$2:$B$8,2,0)</f>
        <v>Children Bicycles</v>
      </c>
    </row>
    <row r="3004" spans="1:10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0.07</v>
      </c>
      <c r="G3004" s="1">
        <f t="shared" si="46"/>
        <v>9299.9814</v>
      </c>
      <c r="H3004" t="str">
        <f>VLOOKUP(C3004,[1]products!$A:$B,2,0)</f>
        <v>Trek Powerfly 8 FS Plus - 2017</v>
      </c>
      <c r="I3004">
        <f>VLOOKUP(H3004,[1]products!$B:$D,3,0)</f>
        <v>5</v>
      </c>
      <c r="J3004" t="str">
        <f>VLOOKUP(I3004,[2]categories!$A$2:$B$8,2,0)</f>
        <v>Electric Bikes</v>
      </c>
    </row>
    <row r="3005" spans="1:10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 s="1">
        <f t="shared" si="46"/>
        <v>449.982</v>
      </c>
      <c r="H3005" t="str">
        <f>VLOOKUP(C3005,[1]products!$A:$B,2,0)</f>
        <v>Haro Shredder Pro 20 - 2017</v>
      </c>
      <c r="I3005">
        <f>VLOOKUP(H3005,[1]products!$B:$D,3,0)</f>
        <v>1</v>
      </c>
      <c r="J3005" t="str">
        <f>VLOOKUP(I3005,[2]categories!$A$2:$B$8,2,0)</f>
        <v>Children Bicycles</v>
      </c>
    </row>
    <row r="3006" spans="1:10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 s="1">
        <f t="shared" si="46"/>
        <v>269.991</v>
      </c>
      <c r="H3006" t="str">
        <f>VLOOKUP(C3006,[1]products!$A:$B,2,0)</f>
        <v>Electra Girl's Hawaii 1 (20-inch) - 2015/2016</v>
      </c>
      <c r="I3006">
        <f>VLOOKUP(H3006,[1]products!$B:$D,3,0)</f>
        <v>1</v>
      </c>
      <c r="J3006" t="str">
        <f>VLOOKUP(I3006,[2]categories!$A$2:$B$8,2,0)</f>
        <v>Children Bicycles</v>
      </c>
    </row>
    <row r="3007" spans="1:10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 s="1">
        <f t="shared" si="46"/>
        <v>4859.982</v>
      </c>
      <c r="H3007" t="str">
        <f>VLOOKUP(C3007,[1]products!$A:$B,2,0)</f>
        <v>Trek Domane S 6 - 2017</v>
      </c>
      <c r="I3007">
        <f>VLOOKUP(H3007,[1]products!$B:$D,3,0)</f>
        <v>7</v>
      </c>
      <c r="J3007" t="str">
        <f>VLOOKUP(I3007,[2]categories!$A$2:$B$8,2,0)</f>
        <v>Road Bikes</v>
      </c>
    </row>
    <row r="3008" spans="1:10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0.07</v>
      </c>
      <c r="G3008" s="1">
        <f t="shared" si="46"/>
        <v>557.9907</v>
      </c>
      <c r="H3008" t="str">
        <f>VLOOKUP(C3008,[1]products!$A:$B,2,0)</f>
        <v>Electra Townie Original 7D EQ - Women's - 2016</v>
      </c>
      <c r="I3008">
        <f>VLOOKUP(H3008,[1]products!$B:$D,3,0)</f>
        <v>3</v>
      </c>
      <c r="J3008" t="str">
        <f>VLOOKUP(I3008,[2]categories!$A$2:$B$8,2,0)</f>
        <v>Cruisers Bicycles</v>
      </c>
    </row>
    <row r="3009" spans="1:10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 s="1">
        <f t="shared" si="46"/>
        <v>629.982</v>
      </c>
      <c r="H3009" t="str">
        <f>VLOOKUP(C3009,[1]products!$A:$B,2,0)</f>
        <v>Electra Savannah 3i (20-inch) - Girl's - 2017</v>
      </c>
      <c r="I3009">
        <f>VLOOKUP(H3009,[1]products!$B:$D,3,0)</f>
        <v>1</v>
      </c>
      <c r="J3009" t="str">
        <f>VLOOKUP(I3009,[2]categories!$A$2:$B$8,2,0)</f>
        <v>Children Bicycles</v>
      </c>
    </row>
    <row r="3010" spans="1:10">
      <c r="A3010">
        <v>1045</v>
      </c>
      <c r="B3010">
        <v>1</v>
      </c>
      <c r="C3010">
        <v>28</v>
      </c>
      <c r="D3010">
        <v>1</v>
      </c>
      <c r="E3010">
        <v>2499.99</v>
      </c>
      <c r="F3010">
        <v>0.05</v>
      </c>
      <c r="G3010" s="1">
        <f t="shared" ref="G3010:G3073" si="47">D3010*E3010*(1-F3010)</f>
        <v>2374.9905</v>
      </c>
      <c r="H3010" t="str">
        <f>VLOOKUP(C3010,[1]products!$A:$B,2,0)</f>
        <v>Surly Karate Monkey 27.5+ Frameset - 2017</v>
      </c>
      <c r="I3010">
        <f>VLOOKUP(H3010,[1]products!$B:$D,3,0)</f>
        <v>6</v>
      </c>
      <c r="J3010" t="str">
        <f>VLOOKUP(I3010,[2]categories!$A$2:$B$8,2,0)</f>
        <v>Mountain Bikes</v>
      </c>
    </row>
    <row r="3011" spans="1:10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 s="1">
        <f t="shared" si="47"/>
        <v>915.781</v>
      </c>
      <c r="H3011" t="str">
        <f>VLOOKUP(C3011,[1]products!$A:$B,2,0)</f>
        <v>Sun Bicycles Streamway - 2017</v>
      </c>
      <c r="I3011">
        <f>VLOOKUP(H3011,[1]products!$B:$D,3,0)</f>
        <v>2</v>
      </c>
      <c r="J3011" t="str">
        <f>VLOOKUP(I3011,[2]categories!$A$2:$B$8,2,0)</f>
        <v>Comfort Bicycles</v>
      </c>
    </row>
    <row r="3012" spans="1:10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0.07</v>
      </c>
      <c r="G3012" s="1">
        <f t="shared" si="47"/>
        <v>1450.7907</v>
      </c>
      <c r="H3012" t="str">
        <f>VLOOKUP(C3012,[1]products!$A:$B,2,0)</f>
        <v>Sun Bicycles ElectroLite - 2017</v>
      </c>
      <c r="I3012">
        <f>VLOOKUP(H3012,[1]products!$B:$D,3,0)</f>
        <v>5</v>
      </c>
      <c r="J3012" t="str">
        <f>VLOOKUP(I3012,[2]categories!$A$2:$B$8,2,0)</f>
        <v>Electric Bikes</v>
      </c>
    </row>
    <row r="3013" spans="1:10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0.07</v>
      </c>
      <c r="G3013" s="1">
        <f t="shared" si="47"/>
        <v>374.7807</v>
      </c>
      <c r="H3013" t="str">
        <f>VLOOKUP(C3013,[1]products!$A:$B,2,0)</f>
        <v>Sun Bicycles Boardwalk (24-inch Wheels) - 2017</v>
      </c>
      <c r="I3013">
        <f>VLOOKUP(H3013,[1]products!$B:$D,3,0)</f>
        <v>3</v>
      </c>
      <c r="J3013" t="str">
        <f>VLOOKUP(I3013,[2]categories!$A$2:$B$8,2,0)</f>
        <v>Cruisers Bicycles</v>
      </c>
    </row>
    <row r="3014" spans="1:10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0.07</v>
      </c>
      <c r="G3014" s="1">
        <f t="shared" si="47"/>
        <v>437.0907</v>
      </c>
      <c r="H3014" t="str">
        <f>VLOOKUP(C3014,[1]products!$A:$B,2,0)</f>
        <v>Trek Farley Alloy Frameset - 2017</v>
      </c>
      <c r="I3014">
        <f>VLOOKUP(H3014,[1]products!$B:$D,3,0)</f>
        <v>6</v>
      </c>
      <c r="J3014" t="str">
        <f>VLOOKUP(I3014,[2]categories!$A$2:$B$8,2,0)</f>
        <v>Mountain Bikes</v>
      </c>
    </row>
    <row r="3015" spans="1:10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 s="1">
        <f t="shared" si="47"/>
        <v>2645.982</v>
      </c>
      <c r="H3015" t="str">
        <f>VLOOKUP(C3015,[1]products!$A:$B,2,0)</f>
        <v>Haro Shift R3 - 2017</v>
      </c>
      <c r="I3015">
        <f>VLOOKUP(H3015,[1]products!$B:$D,3,0)</f>
        <v>6</v>
      </c>
      <c r="J3015" t="str">
        <f>VLOOKUP(I3015,[2]categories!$A$2:$B$8,2,0)</f>
        <v>Mountain Bikes</v>
      </c>
    </row>
    <row r="3016" spans="1:10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 s="1">
        <f t="shared" si="47"/>
        <v>815.1</v>
      </c>
      <c r="H3016" t="str">
        <f>VLOOKUP(C3016,[1]products!$A:$B,2,0)</f>
        <v>Pure Cycles Vine 8-Speed - 2016</v>
      </c>
      <c r="I3016">
        <f>VLOOKUP(H3016,[1]products!$B:$D,3,0)</f>
        <v>3</v>
      </c>
      <c r="J3016" t="str">
        <f>VLOOKUP(I3016,[2]categories!$A$2:$B$8,2,0)</f>
        <v>Cruisers Bicycles</v>
      </c>
    </row>
    <row r="3017" spans="1:10">
      <c r="A3017">
        <v>1047</v>
      </c>
      <c r="B3017">
        <v>1</v>
      </c>
      <c r="C3017">
        <v>28</v>
      </c>
      <c r="D3017">
        <v>2</v>
      </c>
      <c r="E3017">
        <v>2499.99</v>
      </c>
      <c r="F3017">
        <v>0.1</v>
      </c>
      <c r="G3017" s="1">
        <f t="shared" si="47"/>
        <v>4499.982</v>
      </c>
      <c r="H3017" t="str">
        <f>VLOOKUP(C3017,[1]products!$A:$B,2,0)</f>
        <v>Surly Karate Monkey 27.5+ Frameset - 2017</v>
      </c>
      <c r="I3017">
        <f>VLOOKUP(H3017,[1]products!$B:$D,3,0)</f>
        <v>6</v>
      </c>
      <c r="J3017" t="str">
        <f>VLOOKUP(I3017,[2]categories!$A$2:$B$8,2,0)</f>
        <v>Mountain Bikes</v>
      </c>
    </row>
    <row r="3018" spans="1:10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 s="1">
        <f t="shared" si="47"/>
        <v>518.392</v>
      </c>
      <c r="H3018" t="str">
        <f>VLOOKUP(C3018,[1]products!$A:$B,2,0)</f>
        <v>Sun Bicycles Biscayne Tandem CB - 2017</v>
      </c>
      <c r="I3018">
        <f>VLOOKUP(H3018,[1]products!$B:$D,3,0)</f>
        <v>3</v>
      </c>
      <c r="J3018" t="str">
        <f>VLOOKUP(I3018,[2]categories!$A$2:$B$8,2,0)</f>
        <v>Cruisers Bicycles</v>
      </c>
    </row>
    <row r="3019" spans="1:10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 s="1">
        <f t="shared" si="47"/>
        <v>791.3405</v>
      </c>
      <c r="H3019" t="str">
        <f>VLOOKUP(C3019,[1]products!$A:$B,2,0)</f>
        <v>Sun Bicycles Spider 3i - 2017</v>
      </c>
      <c r="I3019">
        <f>VLOOKUP(H3019,[1]products!$B:$D,3,0)</f>
        <v>6</v>
      </c>
      <c r="J3019" t="str">
        <f>VLOOKUP(I3019,[2]categories!$A$2:$B$8,2,0)</f>
        <v>Mountain Bikes</v>
      </c>
    </row>
    <row r="3020" spans="1:10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 s="1">
        <f t="shared" si="47"/>
        <v>3324.9905</v>
      </c>
      <c r="H3020" t="str">
        <f>VLOOKUP(C3020,[1]products!$A:$B,2,0)</f>
        <v>Trek Domane SL 6 - 2017</v>
      </c>
      <c r="I3020">
        <f>VLOOKUP(H3020,[1]products!$B:$D,3,0)</f>
        <v>7</v>
      </c>
      <c r="J3020" t="str">
        <f>VLOOKUP(I3020,[2]categories!$A$2:$B$8,2,0)</f>
        <v>Road Bikes</v>
      </c>
    </row>
    <row r="3021" spans="1:10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 s="1">
        <f t="shared" si="47"/>
        <v>1799.982</v>
      </c>
      <c r="H3021" t="str">
        <f>VLOOKUP(C3021,[1]products!$A:$B,2,0)</f>
        <v>Surly Wednesday Frameset - 2016</v>
      </c>
      <c r="I3021">
        <f>VLOOKUP(H3021,[1]products!$B:$D,3,0)</f>
        <v>6</v>
      </c>
      <c r="J3021" t="str">
        <f>VLOOKUP(I3021,[2]categories!$A$2:$B$8,2,0)</f>
        <v>Mountain Bikes</v>
      </c>
    </row>
    <row r="3022" spans="1:10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 s="1">
        <f t="shared" si="47"/>
        <v>341.991</v>
      </c>
      <c r="H3022" t="str">
        <f>VLOOKUP(C3022,[1]products!$A:$B,2,0)</f>
        <v>Haro Flightline One ST - 2017</v>
      </c>
      <c r="I3022">
        <f>VLOOKUP(H3022,[1]products!$B:$D,3,0)</f>
        <v>6</v>
      </c>
      <c r="J3022" t="str">
        <f>VLOOKUP(I3022,[2]categories!$A$2:$B$8,2,0)</f>
        <v>Mountain Bikes</v>
      </c>
    </row>
    <row r="3023" spans="1:10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 s="1">
        <f t="shared" si="47"/>
        <v>237.4905</v>
      </c>
      <c r="H3023" t="str">
        <f>VLOOKUP(C3023,[1]products!$A:$B,2,0)</f>
        <v>Haro Shredder Pro 20 - 2017</v>
      </c>
      <c r="I3023">
        <f>VLOOKUP(H3023,[1]products!$B:$D,3,0)</f>
        <v>1</v>
      </c>
      <c r="J3023" t="str">
        <f>VLOOKUP(I3023,[2]categories!$A$2:$B$8,2,0)</f>
        <v>Children Bicycles</v>
      </c>
    </row>
    <row r="3024" spans="1:10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 s="1">
        <f t="shared" si="47"/>
        <v>2699.991</v>
      </c>
      <c r="H3024" t="str">
        <f>VLOOKUP(C3024,[1]products!$A:$B,2,0)</f>
        <v>Trek Conduit+ - 2016</v>
      </c>
      <c r="I3024">
        <f>VLOOKUP(H3024,[1]products!$B:$D,3,0)</f>
        <v>5</v>
      </c>
      <c r="J3024" t="str">
        <f>VLOOKUP(I3024,[2]categories!$A$2:$B$8,2,0)</f>
        <v>Electric Bikes</v>
      </c>
    </row>
    <row r="3025" spans="1:10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 s="1">
        <f t="shared" si="47"/>
        <v>1582.681</v>
      </c>
      <c r="H3025" t="str">
        <f>VLOOKUP(C3025,[1]products!$A:$B,2,0)</f>
        <v>Surly Troll Frameset - 2017</v>
      </c>
      <c r="I3025">
        <f>VLOOKUP(H3025,[1]products!$B:$D,3,0)</f>
        <v>6</v>
      </c>
      <c r="J3025" t="str">
        <f>VLOOKUP(I3025,[2]categories!$A$2:$B$8,2,0)</f>
        <v>Mountain Bikes</v>
      </c>
    </row>
    <row r="3026" spans="1:10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 s="1">
        <f t="shared" si="47"/>
        <v>899.991</v>
      </c>
      <c r="H3026" t="str">
        <f>VLOOKUP(C3026,[1]products!$A:$B,2,0)</f>
        <v>Surly Wednesday Frameset - 2016</v>
      </c>
      <c r="I3026">
        <f>VLOOKUP(H3026,[1]products!$B:$D,3,0)</f>
        <v>6</v>
      </c>
      <c r="J3026" t="str">
        <f>VLOOKUP(I3026,[2]categories!$A$2:$B$8,2,0)</f>
        <v>Mountain Bikes</v>
      </c>
    </row>
    <row r="3027" spans="1:10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0.07</v>
      </c>
      <c r="G3027" s="1">
        <f t="shared" si="47"/>
        <v>557.9907</v>
      </c>
      <c r="H3027" t="str">
        <f>VLOOKUP(C3027,[1]products!$A:$B,2,0)</f>
        <v>Electra Townie Original 7D EQ - 2016</v>
      </c>
      <c r="I3027">
        <f>VLOOKUP(H3027,[1]products!$B:$D,3,0)</f>
        <v>3</v>
      </c>
      <c r="J3027" t="str">
        <f>VLOOKUP(I3027,[2]categories!$A$2:$B$8,2,0)</f>
        <v>Cruisers Bicycles</v>
      </c>
    </row>
    <row r="3028" spans="1:10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 s="1">
        <f t="shared" si="47"/>
        <v>2943.1</v>
      </c>
      <c r="H3028" t="str">
        <f>VLOOKUP(C3028,[1]products!$A:$B,2,0)</f>
        <v>Surly Straggler - 2016</v>
      </c>
      <c r="I3028">
        <f>VLOOKUP(H3028,[1]products!$B:$D,3,0)</f>
        <v>4</v>
      </c>
      <c r="J3028" t="str">
        <f>VLOOKUP(I3028,[2]categories!$A$2:$B$8,2,0)</f>
        <v>Cyclocross Bicycles</v>
      </c>
    </row>
    <row r="3029" spans="1:10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0.07</v>
      </c>
      <c r="G3029" s="1">
        <f t="shared" si="47"/>
        <v>650.9814</v>
      </c>
      <c r="H3029" t="str">
        <f>VLOOKUP(C3029,[1]products!$A:$B,2,0)</f>
        <v>Electra Moto 3i (20-inch) - Boy's - 2017</v>
      </c>
      <c r="I3029">
        <f>VLOOKUP(H3029,[1]products!$B:$D,3,0)</f>
        <v>1</v>
      </c>
      <c r="J3029" t="str">
        <f>VLOOKUP(I3029,[2]categories!$A$2:$B$8,2,0)</f>
        <v>Children Bicycles</v>
      </c>
    </row>
    <row r="3030" spans="1:10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 s="1">
        <f t="shared" si="47"/>
        <v>539.982</v>
      </c>
      <c r="H3030" t="str">
        <f>VLOOKUP(C3030,[1]products!$A:$B,2,0)</f>
        <v>Electra Sugar Skulls 1 (20-inch) - Girl's - 2017</v>
      </c>
      <c r="I3030">
        <f>VLOOKUP(H3030,[1]products!$B:$D,3,0)</f>
        <v>1</v>
      </c>
      <c r="J3030" t="str">
        <f>VLOOKUP(I3030,[2]categories!$A$2:$B$8,2,0)</f>
        <v>Children Bicycles</v>
      </c>
    </row>
    <row r="3031" spans="1:10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 s="1">
        <f t="shared" si="47"/>
        <v>1391.984</v>
      </c>
      <c r="H3031" t="str">
        <f>VLOOKUP(C3031,[1]products!$A:$B,2,0)</f>
        <v>Haro SR 1.2 - 2017</v>
      </c>
      <c r="I3031">
        <f>VLOOKUP(H3031,[1]products!$B:$D,3,0)</f>
        <v>6</v>
      </c>
      <c r="J3031" t="str">
        <f>VLOOKUP(I3031,[2]categories!$A$2:$B$8,2,0)</f>
        <v>Mountain Bikes</v>
      </c>
    </row>
    <row r="3032" spans="1:10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 s="1">
        <f t="shared" si="47"/>
        <v>431.984</v>
      </c>
      <c r="H3032" t="str">
        <f>VLOOKUP(C3032,[1]products!$A:$B,2,0)</f>
        <v>Electra Girl's Hawaii 1 (16-inch) - 2015/2016</v>
      </c>
      <c r="I3032">
        <f>VLOOKUP(H3032,[1]products!$B:$D,3,0)</f>
        <v>3</v>
      </c>
      <c r="J3032" t="str">
        <f>VLOOKUP(I3032,[2]categories!$A$2:$B$8,2,0)</f>
        <v>Cruisers Bicycles</v>
      </c>
    </row>
    <row r="3033" spans="1:10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 s="1">
        <f t="shared" si="47"/>
        <v>1127.992</v>
      </c>
      <c r="H3033" t="str">
        <f>VLOOKUP(C3033,[1]products!$A:$B,2,0)</f>
        <v>Haro SR 1.3 - 2017</v>
      </c>
      <c r="I3033">
        <f>VLOOKUP(H3033,[1]products!$B:$D,3,0)</f>
        <v>6</v>
      </c>
      <c r="J3033" t="str">
        <f>VLOOKUP(I3033,[2]categories!$A$2:$B$8,2,0)</f>
        <v>Mountain Bikes</v>
      </c>
    </row>
    <row r="3034" spans="1:10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 s="1">
        <f t="shared" si="47"/>
        <v>3799.9905</v>
      </c>
      <c r="H3034" t="str">
        <f>VLOOKUP(C3034,[1]products!$A:$B,2,0)</f>
        <v>Trek Slash 8 27.5 - 2016</v>
      </c>
      <c r="I3034">
        <f>VLOOKUP(H3034,[1]products!$B:$D,3,0)</f>
        <v>6</v>
      </c>
      <c r="J3034" t="str">
        <f>VLOOKUP(I3034,[2]categories!$A$2:$B$8,2,0)</f>
        <v>Mountain Bikes</v>
      </c>
    </row>
    <row r="3035" spans="1:10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 s="1">
        <f t="shared" si="47"/>
        <v>524.3905</v>
      </c>
      <c r="H3035" t="str">
        <f>VLOOKUP(C3035,[1]products!$A:$B,2,0)</f>
        <v>Sun Bicycles Streamway 3 - 2017</v>
      </c>
      <c r="I3035">
        <f>VLOOKUP(H3035,[1]products!$B:$D,3,0)</f>
        <v>2</v>
      </c>
      <c r="J3035" t="str">
        <f>VLOOKUP(I3035,[2]categories!$A$2:$B$8,2,0)</f>
        <v>Comfort Bicycles</v>
      </c>
    </row>
    <row r="3036" spans="1:10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0.07</v>
      </c>
      <c r="G3036" s="1">
        <f t="shared" si="47"/>
        <v>1115.9814</v>
      </c>
      <c r="H3036" t="str">
        <f>VLOOKUP(C3036,[1]products!$A:$B,2,0)</f>
        <v>Electra Townie Original 7D EQ - 2016</v>
      </c>
      <c r="I3036">
        <f>VLOOKUP(H3036,[1]products!$B:$D,3,0)</f>
        <v>3</v>
      </c>
      <c r="J3036" t="str">
        <f>VLOOKUP(I3036,[2]categories!$A$2:$B$8,2,0)</f>
        <v>Cruisers Bicycles</v>
      </c>
    </row>
    <row r="3037" spans="1:10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 s="1">
        <f t="shared" si="47"/>
        <v>6649.981</v>
      </c>
      <c r="H3037" t="str">
        <f>VLOOKUP(C3037,[1]products!$A:$B,2,0)</f>
        <v>Trek Domane SL 6 - 2017</v>
      </c>
      <c r="I3037">
        <f>VLOOKUP(H3037,[1]products!$B:$D,3,0)</f>
        <v>7</v>
      </c>
      <c r="J3037" t="str">
        <f>VLOOKUP(I3037,[2]categories!$A$2:$B$8,2,0)</f>
        <v>Road Bikes</v>
      </c>
    </row>
    <row r="3038" spans="1:10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 s="1">
        <f t="shared" si="47"/>
        <v>959.984</v>
      </c>
      <c r="H3038" t="str">
        <f>VLOOKUP(C3038,[1]products!$A:$B,2,0)</f>
        <v>Electra Townie Original 7D EQ - 2016</v>
      </c>
      <c r="I3038">
        <f>VLOOKUP(H3038,[1]products!$B:$D,3,0)</f>
        <v>3</v>
      </c>
      <c r="J3038" t="str">
        <f>VLOOKUP(I3038,[2]categories!$A$2:$B$8,2,0)</f>
        <v>Cruisers Bicycles</v>
      </c>
    </row>
    <row r="3039" spans="1:10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 s="1">
        <f t="shared" si="47"/>
        <v>479.984</v>
      </c>
      <c r="H3039" t="str">
        <f>VLOOKUP(C3039,[1]products!$A:$B,2,0)</f>
        <v>Electra Girl's Hawaii 1 (20-inch) - 2015/2016</v>
      </c>
      <c r="I3039">
        <f>VLOOKUP(H3039,[1]products!$B:$D,3,0)</f>
        <v>1</v>
      </c>
      <c r="J3039" t="str">
        <f>VLOOKUP(I3039,[2]categories!$A$2:$B$8,2,0)</f>
        <v>Children Bicycles</v>
      </c>
    </row>
    <row r="3040" spans="1:10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 s="1">
        <f t="shared" si="47"/>
        <v>404.991</v>
      </c>
      <c r="H3040" t="str">
        <f>VLOOKUP(C3040,[1]products!$A:$B,2,0)</f>
        <v>Sun Bicycles Cruz 3 - 2017</v>
      </c>
      <c r="I3040">
        <f>VLOOKUP(H3040,[1]products!$B:$D,3,0)</f>
        <v>3</v>
      </c>
      <c r="J3040" t="str">
        <f>VLOOKUP(I3040,[2]categories!$A$2:$B$8,2,0)</f>
        <v>Cruisers Bicycles</v>
      </c>
    </row>
    <row r="3041" spans="1:10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 s="1">
        <f t="shared" si="47"/>
        <v>1424.981</v>
      </c>
      <c r="H3041" t="str">
        <f>VLOOKUP(C3041,[1]products!$A:$B,2,0)</f>
        <v>Sun Bicycles Brickell Tandem 7 - 2017</v>
      </c>
      <c r="I3041">
        <f>VLOOKUP(H3041,[1]products!$B:$D,3,0)</f>
        <v>3</v>
      </c>
      <c r="J3041" t="str">
        <f>VLOOKUP(I3041,[2]categories!$A$2:$B$8,2,0)</f>
        <v>Cruisers Bicycles</v>
      </c>
    </row>
    <row r="3042" spans="1:10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 s="1">
        <f t="shared" si="47"/>
        <v>1499.382</v>
      </c>
      <c r="H3042" t="str">
        <f>VLOOKUP(C3042,[1]products!$A:$B,2,0)</f>
        <v>Surly Troll Frameset - 2017</v>
      </c>
      <c r="I3042">
        <f>VLOOKUP(H3042,[1]products!$B:$D,3,0)</f>
        <v>6</v>
      </c>
      <c r="J3042" t="str">
        <f>VLOOKUP(I3042,[2]categories!$A$2:$B$8,2,0)</f>
        <v>Mountain Bikes</v>
      </c>
    </row>
    <row r="3043" spans="1:10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 s="1">
        <f t="shared" si="47"/>
        <v>569.9905</v>
      </c>
      <c r="H3043" t="str">
        <f>VLOOKUP(C3043,[1]products!$A:$B,2,0)</f>
        <v>Electra Townie Original 7D EQ - 2016</v>
      </c>
      <c r="I3043">
        <f>VLOOKUP(H3043,[1]products!$B:$D,3,0)</f>
        <v>3</v>
      </c>
      <c r="J3043" t="str">
        <f>VLOOKUP(I3043,[2]categories!$A$2:$B$8,2,0)</f>
        <v>Cruisers Bicycles</v>
      </c>
    </row>
    <row r="3044" spans="1:10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0.07</v>
      </c>
      <c r="G3044" s="1">
        <f t="shared" si="47"/>
        <v>9857.9814</v>
      </c>
      <c r="H3044" t="str">
        <f>VLOOKUP(C3044,[1]products!$A:$B,2,0)</f>
        <v>Trek Fuel EX 9.8 27.5 Plus - 2017</v>
      </c>
      <c r="I3044">
        <f>VLOOKUP(H3044,[1]products!$B:$D,3,0)</f>
        <v>6</v>
      </c>
      <c r="J3044" t="str">
        <f>VLOOKUP(I3044,[2]categories!$A$2:$B$8,2,0)</f>
        <v>Mountain Bikes</v>
      </c>
    </row>
    <row r="3045" spans="1:10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 s="1">
        <f t="shared" si="47"/>
        <v>543.984</v>
      </c>
      <c r="H3045" t="str">
        <f>VLOOKUP(C3045,[1]products!$A:$B,2,0)</f>
        <v>Electra Townie 7D (20-inch) - Boys' - 2017</v>
      </c>
      <c r="I3045">
        <f>VLOOKUP(H3045,[1]products!$B:$D,3,0)</f>
        <v>1</v>
      </c>
      <c r="J3045" t="str">
        <f>VLOOKUP(I3045,[2]categories!$A$2:$B$8,2,0)</f>
        <v>Children Bicycles</v>
      </c>
    </row>
    <row r="3046" spans="1:10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 s="1">
        <f t="shared" si="47"/>
        <v>989.982</v>
      </c>
      <c r="H3046" t="str">
        <f>VLOOKUP(C3046,[1]products!$A:$B,2,0)</f>
        <v>Electra Townie Original 21D - 2016</v>
      </c>
      <c r="I3046">
        <f>VLOOKUP(H3046,[1]products!$B:$D,3,0)</f>
        <v>3</v>
      </c>
      <c r="J3046" t="str">
        <f>VLOOKUP(I3046,[2]categories!$A$2:$B$8,2,0)</f>
        <v>Cruisers Bicycles</v>
      </c>
    </row>
    <row r="3047" spans="1:10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 s="1">
        <f t="shared" si="47"/>
        <v>269.982</v>
      </c>
      <c r="H3047" t="str">
        <f>VLOOKUP(C3047,[1]products!$A:$B,2,0)</f>
        <v>Trek Boy's Kickster - 2015/2017</v>
      </c>
      <c r="I3047">
        <f>VLOOKUP(H3047,[1]products!$B:$D,3,0)</f>
        <v>1</v>
      </c>
      <c r="J3047" t="str">
        <f>VLOOKUP(I3047,[2]categories!$A$2:$B$8,2,0)</f>
        <v>Children Bicycles</v>
      </c>
    </row>
    <row r="3048" spans="1:10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 s="1">
        <f t="shared" si="47"/>
        <v>1247.992</v>
      </c>
      <c r="H3048" t="str">
        <f>VLOOKUP(C3048,[1]products!$A:$B,2,0)</f>
        <v>Sun Bicycles ElectroLite - 2017</v>
      </c>
      <c r="I3048">
        <f>VLOOKUP(H3048,[1]products!$B:$D,3,0)</f>
        <v>5</v>
      </c>
      <c r="J3048" t="str">
        <f>VLOOKUP(I3048,[2]categories!$A$2:$B$8,2,0)</f>
        <v>Electric Bikes</v>
      </c>
    </row>
    <row r="3049" spans="1:10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 s="1">
        <f t="shared" si="47"/>
        <v>949.9905</v>
      </c>
      <c r="H3049" t="str">
        <f>VLOOKUP(C3049,[1]products!$A:$B,2,0)</f>
        <v>Surly Wednesday Frameset - 2016</v>
      </c>
      <c r="I3049">
        <f>VLOOKUP(H3049,[1]products!$B:$D,3,0)</f>
        <v>6</v>
      </c>
      <c r="J3049" t="str">
        <f>VLOOKUP(I3049,[2]categories!$A$2:$B$8,2,0)</f>
        <v>Mountain Bikes</v>
      </c>
    </row>
    <row r="3050" spans="1:10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 s="1">
        <f t="shared" si="47"/>
        <v>427.192</v>
      </c>
      <c r="H3050" t="str">
        <f>VLOOKUP(C3050,[1]products!$A:$B,2,0)</f>
        <v>Sun Bicycles Streamway 7 - 2017</v>
      </c>
      <c r="I3050">
        <f>VLOOKUP(H3050,[1]products!$B:$D,3,0)</f>
        <v>2</v>
      </c>
      <c r="J3050" t="str">
        <f>VLOOKUP(I3050,[2]categories!$A$2:$B$8,2,0)</f>
        <v>Comfort Bicycles</v>
      </c>
    </row>
    <row r="3051" spans="1:10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 s="1">
        <f t="shared" si="47"/>
        <v>332.4905</v>
      </c>
      <c r="H3051" t="str">
        <f>VLOOKUP(C3051,[1]products!$A:$B,2,0)</f>
        <v>Electra Savannah 3i (20-inch) - Girl's - 2017</v>
      </c>
      <c r="I3051">
        <f>VLOOKUP(H3051,[1]products!$B:$D,3,0)</f>
        <v>1</v>
      </c>
      <c r="J3051" t="str">
        <f>VLOOKUP(I3051,[2]categories!$A$2:$B$8,2,0)</f>
        <v>Children Bicycles</v>
      </c>
    </row>
    <row r="3052" spans="1:10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 s="1">
        <f t="shared" si="47"/>
        <v>930.981</v>
      </c>
      <c r="H3052" t="str">
        <f>VLOOKUP(C3052,[1]products!$A:$B,2,0)</f>
        <v>Electra Straight 8 3i (20-inch) - Boy's - 2017</v>
      </c>
      <c r="I3052">
        <f>VLOOKUP(H3052,[1]products!$B:$D,3,0)</f>
        <v>1</v>
      </c>
      <c r="J3052" t="str">
        <f>VLOOKUP(I3052,[2]categories!$A$2:$B$8,2,0)</f>
        <v>Children Bicycles</v>
      </c>
    </row>
    <row r="3053" spans="1:10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 s="1">
        <f t="shared" si="47"/>
        <v>4769.991</v>
      </c>
      <c r="H3053" t="str">
        <f>VLOOKUP(C3053,[1]products!$A:$B,2,0)</f>
        <v>Trek Fuel EX 9.8 27.5 Plus - 2017</v>
      </c>
      <c r="I3053">
        <f>VLOOKUP(H3053,[1]products!$B:$D,3,0)</f>
        <v>6</v>
      </c>
      <c r="J3053" t="str">
        <f>VLOOKUP(I3053,[2]categories!$A$2:$B$8,2,0)</f>
        <v>Mountain Bikes</v>
      </c>
    </row>
    <row r="3054" spans="1:10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 s="1">
        <f t="shared" si="47"/>
        <v>1899.981</v>
      </c>
      <c r="H3054" t="str">
        <f>VLOOKUP(C3054,[1]products!$A:$B,2,0)</f>
        <v>Trek X-Caliber 8 - 2017</v>
      </c>
      <c r="I3054">
        <f>VLOOKUP(H3054,[1]products!$B:$D,3,0)</f>
        <v>6</v>
      </c>
      <c r="J3054" t="str">
        <f>VLOOKUP(I3054,[2]categories!$A$2:$B$8,2,0)</f>
        <v>Mountain Bikes</v>
      </c>
    </row>
    <row r="3055" spans="1:10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0.07</v>
      </c>
      <c r="G3055" s="1">
        <f t="shared" si="47"/>
        <v>513.3507</v>
      </c>
      <c r="H3055" t="str">
        <f>VLOOKUP(C3055,[1]products!$A:$B,2,0)</f>
        <v>Sun Bicycles Streamway 3 - 2017</v>
      </c>
      <c r="I3055">
        <f>VLOOKUP(H3055,[1]products!$B:$D,3,0)</f>
        <v>2</v>
      </c>
      <c r="J3055" t="str">
        <f>VLOOKUP(I3055,[2]categories!$A$2:$B$8,2,0)</f>
        <v>Comfort Bicycles</v>
      </c>
    </row>
    <row r="3056" spans="1:10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 s="1">
        <f t="shared" si="47"/>
        <v>2678.981</v>
      </c>
      <c r="H3056" t="str">
        <f>VLOOKUP(C3056,[1]products!$A:$B,2,0)</f>
        <v>Haro SR 1.3 - 2017</v>
      </c>
      <c r="I3056">
        <f>VLOOKUP(H3056,[1]products!$B:$D,3,0)</f>
        <v>6</v>
      </c>
      <c r="J3056" t="str">
        <f>VLOOKUP(I3056,[2]categories!$A$2:$B$8,2,0)</f>
        <v>Mountain Bikes</v>
      </c>
    </row>
    <row r="3057" spans="1:10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 s="1">
        <f t="shared" si="47"/>
        <v>3599.991</v>
      </c>
      <c r="H3057" t="str">
        <f>VLOOKUP(C3057,[1]products!$A:$B,2,0)</f>
        <v>Trek Slash 8 27.5 - 2016</v>
      </c>
      <c r="I3057">
        <f>VLOOKUP(H3057,[1]products!$B:$D,3,0)</f>
        <v>6</v>
      </c>
      <c r="J3057" t="str">
        <f>VLOOKUP(I3057,[2]categories!$A$2:$B$8,2,0)</f>
        <v>Mountain Bikes</v>
      </c>
    </row>
    <row r="3058" spans="1:10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0.07</v>
      </c>
      <c r="G3058" s="1">
        <f t="shared" si="47"/>
        <v>251.0907</v>
      </c>
      <c r="H3058" t="str">
        <f>VLOOKUP(C3058,[1]products!$A:$B,2,0)</f>
        <v>Electra Cruiser 1 (24-Inch) - 2016</v>
      </c>
      <c r="I3058">
        <f>VLOOKUP(H3058,[1]products!$B:$D,3,0)</f>
        <v>3</v>
      </c>
      <c r="J3058" t="str">
        <f>VLOOKUP(I3058,[2]categories!$A$2:$B$8,2,0)</f>
        <v>Cruisers Bicycles</v>
      </c>
    </row>
    <row r="3059" spans="1:10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0.07</v>
      </c>
      <c r="G3059" s="1">
        <f t="shared" si="47"/>
        <v>3719.9907</v>
      </c>
      <c r="H3059" t="str">
        <f>VLOOKUP(C3059,[1]products!$A:$B,2,0)</f>
        <v>Trek Slash 8 27.5 - 2016</v>
      </c>
      <c r="I3059">
        <f>VLOOKUP(H3059,[1]products!$B:$D,3,0)</f>
        <v>6</v>
      </c>
      <c r="J3059" t="str">
        <f>VLOOKUP(I3059,[2]categories!$A$2:$B$8,2,0)</f>
        <v>Mountain Bikes</v>
      </c>
    </row>
    <row r="3060" spans="1:10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0.07</v>
      </c>
      <c r="G3060" s="1">
        <f t="shared" si="47"/>
        <v>3126.6414</v>
      </c>
      <c r="H3060" t="str">
        <f>VLOOKUP(C3060,[1]products!$A:$B,2,0)</f>
        <v>Surly Straggler 650b - 2016</v>
      </c>
      <c r="I3060">
        <f>VLOOKUP(H3060,[1]products!$B:$D,3,0)</f>
        <v>4</v>
      </c>
      <c r="J3060" t="str">
        <f>VLOOKUP(I3060,[2]categories!$A$2:$B$8,2,0)</f>
        <v>Cyclocross Bicycles</v>
      </c>
    </row>
    <row r="3061" spans="1:10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 s="1">
        <f t="shared" si="47"/>
        <v>8999.982</v>
      </c>
      <c r="H3061" t="str">
        <f>VLOOKUP(C3061,[1]products!$A:$B,2,0)</f>
        <v>Trek Powerfly 8 FS Plus - 2017</v>
      </c>
      <c r="I3061">
        <f>VLOOKUP(H3061,[1]products!$B:$D,3,0)</f>
        <v>5</v>
      </c>
      <c r="J3061" t="str">
        <f>VLOOKUP(I3061,[2]categories!$A$2:$B$8,2,0)</f>
        <v>Electric Bikes</v>
      </c>
    </row>
    <row r="3062" spans="1:10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 s="1">
        <f t="shared" si="47"/>
        <v>1899.981</v>
      </c>
      <c r="H3062" t="str">
        <f>VLOOKUP(C3062,[1]products!$A:$B,2,0)</f>
        <v>Surly Ice Cream Truck Frameset - 2017</v>
      </c>
      <c r="I3062">
        <f>VLOOKUP(H3062,[1]products!$B:$D,3,0)</f>
        <v>6</v>
      </c>
      <c r="J3062" t="str">
        <f>VLOOKUP(I3062,[2]categories!$A$2:$B$8,2,0)</f>
        <v>Mountain Bikes</v>
      </c>
    </row>
    <row r="3063" spans="1:10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0.07</v>
      </c>
      <c r="G3063" s="1">
        <f t="shared" si="47"/>
        <v>251.0907</v>
      </c>
      <c r="H3063" t="str">
        <f>VLOOKUP(C3063,[1]products!$A:$B,2,0)</f>
        <v>Electra Girl's Hawaii 1 (16-inch) - 2015/2016</v>
      </c>
      <c r="I3063">
        <f>VLOOKUP(H3063,[1]products!$B:$D,3,0)</f>
        <v>3</v>
      </c>
      <c r="J3063" t="str">
        <f>VLOOKUP(I3063,[2]categories!$A$2:$B$8,2,0)</f>
        <v>Cruisers Bicycles</v>
      </c>
    </row>
    <row r="3064" spans="1:10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 s="1">
        <f t="shared" si="47"/>
        <v>404.1</v>
      </c>
      <c r="H3064" t="str">
        <f>VLOOKUP(C3064,[1]products!$A:$B,2,0)</f>
        <v>Pure Cycles William 3-Speed - 2016</v>
      </c>
      <c r="I3064">
        <f>VLOOKUP(H3064,[1]products!$B:$D,3,0)</f>
        <v>3</v>
      </c>
      <c r="J3064" t="str">
        <f>VLOOKUP(I3064,[2]categories!$A$2:$B$8,2,0)</f>
        <v>Cruisers Bicycles</v>
      </c>
    </row>
    <row r="3065" spans="1:10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 s="1">
        <f t="shared" si="47"/>
        <v>256.4905</v>
      </c>
      <c r="H3065" t="str">
        <f>VLOOKUP(C3065,[1]products!$A:$B,2,0)</f>
        <v>Electra Cruiser 1 (24-Inch) - 2016</v>
      </c>
      <c r="I3065">
        <f>VLOOKUP(H3065,[1]products!$B:$D,3,0)</f>
        <v>3</v>
      </c>
      <c r="J3065" t="str">
        <f>VLOOKUP(I3065,[2]categories!$A$2:$B$8,2,0)</f>
        <v>Cruisers Bicycles</v>
      </c>
    </row>
    <row r="3066" spans="1:10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 s="1">
        <f t="shared" si="47"/>
        <v>753.584</v>
      </c>
      <c r="H3066" t="str">
        <f>VLOOKUP(C3066,[1]products!$A:$B,2,0)</f>
        <v>Sun Bicycles Drifter 7 - Women's - 2017</v>
      </c>
      <c r="I3066">
        <f>VLOOKUP(H3066,[1]products!$B:$D,3,0)</f>
        <v>2</v>
      </c>
      <c r="J3066" t="str">
        <f>VLOOKUP(I3066,[2]categories!$A$2:$B$8,2,0)</f>
        <v>Comfort Bicycles</v>
      </c>
    </row>
    <row r="3067" spans="1:10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 s="1">
        <f t="shared" si="47"/>
        <v>1254.9405</v>
      </c>
      <c r="H3067" t="str">
        <f>VLOOKUP(C3067,[1]products!$A:$B,2,0)</f>
        <v>Heller Shagamaw Frame - 2016</v>
      </c>
      <c r="I3067">
        <f>VLOOKUP(H3067,[1]products!$B:$D,3,0)</f>
        <v>6</v>
      </c>
      <c r="J3067" t="str">
        <f>VLOOKUP(I3067,[2]categories!$A$2:$B$8,2,0)</f>
        <v>Mountain Bikes</v>
      </c>
    </row>
    <row r="3068" spans="1:10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 s="1">
        <f t="shared" si="47"/>
        <v>439.992</v>
      </c>
      <c r="H3068" t="str">
        <f>VLOOKUP(C3068,[1]products!$A:$B,2,0)</f>
        <v>Electra Townie Original 21D - 2016</v>
      </c>
      <c r="I3068">
        <f>VLOOKUP(H3068,[1]products!$B:$D,3,0)</f>
        <v>3</v>
      </c>
      <c r="J3068" t="str">
        <f>VLOOKUP(I3068,[2]categories!$A$2:$B$8,2,0)</f>
        <v>Cruisers Bicycles</v>
      </c>
    </row>
    <row r="3069" spans="1:10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 s="1">
        <f t="shared" si="47"/>
        <v>845.982</v>
      </c>
      <c r="H3069" t="str">
        <f>VLOOKUP(C3069,[1]products!$A:$B,2,0)</f>
        <v>Surly Wednesday Frameset - 2017</v>
      </c>
      <c r="I3069">
        <f>VLOOKUP(H3069,[1]products!$B:$D,3,0)</f>
        <v>6</v>
      </c>
      <c r="J3069" t="str">
        <f>VLOOKUP(I3069,[2]categories!$A$2:$B$8,2,0)</f>
        <v>Mountain Bikes</v>
      </c>
    </row>
    <row r="3070" spans="1:10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0.07</v>
      </c>
      <c r="G3070" s="1">
        <f t="shared" si="47"/>
        <v>911.3814</v>
      </c>
      <c r="H3070" t="str">
        <f>VLOOKUP(C3070,[1]products!$A:$B,2,0)</f>
        <v>Electra Townie 3i EQ (20-inch) - Boys' - 2017</v>
      </c>
      <c r="I3070">
        <f>VLOOKUP(H3070,[1]products!$B:$D,3,0)</f>
        <v>1</v>
      </c>
      <c r="J3070" t="str">
        <f>VLOOKUP(I3070,[2]categories!$A$2:$B$8,2,0)</f>
        <v>Children Bicycles</v>
      </c>
    </row>
    <row r="3071" spans="1:10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 s="1">
        <f t="shared" si="47"/>
        <v>991.984</v>
      </c>
      <c r="H3071" t="str">
        <f>VLOOKUP(C3071,[1]products!$A:$B,2,0)</f>
        <v>Sun Bicycles Biscayne Tandem 7 - 2017</v>
      </c>
      <c r="I3071">
        <f>VLOOKUP(H3071,[1]products!$B:$D,3,0)</f>
        <v>3</v>
      </c>
      <c r="J3071" t="str">
        <f>VLOOKUP(I3071,[2]categories!$A$2:$B$8,2,0)</f>
        <v>Cruisers Bicycles</v>
      </c>
    </row>
    <row r="3072" spans="1:10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0.07</v>
      </c>
      <c r="G3072" s="1">
        <f t="shared" si="47"/>
        <v>417.57</v>
      </c>
      <c r="H3072" t="str">
        <f>VLOOKUP(C3072,[1]products!$A:$B,2,0)</f>
        <v>Pure Cycles Western 3-Speed - Women's - 2015/2016</v>
      </c>
      <c r="I3072">
        <f>VLOOKUP(H3072,[1]products!$B:$D,3,0)</f>
        <v>3</v>
      </c>
      <c r="J3072" t="str">
        <f>VLOOKUP(I3072,[2]categories!$A$2:$B$8,2,0)</f>
        <v>Cruisers Bicycles</v>
      </c>
    </row>
    <row r="3073" spans="1:10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 s="1">
        <f t="shared" si="47"/>
        <v>3149.991</v>
      </c>
      <c r="H3073" t="str">
        <f>VLOOKUP(C3073,[1]products!$A:$B,2,0)</f>
        <v>Trek Domane SL 6 - 2017</v>
      </c>
      <c r="I3073">
        <f>VLOOKUP(H3073,[1]products!$B:$D,3,0)</f>
        <v>7</v>
      </c>
      <c r="J3073" t="str">
        <f>VLOOKUP(I3073,[2]categories!$A$2:$B$8,2,0)</f>
        <v>Road Bikes</v>
      </c>
    </row>
    <row r="3074" spans="1:10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0.07</v>
      </c>
      <c r="G3074" s="1">
        <f t="shared" ref="G3074:G3137" si="48">D3074*E3074*(1-F3074)</f>
        <v>2789.9814</v>
      </c>
      <c r="H3074" t="str">
        <f>VLOOKUP(C3074,[1]products!$A:$B,2,0)</f>
        <v>Trek Emonda S 4 - 2017</v>
      </c>
      <c r="I3074">
        <f>VLOOKUP(H3074,[1]products!$B:$D,3,0)</f>
        <v>7</v>
      </c>
      <c r="J3074" t="str">
        <f>VLOOKUP(I3074,[2]categories!$A$2:$B$8,2,0)</f>
        <v>Road Bikes</v>
      </c>
    </row>
    <row r="3075" spans="1:10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 s="1">
        <f t="shared" si="48"/>
        <v>1048.781</v>
      </c>
      <c r="H3075" t="str">
        <f>VLOOKUP(C3075,[1]products!$A:$B,2,0)</f>
        <v>Sun Bicycles Streamway 3 - 2017</v>
      </c>
      <c r="I3075">
        <f>VLOOKUP(H3075,[1]products!$B:$D,3,0)</f>
        <v>2</v>
      </c>
      <c r="J3075" t="str">
        <f>VLOOKUP(I3075,[2]categories!$A$2:$B$8,2,0)</f>
        <v>Comfort Bicycles</v>
      </c>
    </row>
    <row r="3076" spans="1:10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0.07</v>
      </c>
      <c r="G3076" s="1">
        <f t="shared" si="48"/>
        <v>3254.9907</v>
      </c>
      <c r="H3076" t="str">
        <f>VLOOKUP(C3076,[1]products!$A:$B,2,0)</f>
        <v>Trek Boone Race Shop Limited - 2017</v>
      </c>
      <c r="I3076">
        <f>VLOOKUP(H3076,[1]products!$B:$D,3,0)</f>
        <v>4</v>
      </c>
      <c r="J3076" t="str">
        <f>VLOOKUP(I3076,[2]categories!$A$2:$B$8,2,0)</f>
        <v>Cyclocross Bicycles</v>
      </c>
    </row>
    <row r="3077" spans="1:10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 s="1">
        <f t="shared" si="48"/>
        <v>1006.981</v>
      </c>
      <c r="H3077" t="str">
        <f>VLOOKUP(C3077,[1]products!$A:$B,2,0)</f>
        <v>Electra Moto 1 - 2016</v>
      </c>
      <c r="I3077">
        <f>VLOOKUP(H3077,[1]products!$B:$D,3,0)</f>
        <v>3</v>
      </c>
      <c r="J3077" t="str">
        <f>VLOOKUP(I3077,[2]categories!$A$2:$B$8,2,0)</f>
        <v>Cruisers Bicycles</v>
      </c>
    </row>
    <row r="3078" spans="1:10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 s="1">
        <f t="shared" si="48"/>
        <v>1268.991</v>
      </c>
      <c r="H3078" t="str">
        <f>VLOOKUP(C3078,[1]products!$A:$B,2,0)</f>
        <v>Haro SR 1.3 - 2017</v>
      </c>
      <c r="I3078">
        <f>VLOOKUP(H3078,[1]products!$B:$D,3,0)</f>
        <v>6</v>
      </c>
      <c r="J3078" t="str">
        <f>VLOOKUP(I3078,[2]categories!$A$2:$B$8,2,0)</f>
        <v>Mountain Bikes</v>
      </c>
    </row>
    <row r="3079" spans="1:10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 s="1">
        <f t="shared" si="48"/>
        <v>494.991</v>
      </c>
      <c r="H3079" t="str">
        <f>VLOOKUP(C3079,[1]products!$A:$B,2,0)</f>
        <v>Electra Townie Original 21D - 2016</v>
      </c>
      <c r="I3079">
        <f>VLOOKUP(H3079,[1]products!$B:$D,3,0)</f>
        <v>3</v>
      </c>
      <c r="J3079" t="str">
        <f>VLOOKUP(I3079,[2]categories!$A$2:$B$8,2,0)</f>
        <v>Cruisers Bicycles</v>
      </c>
    </row>
    <row r="3080" spans="1:10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0.07</v>
      </c>
      <c r="G3080" s="1">
        <f t="shared" si="48"/>
        <v>818.3814</v>
      </c>
      <c r="H3080" t="str">
        <f>VLOOKUP(C3080,[1]products!$A:$B,2,0)</f>
        <v>Electra Cruiser Lux 1 - 2017</v>
      </c>
      <c r="I3080">
        <f>VLOOKUP(H3080,[1]products!$B:$D,3,0)</f>
        <v>3</v>
      </c>
      <c r="J3080" t="str">
        <f>VLOOKUP(I3080,[2]categories!$A$2:$B$8,2,0)</f>
        <v>Cruisers Bicycles</v>
      </c>
    </row>
    <row r="3081" spans="1:10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 s="1">
        <f t="shared" si="48"/>
        <v>4799.984</v>
      </c>
      <c r="H3081" t="str">
        <f>VLOOKUP(C3081,[1]products!$A:$B,2,0)</f>
        <v>Trek Conduit+ - 2016</v>
      </c>
      <c r="I3081">
        <f>VLOOKUP(H3081,[1]products!$B:$D,3,0)</f>
        <v>5</v>
      </c>
      <c r="J3081" t="str">
        <f>VLOOKUP(I3081,[2]categories!$A$2:$B$8,2,0)</f>
        <v>Electric Bikes</v>
      </c>
    </row>
    <row r="3082" spans="1:10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 s="1">
        <f t="shared" si="48"/>
        <v>1115.982</v>
      </c>
      <c r="H3082" t="str">
        <f>VLOOKUP(C3082,[1]products!$A:$B,2,0)</f>
        <v>Sun Bicycles Biscayne Tandem 7 - 2017</v>
      </c>
      <c r="I3082">
        <f>VLOOKUP(H3082,[1]products!$B:$D,3,0)</f>
        <v>3</v>
      </c>
      <c r="J3082" t="str">
        <f>VLOOKUP(I3082,[2]categories!$A$2:$B$8,2,0)</f>
        <v>Cruisers Bicycles</v>
      </c>
    </row>
    <row r="3083" spans="1:10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 s="1">
        <f t="shared" si="48"/>
        <v>751.984</v>
      </c>
      <c r="H3083" t="str">
        <f>VLOOKUP(C3083,[1]products!$A:$B,2,0)</f>
        <v>Surly Ice Cream Truck Frameset - 2016</v>
      </c>
      <c r="I3083">
        <f>VLOOKUP(H3083,[1]products!$B:$D,3,0)</f>
        <v>6</v>
      </c>
      <c r="J3083" t="str">
        <f>VLOOKUP(I3083,[2]categories!$A$2:$B$8,2,0)</f>
        <v>Mountain Bikes</v>
      </c>
    </row>
    <row r="3084" spans="1:10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 s="1">
        <f t="shared" si="48"/>
        <v>303.984</v>
      </c>
      <c r="H3084" t="str">
        <f>VLOOKUP(C3084,[1]products!$A:$B,2,0)</f>
        <v>Trek Precaliber 12 Boys - 2017</v>
      </c>
      <c r="I3084">
        <f>VLOOKUP(H3084,[1]products!$B:$D,3,0)</f>
        <v>1</v>
      </c>
      <c r="J3084" t="str">
        <f>VLOOKUP(I3084,[2]categories!$A$2:$B$8,2,0)</f>
        <v>Children Bicycles</v>
      </c>
    </row>
    <row r="3085" spans="1:10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 s="1">
        <f t="shared" si="48"/>
        <v>527.992</v>
      </c>
      <c r="H3085" t="str">
        <f>VLOOKUP(C3085,[1]products!$A:$B,2,0)</f>
        <v>Electra Amsterdam Original 3i Ladies' - 2017</v>
      </c>
      <c r="I3085">
        <f>VLOOKUP(H3085,[1]products!$B:$D,3,0)</f>
        <v>3</v>
      </c>
      <c r="J3085" t="str">
        <f>VLOOKUP(I3085,[2]categories!$A$2:$B$8,2,0)</f>
        <v>Cruisers Bicycles</v>
      </c>
    </row>
    <row r="3086" spans="1:10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 s="1">
        <f t="shared" si="48"/>
        <v>5599.984</v>
      </c>
      <c r="H3086" t="str">
        <f>VLOOKUP(C3086,[1]products!$A:$B,2,0)</f>
        <v>Trek Domane SL 6 - 2017</v>
      </c>
      <c r="I3086">
        <f>VLOOKUP(H3086,[1]products!$B:$D,3,0)</f>
        <v>7</v>
      </c>
      <c r="J3086" t="str">
        <f>VLOOKUP(I3086,[2]categories!$A$2:$B$8,2,0)</f>
        <v>Road Bikes</v>
      </c>
    </row>
    <row r="3087" spans="1:10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 s="1">
        <f t="shared" si="48"/>
        <v>1391.984</v>
      </c>
      <c r="H3087" t="str">
        <f>VLOOKUP(C3087,[1]products!$A:$B,2,0)</f>
        <v>Haro SR 1.2 - 2017</v>
      </c>
      <c r="I3087">
        <f>VLOOKUP(H3087,[1]products!$B:$D,3,0)</f>
        <v>6</v>
      </c>
      <c r="J3087" t="str">
        <f>VLOOKUP(I3087,[2]categories!$A$2:$B$8,2,0)</f>
        <v>Mountain Bikes</v>
      </c>
    </row>
    <row r="3088" spans="1:10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0.07</v>
      </c>
      <c r="G3088" s="1">
        <f t="shared" si="48"/>
        <v>387.8007</v>
      </c>
      <c r="H3088" t="str">
        <f>VLOOKUP(C3088,[1]products!$A:$B,2,0)</f>
        <v>Sun Bicycles Cruz 7 - Women's - 2017</v>
      </c>
      <c r="I3088">
        <f>VLOOKUP(H3088,[1]products!$B:$D,3,0)</f>
        <v>2</v>
      </c>
      <c r="J3088" t="str">
        <f>VLOOKUP(I3088,[2]categories!$A$2:$B$8,2,0)</f>
        <v>Comfort Bicycles</v>
      </c>
    </row>
    <row r="3089" spans="1:10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 s="1">
        <f t="shared" si="48"/>
        <v>188.991</v>
      </c>
      <c r="H3089" t="str">
        <f>VLOOKUP(C3089,[1]products!$A:$B,2,0)</f>
        <v>Haro Shredder 20 Girls - 2017</v>
      </c>
      <c r="I3089">
        <f>VLOOKUP(H3089,[1]products!$B:$D,3,0)</f>
        <v>1</v>
      </c>
      <c r="J3089" t="str">
        <f>VLOOKUP(I3089,[2]categories!$A$2:$B$8,2,0)</f>
        <v>Children Bicycles</v>
      </c>
    </row>
    <row r="3090" spans="1:10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 s="1">
        <f t="shared" si="48"/>
        <v>376.792</v>
      </c>
      <c r="H3090" t="str">
        <f>VLOOKUP(C3090,[1]products!$A:$B,2,0)</f>
        <v>Sun Bicycles Drifter 7 - 2017</v>
      </c>
      <c r="I3090">
        <f>VLOOKUP(H3090,[1]products!$B:$D,3,0)</f>
        <v>2</v>
      </c>
      <c r="J3090" t="str">
        <f>VLOOKUP(I3090,[2]categories!$A$2:$B$8,2,0)</f>
        <v>Comfort Bicycles</v>
      </c>
    </row>
    <row r="3091" spans="1:10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 s="1">
        <f t="shared" si="48"/>
        <v>808.2</v>
      </c>
      <c r="H3091" t="str">
        <f>VLOOKUP(C3091,[1]products!$A:$B,2,0)</f>
        <v>Pure Cycles Western 3-Speed - Women's - 2015/2016</v>
      </c>
      <c r="I3091">
        <f>VLOOKUP(H3091,[1]products!$B:$D,3,0)</f>
        <v>3</v>
      </c>
      <c r="J3091" t="str">
        <f>VLOOKUP(I3091,[2]categories!$A$2:$B$8,2,0)</f>
        <v>Cruisers Bicycles</v>
      </c>
    </row>
    <row r="3092" spans="1:10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 s="1">
        <f t="shared" si="48"/>
        <v>237.4905</v>
      </c>
      <c r="H3092" t="str">
        <f>VLOOKUP(C3092,[1]products!$A:$B,2,0)</f>
        <v>Haro Shredder Pro 20 - 2017</v>
      </c>
      <c r="I3092">
        <f>VLOOKUP(H3092,[1]products!$B:$D,3,0)</f>
        <v>1</v>
      </c>
      <c r="J3092" t="str">
        <f>VLOOKUP(I3092,[2]categories!$A$2:$B$8,2,0)</f>
        <v>Children Bicycles</v>
      </c>
    </row>
    <row r="3093" spans="1:10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 s="1">
        <f t="shared" si="48"/>
        <v>799.984</v>
      </c>
      <c r="H3093" t="str">
        <f>VLOOKUP(C3093,[1]products!$A:$B,2,0)</f>
        <v>Electra Townie Original 7D - 2015/2016</v>
      </c>
      <c r="I3093">
        <f>VLOOKUP(H3093,[1]products!$B:$D,3,0)</f>
        <v>2</v>
      </c>
      <c r="J3093" t="str">
        <f>VLOOKUP(I3093,[2]categories!$A$2:$B$8,2,0)</f>
        <v>Comfort Bicycles</v>
      </c>
    </row>
    <row r="3094" spans="1:10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 s="1">
        <f t="shared" si="48"/>
        <v>119.992</v>
      </c>
      <c r="H3094" t="str">
        <f>VLOOKUP(C3094,[1]products!$A:$B,2,0)</f>
        <v>Trek Boy's Kickster - 2015/2017</v>
      </c>
      <c r="I3094">
        <f>VLOOKUP(H3094,[1]products!$B:$D,3,0)</f>
        <v>1</v>
      </c>
      <c r="J3094" t="str">
        <f>VLOOKUP(I3094,[2]categories!$A$2:$B$8,2,0)</f>
        <v>Children Bicycles</v>
      </c>
    </row>
    <row r="3095" spans="1:10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0.07</v>
      </c>
      <c r="G3095" s="1">
        <f t="shared" si="48"/>
        <v>390.5814</v>
      </c>
      <c r="H3095" t="str">
        <f>VLOOKUP(C3095,[1]products!$A:$B,2,0)</f>
        <v>Trek Precaliber 16 Boys - 2017</v>
      </c>
      <c r="I3095">
        <f>VLOOKUP(H3095,[1]products!$B:$D,3,0)</f>
        <v>1</v>
      </c>
      <c r="J3095" t="str">
        <f>VLOOKUP(I3095,[2]categories!$A$2:$B$8,2,0)</f>
        <v>Children Bicycles</v>
      </c>
    </row>
    <row r="3096" spans="1:10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0.07</v>
      </c>
      <c r="G3096" s="1">
        <f t="shared" si="48"/>
        <v>1549.3614</v>
      </c>
      <c r="H3096" t="str">
        <f>VLOOKUP(C3096,[1]products!$A:$B,2,0)</f>
        <v>Surly Troll Frameset - 2017</v>
      </c>
      <c r="I3096">
        <f>VLOOKUP(H3096,[1]products!$B:$D,3,0)</f>
        <v>6</v>
      </c>
      <c r="J3096" t="str">
        <f>VLOOKUP(I3096,[2]categories!$A$2:$B$8,2,0)</f>
        <v>Mountain Bikes</v>
      </c>
    </row>
    <row r="3097" spans="1:10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 s="1">
        <f t="shared" si="48"/>
        <v>879.992</v>
      </c>
      <c r="H3097" t="str">
        <f>VLOOKUP(C3097,[1]products!$A:$B,2,0)</f>
        <v>Electra Amsterdam Fashion 7i Ladies' - 2017</v>
      </c>
      <c r="I3097">
        <f>VLOOKUP(H3097,[1]products!$B:$D,3,0)</f>
        <v>3</v>
      </c>
      <c r="J3097" t="str">
        <f>VLOOKUP(I3097,[2]categories!$A$2:$B$8,2,0)</f>
        <v>Cruisers Bicycles</v>
      </c>
    </row>
    <row r="3098" spans="1:10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0.07</v>
      </c>
      <c r="G3098" s="1">
        <f t="shared" si="48"/>
        <v>251.0907</v>
      </c>
      <c r="H3098" t="str">
        <f>VLOOKUP(C3098,[1]products!$A:$B,2,0)</f>
        <v>Electra Cruiser 1 (24-Inch) - 2016</v>
      </c>
      <c r="I3098">
        <f>VLOOKUP(H3098,[1]products!$B:$D,3,0)</f>
        <v>3</v>
      </c>
      <c r="J3098" t="str">
        <f>VLOOKUP(I3098,[2]categories!$A$2:$B$8,2,0)</f>
        <v>Cruisers Bicycles</v>
      </c>
    </row>
    <row r="3099" spans="1:10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 s="1">
        <f t="shared" si="48"/>
        <v>479.992</v>
      </c>
      <c r="H3099" t="str">
        <f>VLOOKUP(C3099,[1]products!$A:$B,2,0)</f>
        <v>Electra Townie Original 7D EQ - Women's - 2016</v>
      </c>
      <c r="I3099">
        <f>VLOOKUP(H3099,[1]products!$B:$D,3,0)</f>
        <v>3</v>
      </c>
      <c r="J3099" t="str">
        <f>VLOOKUP(I3099,[2]categories!$A$2:$B$8,2,0)</f>
        <v>Cruisers Bicycles</v>
      </c>
    </row>
    <row r="3100" spans="1:10">
      <c r="A3100">
        <v>1074</v>
      </c>
      <c r="B3100">
        <v>1</v>
      </c>
      <c r="C3100">
        <v>59</v>
      </c>
      <c r="D3100">
        <v>1</v>
      </c>
      <c r="E3100">
        <v>2599.99</v>
      </c>
      <c r="F3100">
        <v>0.1</v>
      </c>
      <c r="G3100" s="1">
        <f t="shared" si="48"/>
        <v>2339.991</v>
      </c>
      <c r="H3100" t="str">
        <f>VLOOKUP(C3100,[1]products!$A:$B,2,0)</f>
        <v>Trek Domane S 5 Disc - 2017</v>
      </c>
      <c r="I3100">
        <f>VLOOKUP(H3100,[1]products!$B:$D,3,0)</f>
        <v>7</v>
      </c>
      <c r="J3100" t="str">
        <f>VLOOKUP(I3100,[2]categories!$A$2:$B$8,2,0)</f>
        <v>Road Bikes</v>
      </c>
    </row>
    <row r="3101" spans="1:10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0.07</v>
      </c>
      <c r="G3101" s="1">
        <f t="shared" si="48"/>
        <v>176.6907</v>
      </c>
      <c r="H3101" t="str">
        <f>VLOOKUP(C3101,[1]products!$A:$B,2,0)</f>
        <v>Trek Precaliber 12 Boys - 2017</v>
      </c>
      <c r="I3101">
        <f>VLOOKUP(H3101,[1]products!$B:$D,3,0)</f>
        <v>1</v>
      </c>
      <c r="J3101" t="str">
        <f>VLOOKUP(I3101,[2]categories!$A$2:$B$8,2,0)</f>
        <v>Children Bicycles</v>
      </c>
    </row>
    <row r="3102" spans="1:10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 s="1">
        <f t="shared" si="48"/>
        <v>377.982</v>
      </c>
      <c r="H3102" t="str">
        <f>VLOOKUP(C3102,[1]products!$A:$B,2,0)</f>
        <v>Trek Precaliber 16 Boys - 2017</v>
      </c>
      <c r="I3102">
        <f>VLOOKUP(H3102,[1]products!$B:$D,3,0)</f>
        <v>1</v>
      </c>
      <c r="J3102" t="str">
        <f>VLOOKUP(I3102,[2]categories!$A$2:$B$8,2,0)</f>
        <v>Children Bicycles</v>
      </c>
    </row>
    <row r="3103" spans="1:10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 s="1">
        <f t="shared" si="48"/>
        <v>2699.982</v>
      </c>
      <c r="H3103" t="str">
        <f>VLOOKUP(C3103,[1]products!$A:$B,2,0)</f>
        <v>Trek Emonda S 4 - 2017</v>
      </c>
      <c r="I3103">
        <f>VLOOKUP(H3103,[1]products!$B:$D,3,0)</f>
        <v>7</v>
      </c>
      <c r="J3103" t="str">
        <f>VLOOKUP(I3103,[2]categories!$A$2:$B$8,2,0)</f>
        <v>Road Bikes</v>
      </c>
    </row>
    <row r="3104" spans="1:10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 s="1">
        <f t="shared" si="48"/>
        <v>894.881</v>
      </c>
      <c r="H3104" t="str">
        <f>VLOOKUP(C3104,[1]products!$A:$B,2,0)</f>
        <v>Sun Bicycles Drifter 7 - Women's - 2017</v>
      </c>
      <c r="I3104">
        <f>VLOOKUP(H3104,[1]products!$B:$D,3,0)</f>
        <v>2</v>
      </c>
      <c r="J3104" t="str">
        <f>VLOOKUP(I3104,[2]categories!$A$2:$B$8,2,0)</f>
        <v>Comfort Bicycles</v>
      </c>
    </row>
    <row r="3105" spans="1:10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 s="1">
        <f t="shared" si="48"/>
        <v>269.991</v>
      </c>
      <c r="H3105" t="str">
        <f>VLOOKUP(C3105,[1]products!$A:$B,2,0)</f>
        <v>Electra Girl's Hawaii 1 16" - 2017</v>
      </c>
      <c r="I3105">
        <f>VLOOKUP(H3105,[1]products!$B:$D,3,0)</f>
        <v>3</v>
      </c>
      <c r="J3105" t="str">
        <f>VLOOKUP(I3105,[2]categories!$A$2:$B$8,2,0)</f>
        <v>Cruisers Bicycles</v>
      </c>
    </row>
    <row r="3106" spans="1:10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0.07</v>
      </c>
      <c r="G3106" s="1">
        <f t="shared" si="48"/>
        <v>455.6907</v>
      </c>
      <c r="H3106" t="str">
        <f>VLOOKUP(C3106,[1]products!$A:$B,2,0)</f>
        <v>Electra Townie Original 7D - 2017</v>
      </c>
      <c r="I3106">
        <f>VLOOKUP(H3106,[1]products!$B:$D,3,0)</f>
        <v>3</v>
      </c>
      <c r="J3106" t="str">
        <f>VLOOKUP(I3106,[2]categories!$A$2:$B$8,2,0)</f>
        <v>Cruisers Bicycles</v>
      </c>
    </row>
    <row r="3107" spans="1:10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0.07</v>
      </c>
      <c r="G3107" s="1">
        <f t="shared" si="48"/>
        <v>1394.9814</v>
      </c>
      <c r="H3107" t="str">
        <f>VLOOKUP(C3107,[1]products!$A:$B,2,0)</f>
        <v>Sun Bicycles Brickell Tandem 7 - 2017</v>
      </c>
      <c r="I3107">
        <f>VLOOKUP(H3107,[1]products!$B:$D,3,0)</f>
        <v>3</v>
      </c>
      <c r="J3107" t="str">
        <f>VLOOKUP(I3107,[2]categories!$A$2:$B$8,2,0)</f>
        <v>Cruisers Bicycles</v>
      </c>
    </row>
    <row r="3108" spans="1:10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 s="1">
        <f t="shared" si="48"/>
        <v>2963.981</v>
      </c>
      <c r="H3108" t="str">
        <f>VLOOKUP(C3108,[1]products!$A:$B,2,0)</f>
        <v>Sun Bicycles ElectroLite - 2017</v>
      </c>
      <c r="I3108">
        <f>VLOOKUP(H3108,[1]products!$B:$D,3,0)</f>
        <v>5</v>
      </c>
      <c r="J3108" t="str">
        <f>VLOOKUP(I3108,[2]categories!$A$2:$B$8,2,0)</f>
        <v>Electric Bikes</v>
      </c>
    </row>
    <row r="3109" spans="1:10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0.07</v>
      </c>
      <c r="G3109" s="1">
        <f t="shared" si="48"/>
        <v>557.9814</v>
      </c>
      <c r="H3109" t="str">
        <f>VLOOKUP(C3109,[1]products!$A:$B,2,0)</f>
        <v>Electra Girl's Hawaii 1 16" - 2017</v>
      </c>
      <c r="I3109">
        <f>VLOOKUP(H3109,[1]products!$B:$D,3,0)</f>
        <v>3</v>
      </c>
      <c r="J3109" t="str">
        <f>VLOOKUP(I3109,[2]categories!$A$2:$B$8,2,0)</f>
        <v>Cruisers Bicycles</v>
      </c>
    </row>
    <row r="3110" spans="1:10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 s="1">
        <f t="shared" si="48"/>
        <v>2495.984</v>
      </c>
      <c r="H3110" t="str">
        <f>VLOOKUP(C3110,[1]products!$A:$B,2,0)</f>
        <v>Sun Bicycles ElectroLite - 2017</v>
      </c>
      <c r="I3110">
        <f>VLOOKUP(H3110,[1]products!$B:$D,3,0)</f>
        <v>5</v>
      </c>
      <c r="J3110" t="str">
        <f>VLOOKUP(I3110,[2]categories!$A$2:$B$8,2,0)</f>
        <v>Electric Bikes</v>
      </c>
    </row>
    <row r="3111" spans="1:10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0.07</v>
      </c>
      <c r="G3111" s="1">
        <f t="shared" si="48"/>
        <v>492.8907</v>
      </c>
      <c r="H3111" t="str">
        <f>VLOOKUP(C3111,[1]products!$A:$B,2,0)</f>
        <v>Electra Moto 1 - 2016</v>
      </c>
      <c r="I3111">
        <f>VLOOKUP(H3111,[1]products!$B:$D,3,0)</f>
        <v>3</v>
      </c>
      <c r="J3111" t="str">
        <f>VLOOKUP(I3111,[2]categories!$A$2:$B$8,2,0)</f>
        <v>Cruisers Bicycles</v>
      </c>
    </row>
    <row r="3112" spans="1:10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 s="1">
        <f t="shared" si="48"/>
        <v>2788.2</v>
      </c>
      <c r="H3112" t="str">
        <f>VLOOKUP(C3112,[1]products!$A:$B,2,0)</f>
        <v>Surly Straggler - 2016</v>
      </c>
      <c r="I3112">
        <f>VLOOKUP(H3112,[1]products!$B:$D,3,0)</f>
        <v>4</v>
      </c>
      <c r="J3112" t="str">
        <f>VLOOKUP(I3112,[2]categories!$A$2:$B$8,2,0)</f>
        <v>Cyclocross Bicycles</v>
      </c>
    </row>
    <row r="3113" spans="1:10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 s="1">
        <f t="shared" si="48"/>
        <v>991.984</v>
      </c>
      <c r="H3113" t="str">
        <f>VLOOKUP(C3113,[1]products!$A:$B,2,0)</f>
        <v>Sun Bicycles Biscayne Tandem 7 - 2017</v>
      </c>
      <c r="I3113">
        <f>VLOOKUP(H3113,[1]products!$B:$D,3,0)</f>
        <v>3</v>
      </c>
      <c r="J3113" t="str">
        <f>VLOOKUP(I3113,[2]categories!$A$2:$B$8,2,0)</f>
        <v>Cruisers Bicycles</v>
      </c>
    </row>
    <row r="3114" spans="1:10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0.07</v>
      </c>
      <c r="G3114" s="1">
        <f t="shared" si="48"/>
        <v>1227.5814</v>
      </c>
      <c r="H3114" t="str">
        <f>VLOOKUP(C3114,[1]products!$A:$B,2,0)</f>
        <v>Electra Amsterdam Original 3i - 2015/2017</v>
      </c>
      <c r="I3114">
        <f>VLOOKUP(H3114,[1]products!$B:$D,3,0)</f>
        <v>3</v>
      </c>
      <c r="J3114" t="str">
        <f>VLOOKUP(I3114,[2]categories!$A$2:$B$8,2,0)</f>
        <v>Cruisers Bicycles</v>
      </c>
    </row>
    <row r="3115" spans="1:10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 s="1">
        <f t="shared" si="48"/>
        <v>1306.392</v>
      </c>
      <c r="H3115" t="str">
        <f>VLOOKUP(C3115,[1]products!$A:$B,2,0)</f>
        <v>Surly Wednesday - 2017</v>
      </c>
      <c r="I3115">
        <f>VLOOKUP(H3115,[1]products!$B:$D,3,0)</f>
        <v>6</v>
      </c>
      <c r="J3115" t="str">
        <f>VLOOKUP(I3115,[2]categories!$A$2:$B$8,2,0)</f>
        <v>Mountain Bikes</v>
      </c>
    </row>
    <row r="3116" spans="1:10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 s="1">
        <f t="shared" si="48"/>
        <v>4499.991</v>
      </c>
      <c r="H3116" t="str">
        <f>VLOOKUP(C3116,[1]products!$A:$B,2,0)</f>
        <v>Trek Fuel EX 9.8 29 - 2017</v>
      </c>
      <c r="I3116">
        <f>VLOOKUP(H3116,[1]products!$B:$D,3,0)</f>
        <v>6</v>
      </c>
      <c r="J3116" t="str">
        <f>VLOOKUP(I3116,[2]categories!$A$2:$B$8,2,0)</f>
        <v>Mountain Bikes</v>
      </c>
    </row>
    <row r="3117" spans="1:10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 s="1">
        <f t="shared" si="48"/>
        <v>5699.9905</v>
      </c>
      <c r="H3117" t="str">
        <f>VLOOKUP(C3117,[1]products!$A:$B,2,0)</f>
        <v>Trek Silque SLR 7 Women's - 2017</v>
      </c>
      <c r="I3117">
        <f>VLOOKUP(H3117,[1]products!$B:$D,3,0)</f>
        <v>7</v>
      </c>
      <c r="J3117" t="str">
        <f>VLOOKUP(I3117,[2]categories!$A$2:$B$8,2,0)</f>
        <v>Road Bikes</v>
      </c>
    </row>
    <row r="3118" spans="1:10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 s="1">
        <f t="shared" si="48"/>
        <v>751.984</v>
      </c>
      <c r="H3118" t="str">
        <f>VLOOKUP(C3118,[1]products!$A:$B,2,0)</f>
        <v>Trek Farley Alloy Frameset - 2017</v>
      </c>
      <c r="I3118">
        <f>VLOOKUP(H3118,[1]products!$B:$D,3,0)</f>
        <v>6</v>
      </c>
      <c r="J3118" t="str">
        <f>VLOOKUP(I3118,[2]categories!$A$2:$B$8,2,0)</f>
        <v>Mountain Bikes</v>
      </c>
    </row>
    <row r="3119" spans="1:10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 s="1">
        <f t="shared" si="48"/>
        <v>142.4905</v>
      </c>
      <c r="H3119" t="str">
        <f>VLOOKUP(C3119,[1]products!$A:$B,2,0)</f>
        <v>Trek Girl's Kickster - 2017</v>
      </c>
      <c r="I3119">
        <f>VLOOKUP(H3119,[1]products!$B:$D,3,0)</f>
        <v>1</v>
      </c>
      <c r="J3119" t="str">
        <f>VLOOKUP(I3119,[2]categories!$A$2:$B$8,2,0)</f>
        <v>Children Bicycles</v>
      </c>
    </row>
    <row r="3120" spans="1:10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 s="1">
        <f t="shared" si="48"/>
        <v>1576.782</v>
      </c>
      <c r="H3120" t="str">
        <f>VLOOKUP(C3120,[1]products!$A:$B,2,0)</f>
        <v>Surly Steamroller - 2017</v>
      </c>
      <c r="I3120">
        <f>VLOOKUP(H3120,[1]products!$B:$D,3,0)</f>
        <v>7</v>
      </c>
      <c r="J3120" t="str">
        <f>VLOOKUP(I3120,[2]categories!$A$2:$B$8,2,0)</f>
        <v>Road Bikes</v>
      </c>
    </row>
    <row r="3121" spans="1:10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 s="1">
        <f t="shared" si="48"/>
        <v>1599.984</v>
      </c>
      <c r="H3121" t="str">
        <f>VLOOKUP(C3121,[1]products!$A:$B,2,0)</f>
        <v>Trek X-Caliber 8 - 2017</v>
      </c>
      <c r="I3121">
        <f>VLOOKUP(H3121,[1]products!$B:$D,3,0)</f>
        <v>6</v>
      </c>
      <c r="J3121" t="str">
        <f>VLOOKUP(I3121,[2]categories!$A$2:$B$8,2,0)</f>
        <v>Mountain Bikes</v>
      </c>
    </row>
    <row r="3122" spans="1:10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 s="1">
        <f t="shared" si="48"/>
        <v>555.184</v>
      </c>
      <c r="H3122" t="str">
        <f>VLOOKUP(C3122,[1]products!$A:$B,2,0)</f>
        <v>Sun Bicycles Lil Bolt Type-R - 2017</v>
      </c>
      <c r="I3122">
        <f>VLOOKUP(H3122,[1]products!$B:$D,3,0)</f>
        <v>3</v>
      </c>
      <c r="J3122" t="str">
        <f>VLOOKUP(I3122,[2]categories!$A$2:$B$8,2,0)</f>
        <v>Cruisers Bicycles</v>
      </c>
    </row>
    <row r="3123" spans="1:10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 s="1">
        <f t="shared" si="48"/>
        <v>1439.982</v>
      </c>
      <c r="H3123" t="str">
        <f>VLOOKUP(C3123,[1]products!$A:$B,2,0)</f>
        <v>Electra Glam Punk 3i Ladies' - 2017</v>
      </c>
      <c r="I3123">
        <f>VLOOKUP(H3123,[1]products!$B:$D,3,0)</f>
        <v>3</v>
      </c>
      <c r="J3123" t="str">
        <f>VLOOKUP(I3123,[2]categories!$A$2:$B$8,2,0)</f>
        <v>Cruisers Bicycles</v>
      </c>
    </row>
    <row r="3124" spans="1:10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0.07</v>
      </c>
      <c r="G3124" s="1">
        <f t="shared" si="48"/>
        <v>4649.9907</v>
      </c>
      <c r="H3124" t="str">
        <f>VLOOKUP(C3124,[1]products!$A:$B,2,0)</f>
        <v>Trek Powerfly 8 FS Plus - 2017</v>
      </c>
      <c r="I3124">
        <f>VLOOKUP(H3124,[1]products!$B:$D,3,0)</f>
        <v>5</v>
      </c>
      <c r="J3124" t="str">
        <f>VLOOKUP(I3124,[2]categories!$A$2:$B$8,2,0)</f>
        <v>Electric Bikes</v>
      </c>
    </row>
    <row r="3125" spans="1:10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 s="1">
        <f t="shared" si="48"/>
        <v>375.992</v>
      </c>
      <c r="H3125" t="str">
        <f>VLOOKUP(C3125,[1]products!$A:$B,2,0)</f>
        <v>Surly Wednesday Frameset - 2017</v>
      </c>
      <c r="I3125">
        <f>VLOOKUP(H3125,[1]products!$B:$D,3,0)</f>
        <v>6</v>
      </c>
      <c r="J3125" t="str">
        <f>VLOOKUP(I3125,[2]categories!$A$2:$B$8,2,0)</f>
        <v>Mountain Bikes</v>
      </c>
    </row>
    <row r="3126" spans="1:10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 s="1">
        <f t="shared" si="48"/>
        <v>949.9905</v>
      </c>
      <c r="H3126" t="str">
        <f>VLOOKUP(C3126,[1]products!$A:$B,2,0)</f>
        <v>Surly Ice Cream Truck Frameset - 2017</v>
      </c>
      <c r="I3126">
        <f>VLOOKUP(H3126,[1]products!$B:$D,3,0)</f>
        <v>6</v>
      </c>
      <c r="J3126" t="str">
        <f>VLOOKUP(I3126,[2]categories!$A$2:$B$8,2,0)</f>
        <v>Mountain Bikes</v>
      </c>
    </row>
    <row r="3127" spans="1:10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 s="1">
        <f t="shared" si="48"/>
        <v>626.9905</v>
      </c>
      <c r="H3127" t="str">
        <f>VLOOKUP(C3127,[1]products!$A:$B,2,0)</f>
        <v>Electra Amsterdam Original 3i - 2015/2017</v>
      </c>
      <c r="I3127">
        <f>VLOOKUP(H3127,[1]products!$B:$D,3,0)</f>
        <v>3</v>
      </c>
      <c r="J3127" t="str">
        <f>VLOOKUP(I3127,[2]categories!$A$2:$B$8,2,0)</f>
        <v>Cruisers Bicycles</v>
      </c>
    </row>
    <row r="3128" spans="1:10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 s="1">
        <f t="shared" si="48"/>
        <v>783.984</v>
      </c>
      <c r="H3128" t="str">
        <f>VLOOKUP(C3128,[1]products!$A:$B,2,0)</f>
        <v>Electra Straight 8 3i (20-inch) - Boy's - 2017</v>
      </c>
      <c r="I3128">
        <f>VLOOKUP(H3128,[1]products!$B:$D,3,0)</f>
        <v>1</v>
      </c>
      <c r="J3128" t="str">
        <f>VLOOKUP(I3128,[2]categories!$A$2:$B$8,2,0)</f>
        <v>Children Bicycles</v>
      </c>
    </row>
    <row r="3129" spans="1:10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0.07</v>
      </c>
      <c r="G3129" s="1">
        <f t="shared" si="48"/>
        <v>645.4014</v>
      </c>
      <c r="H3129" t="str">
        <f>VLOOKUP(C3129,[1]products!$A:$B,2,0)</f>
        <v>Sun Bicycles Lil Bolt Type-R - 2017</v>
      </c>
      <c r="I3129">
        <f>VLOOKUP(H3129,[1]products!$B:$D,3,0)</f>
        <v>3</v>
      </c>
      <c r="J3129" t="str">
        <f>VLOOKUP(I3129,[2]categories!$A$2:$B$8,2,0)</f>
        <v>Cruisers Bicycles</v>
      </c>
    </row>
    <row r="3130" spans="1:10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 s="1">
        <f t="shared" si="48"/>
        <v>1403.991</v>
      </c>
      <c r="H3130" t="str">
        <f>VLOOKUP(C3130,[1]products!$A:$B,2,0)</f>
        <v>Sun Bicycles ElectroLite - 2017</v>
      </c>
      <c r="I3130">
        <f>VLOOKUP(H3130,[1]products!$B:$D,3,0)</f>
        <v>5</v>
      </c>
      <c r="J3130" t="str">
        <f>VLOOKUP(I3130,[2]categories!$A$2:$B$8,2,0)</f>
        <v>Electric Bikes</v>
      </c>
    </row>
    <row r="3131" spans="1:10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 s="1">
        <f t="shared" si="48"/>
        <v>401.584</v>
      </c>
      <c r="H3131" t="str">
        <f>VLOOKUP(C3131,[1]products!$A:$B,2,0)</f>
        <v>Sun Bicycles Revolutions 24 - 2017</v>
      </c>
      <c r="I3131">
        <f>VLOOKUP(H3131,[1]products!$B:$D,3,0)</f>
        <v>3</v>
      </c>
      <c r="J3131" t="str">
        <f>VLOOKUP(I3131,[2]categories!$A$2:$B$8,2,0)</f>
        <v>Cruisers Bicycles</v>
      </c>
    </row>
    <row r="3132" spans="1:10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 s="1">
        <f t="shared" si="48"/>
        <v>440.991</v>
      </c>
      <c r="H3132" t="str">
        <f>VLOOKUP(C3132,[1]products!$A:$B,2,0)</f>
        <v>Electra Townie Original 7D - 2017</v>
      </c>
      <c r="I3132">
        <f>VLOOKUP(H3132,[1]products!$B:$D,3,0)</f>
        <v>3</v>
      </c>
      <c r="J3132" t="str">
        <f>VLOOKUP(I3132,[2]categories!$A$2:$B$8,2,0)</f>
        <v>Cruisers Bicycles</v>
      </c>
    </row>
    <row r="3133" spans="1:10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 s="1">
        <f t="shared" si="48"/>
        <v>395.991</v>
      </c>
      <c r="H3133" t="str">
        <f>VLOOKUP(C3133,[1]products!$A:$B,2,0)</f>
        <v>Electra Cruiser Lux 1 - 2017</v>
      </c>
      <c r="I3133">
        <f>VLOOKUP(H3133,[1]products!$B:$D,3,0)</f>
        <v>3</v>
      </c>
      <c r="J3133" t="str">
        <f>VLOOKUP(I3133,[2]categories!$A$2:$B$8,2,0)</f>
        <v>Cruisers Bicycles</v>
      </c>
    </row>
    <row r="3134" spans="1:10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0.07</v>
      </c>
      <c r="G3134" s="1">
        <f t="shared" si="48"/>
        <v>418.4907</v>
      </c>
      <c r="H3134" t="str">
        <f>VLOOKUP(C3134,[1]products!$A:$B,2,0)</f>
        <v>Sun Bicycles Cruz 3 - Women's - 2017</v>
      </c>
      <c r="I3134">
        <f>VLOOKUP(H3134,[1]products!$B:$D,3,0)</f>
        <v>2</v>
      </c>
      <c r="J3134" t="str">
        <f>VLOOKUP(I3134,[2]categories!$A$2:$B$8,2,0)</f>
        <v>Comfort Bicycles</v>
      </c>
    </row>
    <row r="3135" spans="1:10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 s="1">
        <f t="shared" si="48"/>
        <v>225.891</v>
      </c>
      <c r="H3135" t="str">
        <f>VLOOKUP(C3135,[1]products!$A:$B,2,0)</f>
        <v>Sun Bicycles Revolutions 24 - Girl's - 2017</v>
      </c>
      <c r="I3135">
        <f>VLOOKUP(H3135,[1]products!$B:$D,3,0)</f>
        <v>3</v>
      </c>
      <c r="J3135" t="str">
        <f>VLOOKUP(I3135,[2]categories!$A$2:$B$8,2,0)</f>
        <v>Cruisers Bicycles</v>
      </c>
    </row>
    <row r="3136" spans="1:10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 s="1">
        <f t="shared" si="48"/>
        <v>2089.981</v>
      </c>
      <c r="H3136" t="str">
        <f>VLOOKUP(C3136,[1]products!$A:$B,2,0)</f>
        <v>Electra Amsterdam Fashion 7i Ladies' - 2017</v>
      </c>
      <c r="I3136">
        <f>VLOOKUP(H3136,[1]products!$B:$D,3,0)</f>
        <v>3</v>
      </c>
      <c r="J3136" t="str">
        <f>VLOOKUP(I3136,[2]categories!$A$2:$B$8,2,0)</f>
        <v>Cruisers Bicycles</v>
      </c>
    </row>
    <row r="3137" spans="1:10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0.07</v>
      </c>
      <c r="G3137" s="1">
        <f t="shared" si="48"/>
        <v>2881.14</v>
      </c>
      <c r="H3137" t="str">
        <f>VLOOKUP(C3137,[1]products!$A:$B,2,0)</f>
        <v>Surly Straggler - 2016</v>
      </c>
      <c r="I3137">
        <f>VLOOKUP(H3137,[1]products!$B:$D,3,0)</f>
        <v>4</v>
      </c>
      <c r="J3137" t="str">
        <f>VLOOKUP(I3137,[2]categories!$A$2:$B$8,2,0)</f>
        <v>Cyclocross Bicycles</v>
      </c>
    </row>
    <row r="3138" spans="1:10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 s="1">
        <f t="shared" ref="G3138:G3201" si="49">D3138*E3138*(1-F3138)</f>
        <v>1056.792</v>
      </c>
      <c r="H3138" t="str">
        <f>VLOOKUP(C3138,[1]products!$A:$B,2,0)</f>
        <v>Heller Shagamaw Frame - 2016</v>
      </c>
      <c r="I3138">
        <f>VLOOKUP(H3138,[1]products!$B:$D,3,0)</f>
        <v>6</v>
      </c>
      <c r="J3138" t="str">
        <f>VLOOKUP(I3138,[2]categories!$A$2:$B$8,2,0)</f>
        <v>Mountain Bikes</v>
      </c>
    </row>
    <row r="3139" spans="1:10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0.07</v>
      </c>
      <c r="G3139" s="1">
        <f t="shared" si="49"/>
        <v>492.8907</v>
      </c>
      <c r="H3139" t="str">
        <f>VLOOKUP(C3139,[1]products!$A:$B,2,0)</f>
        <v>Electra Moto 1 - 2016</v>
      </c>
      <c r="I3139">
        <f>VLOOKUP(H3139,[1]products!$B:$D,3,0)</f>
        <v>3</v>
      </c>
      <c r="J3139" t="str">
        <f>VLOOKUP(I3139,[2]categories!$A$2:$B$8,2,0)</f>
        <v>Cruisers Bicycles</v>
      </c>
    </row>
    <row r="3140" spans="1:10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0.07</v>
      </c>
      <c r="G3140" s="1">
        <f t="shared" si="49"/>
        <v>911.3814</v>
      </c>
      <c r="H3140" t="str">
        <f>VLOOKUP(C3140,[1]products!$A:$B,2,0)</f>
        <v>Electra Townie Original 7D - 2017</v>
      </c>
      <c r="I3140">
        <f>VLOOKUP(H3140,[1]products!$B:$D,3,0)</f>
        <v>3</v>
      </c>
      <c r="J3140" t="str">
        <f>VLOOKUP(I3140,[2]categories!$A$2:$B$8,2,0)</f>
        <v>Cruisers Bicycles</v>
      </c>
    </row>
    <row r="3141" spans="1:10">
      <c r="A3141">
        <v>1087</v>
      </c>
      <c r="B3141">
        <v>3</v>
      </c>
      <c r="C3141">
        <v>59</v>
      </c>
      <c r="D3141">
        <v>2</v>
      </c>
      <c r="E3141">
        <v>2599.99</v>
      </c>
      <c r="F3141">
        <v>0.1</v>
      </c>
      <c r="G3141" s="1">
        <f t="shared" si="49"/>
        <v>4679.982</v>
      </c>
      <c r="H3141" t="str">
        <f>VLOOKUP(C3141,[1]products!$A:$B,2,0)</f>
        <v>Trek Domane S 5 Disc - 2017</v>
      </c>
      <c r="I3141">
        <f>VLOOKUP(H3141,[1]products!$B:$D,3,0)</f>
        <v>7</v>
      </c>
      <c r="J3141" t="str">
        <f>VLOOKUP(I3141,[2]categories!$A$2:$B$8,2,0)</f>
        <v>Road Bikes</v>
      </c>
    </row>
    <row r="3142" spans="1:10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0.07</v>
      </c>
      <c r="G3142" s="1">
        <f t="shared" si="49"/>
        <v>502.1814</v>
      </c>
      <c r="H3142" t="str">
        <f>VLOOKUP(C3142,[1]products!$A:$B,2,0)</f>
        <v>Electra Cruiser 1 (24-Inch) - 2016</v>
      </c>
      <c r="I3142">
        <f>VLOOKUP(H3142,[1]products!$B:$D,3,0)</f>
        <v>3</v>
      </c>
      <c r="J3142" t="str">
        <f>VLOOKUP(I3142,[2]categories!$A$2:$B$8,2,0)</f>
        <v>Cruisers Bicycles</v>
      </c>
    </row>
    <row r="3143" spans="1:10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 s="1">
        <f t="shared" si="49"/>
        <v>667.184</v>
      </c>
      <c r="H3143" t="str">
        <f>VLOOKUP(C3143,[1]products!$A:$B,2,0)</f>
        <v>Sun Bicycles Cruz 7 - Women's - 2017</v>
      </c>
      <c r="I3143">
        <f>VLOOKUP(H3143,[1]products!$B:$D,3,0)</f>
        <v>2</v>
      </c>
      <c r="J3143" t="str">
        <f>VLOOKUP(I3143,[2]categories!$A$2:$B$8,2,0)</f>
        <v>Comfort Bicycles</v>
      </c>
    </row>
    <row r="3144" spans="1:10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 s="1">
        <f t="shared" si="49"/>
        <v>440.991</v>
      </c>
      <c r="H3144" t="str">
        <f>VLOOKUP(C3144,[1]products!$A:$B,2,0)</f>
        <v>Electra Townie Original 7D - 2017</v>
      </c>
      <c r="I3144">
        <f>VLOOKUP(H3144,[1]products!$B:$D,3,0)</f>
        <v>3</v>
      </c>
      <c r="J3144" t="str">
        <f>VLOOKUP(I3144,[2]categories!$A$2:$B$8,2,0)</f>
        <v>Cruisers Bicycles</v>
      </c>
    </row>
    <row r="3145" spans="1:10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 s="1">
        <f t="shared" si="49"/>
        <v>899.991</v>
      </c>
      <c r="H3145" t="str">
        <f>VLOOKUP(C3145,[1]products!$A:$B,2,0)</f>
        <v>Surly Ice Cream Truck Frameset - 2017</v>
      </c>
      <c r="I3145">
        <f>VLOOKUP(H3145,[1]products!$B:$D,3,0)</f>
        <v>6</v>
      </c>
      <c r="J3145" t="str">
        <f>VLOOKUP(I3145,[2]categories!$A$2:$B$8,2,0)</f>
        <v>Mountain Bikes</v>
      </c>
    </row>
    <row r="3146" spans="1:10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0.07</v>
      </c>
      <c r="G3146" s="1">
        <f t="shared" si="49"/>
        <v>437.0907</v>
      </c>
      <c r="H3146" t="str">
        <f>VLOOKUP(C3146,[1]products!$A:$B,2,0)</f>
        <v>Surly Wednesday Frameset - 2017</v>
      </c>
      <c r="I3146">
        <f>VLOOKUP(H3146,[1]products!$B:$D,3,0)</f>
        <v>6</v>
      </c>
      <c r="J3146" t="str">
        <f>VLOOKUP(I3146,[2]categories!$A$2:$B$8,2,0)</f>
        <v>Mountain Bikes</v>
      </c>
    </row>
    <row r="3147" spans="1:10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 s="1">
        <f t="shared" si="49"/>
        <v>1332.784</v>
      </c>
      <c r="H3147" t="str">
        <f>VLOOKUP(C3147,[1]products!$A:$B,2,0)</f>
        <v>Surly Troll Frameset - 2017</v>
      </c>
      <c r="I3147">
        <f>VLOOKUP(H3147,[1]products!$B:$D,3,0)</f>
        <v>6</v>
      </c>
      <c r="J3147" t="str">
        <f>VLOOKUP(I3147,[2]categories!$A$2:$B$8,2,0)</f>
        <v>Mountain Bikes</v>
      </c>
    </row>
    <row r="3148" spans="1:10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0.07</v>
      </c>
      <c r="G3148" s="1">
        <f t="shared" si="49"/>
        <v>1227.5814</v>
      </c>
      <c r="H3148" t="str">
        <f>VLOOKUP(C3148,[1]products!$A:$B,2,0)</f>
        <v>Electra Amsterdam Original 3i - 2015/2017</v>
      </c>
      <c r="I3148">
        <f>VLOOKUP(H3148,[1]products!$B:$D,3,0)</f>
        <v>3</v>
      </c>
      <c r="J3148" t="str">
        <f>VLOOKUP(I3148,[2]categories!$A$2:$B$8,2,0)</f>
        <v>Cruisers Bicycles</v>
      </c>
    </row>
    <row r="3149" spans="1:10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 s="1">
        <f t="shared" si="49"/>
        <v>1899.981</v>
      </c>
      <c r="H3149" t="str">
        <f>VLOOKUP(C3149,[1]products!$A:$B,2,0)</f>
        <v>Surly Ice Cream Truck Frameset - 2017</v>
      </c>
      <c r="I3149">
        <f>VLOOKUP(H3149,[1]products!$B:$D,3,0)</f>
        <v>6</v>
      </c>
      <c r="J3149" t="str">
        <f>VLOOKUP(I3149,[2]categories!$A$2:$B$8,2,0)</f>
        <v>Mountain Bikes</v>
      </c>
    </row>
    <row r="3150" spans="1:10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 s="1">
        <f t="shared" si="49"/>
        <v>351.992</v>
      </c>
      <c r="H3150" t="str">
        <f>VLOOKUP(C3150,[1]products!$A:$B,2,0)</f>
        <v>Electra Cruiser Lux 1 - 2017</v>
      </c>
      <c r="I3150">
        <f>VLOOKUP(H3150,[1]products!$B:$D,3,0)</f>
        <v>3</v>
      </c>
      <c r="J3150" t="str">
        <f>VLOOKUP(I3150,[2]categories!$A$2:$B$8,2,0)</f>
        <v>Cruisers Bicycles</v>
      </c>
    </row>
    <row r="3151" spans="1:10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 s="1">
        <f t="shared" si="49"/>
        <v>332.4905</v>
      </c>
      <c r="H3151" t="str">
        <f>VLOOKUP(C3151,[1]products!$A:$B,2,0)</f>
        <v>Electra Savannah 3i (20-inch) - Girl's - 2017</v>
      </c>
      <c r="I3151">
        <f>VLOOKUP(H3151,[1]products!$B:$D,3,0)</f>
        <v>1</v>
      </c>
      <c r="J3151" t="str">
        <f>VLOOKUP(I3151,[2]categories!$A$2:$B$8,2,0)</f>
        <v>Children Bicycles</v>
      </c>
    </row>
    <row r="3152" spans="1:10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 s="1">
        <f t="shared" si="49"/>
        <v>4949.991</v>
      </c>
      <c r="H3152" t="str">
        <f>VLOOKUP(C3152,[1]products!$A:$B,2,0)</f>
        <v>Trek Domane SLR 6 Disc - 2017</v>
      </c>
      <c r="I3152">
        <f>VLOOKUP(H3152,[1]products!$B:$D,3,0)</f>
        <v>7</v>
      </c>
      <c r="J3152" t="str">
        <f>VLOOKUP(I3152,[2]categories!$A$2:$B$8,2,0)</f>
        <v>Road Bikes</v>
      </c>
    </row>
    <row r="3153" spans="1:10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 s="1">
        <f t="shared" si="49"/>
        <v>404.1</v>
      </c>
      <c r="H3153" t="str">
        <f>VLOOKUP(C3153,[1]products!$A:$B,2,0)</f>
        <v>Pure Cycles William 3-Speed - 2016</v>
      </c>
      <c r="I3153">
        <f>VLOOKUP(H3153,[1]products!$B:$D,3,0)</f>
        <v>3</v>
      </c>
      <c r="J3153" t="str">
        <f>VLOOKUP(I3153,[2]categories!$A$2:$B$8,2,0)</f>
        <v>Cruisers Bicycles</v>
      </c>
    </row>
    <row r="3154" spans="1:10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 s="1">
        <f t="shared" si="49"/>
        <v>446.4905</v>
      </c>
      <c r="H3154" t="str">
        <f>VLOOKUP(C3154,[1]products!$A:$B,2,0)</f>
        <v>Trek Session DH 27.5 Carbon Frameset - 2017</v>
      </c>
      <c r="I3154">
        <f>VLOOKUP(H3154,[1]products!$B:$D,3,0)</f>
        <v>6</v>
      </c>
      <c r="J3154" t="str">
        <f>VLOOKUP(I3154,[2]categories!$A$2:$B$8,2,0)</f>
        <v>Mountain Bikes</v>
      </c>
    </row>
    <row r="3155" spans="1:10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0.07</v>
      </c>
      <c r="G3155" s="1">
        <f t="shared" si="49"/>
        <v>1859.9814</v>
      </c>
      <c r="H3155" t="str">
        <f>VLOOKUP(C3155,[1]products!$A:$B,2,0)</f>
        <v>Surly Ice Cream Truck Frameset - 2017</v>
      </c>
      <c r="I3155">
        <f>VLOOKUP(H3155,[1]products!$B:$D,3,0)</f>
        <v>6</v>
      </c>
      <c r="J3155" t="str">
        <f>VLOOKUP(I3155,[2]categories!$A$2:$B$8,2,0)</f>
        <v>Mountain Bikes</v>
      </c>
    </row>
    <row r="3156" spans="1:10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 s="1">
        <f t="shared" si="49"/>
        <v>1349.982</v>
      </c>
      <c r="H3156" t="str">
        <f>VLOOKUP(C3156,[1]products!$A:$B,2,0)</f>
        <v>Ritchey Timberwolf Frameset - 2016</v>
      </c>
      <c r="I3156">
        <f>VLOOKUP(H3156,[1]products!$B:$D,3,0)</f>
        <v>6</v>
      </c>
      <c r="J3156" t="str">
        <f>VLOOKUP(I3156,[2]categories!$A$2:$B$8,2,0)</f>
        <v>Mountain Bikes</v>
      </c>
    </row>
    <row r="3157" spans="1:10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 s="1">
        <f t="shared" si="49"/>
        <v>359.2</v>
      </c>
      <c r="H3157" t="str">
        <f>VLOOKUP(C3157,[1]products!$A:$B,2,0)</f>
        <v>Pure Cycles Western 3-Speed - Women's - 2015/2016</v>
      </c>
      <c r="I3157">
        <f>VLOOKUP(H3157,[1]products!$B:$D,3,0)</f>
        <v>3</v>
      </c>
      <c r="J3157" t="str">
        <f>VLOOKUP(I3157,[2]categories!$A$2:$B$8,2,0)</f>
        <v>Cruisers Bicycles</v>
      </c>
    </row>
    <row r="3158" spans="1:10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0.07</v>
      </c>
      <c r="G3158" s="1">
        <f t="shared" si="49"/>
        <v>1618.1814</v>
      </c>
      <c r="H3158" t="str">
        <f>VLOOKUP(C3158,[1]products!$A:$B,2,0)</f>
        <v>Haro SR 1.2 - 2017</v>
      </c>
      <c r="I3158">
        <f>VLOOKUP(H3158,[1]products!$B:$D,3,0)</f>
        <v>6</v>
      </c>
      <c r="J3158" t="str">
        <f>VLOOKUP(I3158,[2]categories!$A$2:$B$8,2,0)</f>
        <v>Mountain Bikes</v>
      </c>
    </row>
    <row r="3159" spans="1:10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 s="1">
        <f t="shared" si="49"/>
        <v>772.2</v>
      </c>
      <c r="H3159" t="str">
        <f>VLOOKUP(C3159,[1]products!$A:$B,2,0)</f>
        <v>Pure Cycles Vine 8-Speed - 2016</v>
      </c>
      <c r="I3159">
        <f>VLOOKUP(H3159,[1]products!$B:$D,3,0)</f>
        <v>3</v>
      </c>
      <c r="J3159" t="str">
        <f>VLOOKUP(I3159,[2]categories!$A$2:$B$8,2,0)</f>
        <v>Cruisers Bicycles</v>
      </c>
    </row>
    <row r="3160" spans="1:10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 s="1">
        <f t="shared" si="49"/>
        <v>377.982</v>
      </c>
      <c r="H3160" t="str">
        <f>VLOOKUP(C3160,[1]products!$A:$B,2,0)</f>
        <v>Trek Precaliber 16 Girls - 2017</v>
      </c>
      <c r="I3160">
        <f>VLOOKUP(H3160,[1]products!$B:$D,3,0)</f>
        <v>1</v>
      </c>
      <c r="J3160" t="str">
        <f>VLOOKUP(I3160,[2]categories!$A$2:$B$8,2,0)</f>
        <v>Children Bicycles</v>
      </c>
    </row>
    <row r="3161" spans="1:10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 s="1">
        <f t="shared" si="49"/>
        <v>375.291</v>
      </c>
      <c r="H3161" t="str">
        <f>VLOOKUP(C3161,[1]products!$A:$B,2,0)</f>
        <v>Sun Bicycles Atlas X-Type - 2017</v>
      </c>
      <c r="I3161">
        <f>VLOOKUP(H3161,[1]products!$B:$D,3,0)</f>
        <v>3</v>
      </c>
      <c r="J3161" t="str">
        <f>VLOOKUP(I3161,[2]categories!$A$2:$B$8,2,0)</f>
        <v>Cruisers Bicycles</v>
      </c>
    </row>
    <row r="3162" spans="1:10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 s="1">
        <f t="shared" si="49"/>
        <v>1512.891</v>
      </c>
      <c r="H3162" t="str">
        <f>VLOOKUP(C3162,[1]products!$A:$B,2,0)</f>
        <v>Surly Straggler 650b - 2016</v>
      </c>
      <c r="I3162">
        <f>VLOOKUP(H3162,[1]products!$B:$D,3,0)</f>
        <v>4</v>
      </c>
      <c r="J3162" t="str">
        <f>VLOOKUP(I3162,[2]categories!$A$2:$B$8,2,0)</f>
        <v>Cyclocross Bicycles</v>
      </c>
    </row>
    <row r="3163" spans="1:10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 s="1">
        <f t="shared" si="49"/>
        <v>494.991</v>
      </c>
      <c r="H3163" t="str">
        <f>VLOOKUP(C3163,[1]products!$A:$B,2,0)</f>
        <v>Electra Townie Original 21D - 2016</v>
      </c>
      <c r="I3163">
        <f>VLOOKUP(H3163,[1]products!$B:$D,3,0)</f>
        <v>3</v>
      </c>
      <c r="J3163" t="str">
        <f>VLOOKUP(I3163,[2]categories!$A$2:$B$8,2,0)</f>
        <v>Cruisers Bicycles</v>
      </c>
    </row>
    <row r="3164" spans="1:10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 s="1">
        <f t="shared" si="49"/>
        <v>333.592</v>
      </c>
      <c r="H3164" t="str">
        <f>VLOOKUP(C3164,[1]products!$A:$B,2,0)</f>
        <v>Sun Bicycles Cruz 7 - 2017</v>
      </c>
      <c r="I3164">
        <f>VLOOKUP(H3164,[1]products!$B:$D,3,0)</f>
        <v>3</v>
      </c>
      <c r="J3164" t="str">
        <f>VLOOKUP(I3164,[2]categories!$A$2:$B$8,2,0)</f>
        <v>Cruisers Bicycles</v>
      </c>
    </row>
    <row r="3165" spans="1:10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 s="1">
        <f t="shared" si="49"/>
        <v>1231.181</v>
      </c>
      <c r="H3165" t="str">
        <f>VLOOKUP(C3165,[1]products!$A:$B,2,0)</f>
        <v>Sun Bicycles Biscayne Tandem CB - 2017</v>
      </c>
      <c r="I3165">
        <f>VLOOKUP(H3165,[1]products!$B:$D,3,0)</f>
        <v>3</v>
      </c>
      <c r="J3165" t="str">
        <f>VLOOKUP(I3165,[2]categories!$A$2:$B$8,2,0)</f>
        <v>Cruisers Bicycles</v>
      </c>
    </row>
    <row r="3166" spans="1:10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 s="1">
        <f t="shared" si="49"/>
        <v>1599.984</v>
      </c>
      <c r="H3166" t="str">
        <f>VLOOKUP(C3166,[1]products!$A:$B,2,0)</f>
        <v>Surly Wednesday Frameset - 2016</v>
      </c>
      <c r="I3166">
        <f>VLOOKUP(H3166,[1]products!$B:$D,3,0)</f>
        <v>6</v>
      </c>
      <c r="J3166" t="str">
        <f>VLOOKUP(I3166,[2]categories!$A$2:$B$8,2,0)</f>
        <v>Mountain Bikes</v>
      </c>
    </row>
    <row r="3167" spans="1:10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 s="1">
        <f t="shared" si="49"/>
        <v>953.982</v>
      </c>
      <c r="H3167" t="str">
        <f>VLOOKUP(C3167,[1]products!$A:$B,2,0)</f>
        <v>Electra Moto 1 - 2016</v>
      </c>
      <c r="I3167">
        <f>VLOOKUP(H3167,[1]products!$B:$D,3,0)</f>
        <v>3</v>
      </c>
      <c r="J3167" t="str">
        <f>VLOOKUP(I3167,[2]categories!$A$2:$B$8,2,0)</f>
        <v>Cruisers Bicycles</v>
      </c>
    </row>
    <row r="3168" spans="1:10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 s="1">
        <f t="shared" si="49"/>
        <v>1306.392</v>
      </c>
      <c r="H3168" t="str">
        <f>VLOOKUP(C3168,[1]products!$A:$B,2,0)</f>
        <v>Surly Wednesday - 2017</v>
      </c>
      <c r="I3168">
        <f>VLOOKUP(H3168,[1]products!$B:$D,3,0)</f>
        <v>6</v>
      </c>
      <c r="J3168" t="str">
        <f>VLOOKUP(I3168,[2]categories!$A$2:$B$8,2,0)</f>
        <v>Mountain Bikes</v>
      </c>
    </row>
    <row r="3169" spans="1:10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 s="1">
        <f t="shared" si="49"/>
        <v>11399.981</v>
      </c>
      <c r="H3169" t="str">
        <f>VLOOKUP(C3169,[1]products!$A:$B,2,0)</f>
        <v>Trek Silque SLR 7 Women's - 2017</v>
      </c>
      <c r="I3169">
        <f>VLOOKUP(H3169,[1]products!$B:$D,3,0)</f>
        <v>7</v>
      </c>
      <c r="J3169" t="str">
        <f>VLOOKUP(I3169,[2]categories!$A$2:$B$8,2,0)</f>
        <v>Road Bikes</v>
      </c>
    </row>
    <row r="3170" spans="1:10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 s="1">
        <f t="shared" si="49"/>
        <v>1512.891</v>
      </c>
      <c r="H3170" t="str">
        <f>VLOOKUP(C3170,[1]products!$A:$B,2,0)</f>
        <v>Surly Straggler 650b - 2016</v>
      </c>
      <c r="I3170">
        <f>VLOOKUP(H3170,[1]products!$B:$D,3,0)</f>
        <v>4</v>
      </c>
      <c r="J3170" t="str">
        <f>VLOOKUP(I3170,[2]categories!$A$2:$B$8,2,0)</f>
        <v>Cyclocross Bicycles</v>
      </c>
    </row>
    <row r="3171" spans="1:10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 s="1">
        <f t="shared" si="49"/>
        <v>284.9905</v>
      </c>
      <c r="H3171" t="str">
        <f>VLOOKUP(C3171,[1]products!$A:$B,2,0)</f>
        <v>Electra Sugar Skulls 1 (20-inch) - Girl's - 2017</v>
      </c>
      <c r="I3171">
        <f>VLOOKUP(H3171,[1]products!$B:$D,3,0)</f>
        <v>1</v>
      </c>
      <c r="J3171" t="str">
        <f>VLOOKUP(I3171,[2]categories!$A$2:$B$8,2,0)</f>
        <v>Children Bicycles</v>
      </c>
    </row>
    <row r="3172" spans="1:10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0.07</v>
      </c>
      <c r="G3172" s="1">
        <f t="shared" si="49"/>
        <v>836.9814</v>
      </c>
      <c r="H3172" t="str">
        <f>VLOOKUP(C3172,[1]products!$A:$B,2,0)</f>
        <v>Sun Bicycles Cruz 3 - 2017</v>
      </c>
      <c r="I3172">
        <f>VLOOKUP(H3172,[1]products!$B:$D,3,0)</f>
        <v>3</v>
      </c>
      <c r="J3172" t="str">
        <f>VLOOKUP(I3172,[2]categories!$A$2:$B$8,2,0)</f>
        <v>Cruisers Bicycles</v>
      </c>
    </row>
    <row r="3173" spans="1:10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0.07</v>
      </c>
      <c r="G3173" s="1">
        <f t="shared" si="49"/>
        <v>911.3814</v>
      </c>
      <c r="H3173" t="str">
        <f>VLOOKUP(C3173,[1]products!$A:$B,2,0)</f>
        <v>Electra Straight 8 3i (20-inch) - Boy's - 2017</v>
      </c>
      <c r="I3173">
        <f>VLOOKUP(H3173,[1]products!$B:$D,3,0)</f>
        <v>1</v>
      </c>
      <c r="J3173" t="str">
        <f>VLOOKUP(I3173,[2]categories!$A$2:$B$8,2,0)</f>
        <v>Children Bicycles</v>
      </c>
    </row>
    <row r="3174" spans="1:10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 s="1">
        <f t="shared" si="49"/>
        <v>359.2</v>
      </c>
      <c r="H3174" t="str">
        <f>VLOOKUP(C3174,[1]products!$A:$B,2,0)</f>
        <v>Pure Cycles William 3-Speed - 2016</v>
      </c>
      <c r="I3174">
        <f>VLOOKUP(H3174,[1]products!$B:$D,3,0)</f>
        <v>3</v>
      </c>
      <c r="J3174" t="str">
        <f>VLOOKUP(I3174,[2]categories!$A$2:$B$8,2,0)</f>
        <v>Cruisers Bicycles</v>
      </c>
    </row>
    <row r="3175" spans="1:10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 s="1">
        <f t="shared" si="49"/>
        <v>1582.681</v>
      </c>
      <c r="H3175" t="str">
        <f>VLOOKUP(C3175,[1]products!$A:$B,2,0)</f>
        <v>Sun Bicycles Spider 3i - 2017</v>
      </c>
      <c r="I3175">
        <f>VLOOKUP(H3175,[1]products!$B:$D,3,0)</f>
        <v>6</v>
      </c>
      <c r="J3175" t="str">
        <f>VLOOKUP(I3175,[2]categories!$A$2:$B$8,2,0)</f>
        <v>Mountain Bikes</v>
      </c>
    </row>
    <row r="3176" spans="1:10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 s="1">
        <f t="shared" si="49"/>
        <v>170.991</v>
      </c>
      <c r="H3176" t="str">
        <f>VLOOKUP(C3176,[1]products!$A:$B,2,0)</f>
        <v>Trek Precaliber 12 Girls - 2017</v>
      </c>
      <c r="I3176">
        <f>VLOOKUP(H3176,[1]products!$B:$D,3,0)</f>
        <v>1</v>
      </c>
      <c r="J3176" t="str">
        <f>VLOOKUP(I3176,[2]categories!$A$2:$B$8,2,0)</f>
        <v>Children Bicycles</v>
      </c>
    </row>
    <row r="3177" spans="1:10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 s="1">
        <f t="shared" si="49"/>
        <v>440.991</v>
      </c>
      <c r="H3177" t="str">
        <f>VLOOKUP(C3177,[1]products!$A:$B,2,0)</f>
        <v>Electra Townie Original 7D - 2017</v>
      </c>
      <c r="I3177">
        <f>VLOOKUP(H3177,[1]products!$B:$D,3,0)</f>
        <v>3</v>
      </c>
      <c r="J3177" t="str">
        <f>VLOOKUP(I3177,[2]categories!$A$2:$B$8,2,0)</f>
        <v>Cruisers Bicycles</v>
      </c>
    </row>
    <row r="3178" spans="1:10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 s="1">
        <f t="shared" si="49"/>
        <v>512.981</v>
      </c>
      <c r="H3178" t="str">
        <f>VLOOKUP(C3178,[1]products!$A:$B,2,0)</f>
        <v>Electra Cruiser 1 (24-Inch) - 2016</v>
      </c>
      <c r="I3178">
        <f>VLOOKUP(H3178,[1]products!$B:$D,3,0)</f>
        <v>3</v>
      </c>
      <c r="J3178" t="str">
        <f>VLOOKUP(I3178,[2]categories!$A$2:$B$8,2,0)</f>
        <v>Cruisers Bicycles</v>
      </c>
    </row>
    <row r="3179" spans="1:10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0.07</v>
      </c>
      <c r="G3179" s="1">
        <f t="shared" si="49"/>
        <v>1311.2907</v>
      </c>
      <c r="H3179" t="str">
        <f>VLOOKUP(C3179,[1]products!$A:$B,2,0)</f>
        <v>Haro SR 1.3 - 2017</v>
      </c>
      <c r="I3179">
        <f>VLOOKUP(H3179,[1]products!$B:$D,3,0)</f>
        <v>6</v>
      </c>
      <c r="J3179" t="str">
        <f>VLOOKUP(I3179,[2]categories!$A$2:$B$8,2,0)</f>
        <v>Mountain Bikes</v>
      </c>
    </row>
    <row r="3180" spans="1:10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 s="1">
        <f t="shared" si="49"/>
        <v>377.982</v>
      </c>
      <c r="H3180" t="str">
        <f>VLOOKUP(C3180,[1]products!$A:$B,2,0)</f>
        <v>Trek Precaliber 16 Boys - 2017</v>
      </c>
      <c r="I3180">
        <f>VLOOKUP(H3180,[1]products!$B:$D,3,0)</f>
        <v>1</v>
      </c>
      <c r="J3180" t="str">
        <f>VLOOKUP(I3180,[2]categories!$A$2:$B$8,2,0)</f>
        <v>Children Bicycles</v>
      </c>
    </row>
    <row r="3181" spans="1:10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 s="1">
        <f t="shared" si="49"/>
        <v>522.4905</v>
      </c>
      <c r="H3181" t="str">
        <f>VLOOKUP(C3181,[1]products!$A:$B,2,0)</f>
        <v>Electra Townie Original 21D - 2016</v>
      </c>
      <c r="I3181">
        <f>VLOOKUP(H3181,[1]products!$B:$D,3,0)</f>
        <v>3</v>
      </c>
      <c r="J3181" t="str">
        <f>VLOOKUP(I3181,[2]categories!$A$2:$B$8,2,0)</f>
        <v>Cruisers Bicycles</v>
      </c>
    </row>
    <row r="3182" spans="1:10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 s="1">
        <f t="shared" si="49"/>
        <v>5399.982</v>
      </c>
      <c r="H3182" t="str">
        <f>VLOOKUP(C3182,[1]products!$A:$B,2,0)</f>
        <v>Trek Conduit+ - 2016</v>
      </c>
      <c r="I3182">
        <f>VLOOKUP(H3182,[1]products!$B:$D,3,0)</f>
        <v>5</v>
      </c>
      <c r="J3182" t="str">
        <f>VLOOKUP(I3182,[2]categories!$A$2:$B$8,2,0)</f>
        <v>Electric Bikes</v>
      </c>
    </row>
    <row r="3183" spans="1:10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0.07</v>
      </c>
      <c r="G3183" s="1">
        <f t="shared" si="49"/>
        <v>496.6107</v>
      </c>
      <c r="H3183" t="str">
        <f>VLOOKUP(C3183,[1]products!$A:$B,2,0)</f>
        <v>Sun Bicycles Streamway 7 - 2017</v>
      </c>
      <c r="I3183">
        <f>VLOOKUP(H3183,[1]products!$B:$D,3,0)</f>
        <v>2</v>
      </c>
      <c r="J3183" t="str">
        <f>VLOOKUP(I3183,[2]categories!$A$2:$B$8,2,0)</f>
        <v>Comfort Bicycles</v>
      </c>
    </row>
    <row r="3184" spans="1:10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 s="1">
        <f t="shared" si="49"/>
        <v>6174.9905</v>
      </c>
      <c r="H3184" t="str">
        <f>VLOOKUP(C3184,[1]products!$A:$B,2,0)</f>
        <v>Trek Silque SLR 8 Women's - 2017</v>
      </c>
      <c r="I3184">
        <f>VLOOKUP(H3184,[1]products!$B:$D,3,0)</f>
        <v>7</v>
      </c>
      <c r="J3184" t="str">
        <f>VLOOKUP(I3184,[2]categories!$A$2:$B$8,2,0)</f>
        <v>Road Bikes</v>
      </c>
    </row>
    <row r="3185" spans="1:10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0.07</v>
      </c>
      <c r="G3185" s="1">
        <f t="shared" si="49"/>
        <v>325.4907</v>
      </c>
      <c r="H3185" t="str">
        <f>VLOOKUP(C3185,[1]products!$A:$B,2,0)</f>
        <v>Trek Precaliber 24 (21-Speed) - Girls - 2017</v>
      </c>
      <c r="I3185">
        <f>VLOOKUP(H3185,[1]products!$B:$D,3,0)</f>
        <v>1</v>
      </c>
      <c r="J3185" t="str">
        <f>VLOOKUP(I3185,[2]categories!$A$2:$B$8,2,0)</f>
        <v>Children Bicycles</v>
      </c>
    </row>
    <row r="3186" spans="1:10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 s="1">
        <f t="shared" si="49"/>
        <v>359.992</v>
      </c>
      <c r="H3186" t="str">
        <f>VLOOKUP(C3186,[1]products!$A:$B,2,0)</f>
        <v>Sun Bicycles Cruz 3 - 2017</v>
      </c>
      <c r="I3186">
        <f>VLOOKUP(H3186,[1]products!$B:$D,3,0)</f>
        <v>3</v>
      </c>
      <c r="J3186" t="str">
        <f>VLOOKUP(I3186,[2]categories!$A$2:$B$8,2,0)</f>
        <v>Cruisers Bicycles</v>
      </c>
    </row>
    <row r="3187" spans="1:10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 s="1">
        <f t="shared" si="49"/>
        <v>2255.984</v>
      </c>
      <c r="H3187" t="str">
        <f>VLOOKUP(C3187,[1]products!$A:$B,2,0)</f>
        <v>Haro SR 1.3 - 2017</v>
      </c>
      <c r="I3187">
        <f>VLOOKUP(H3187,[1]products!$B:$D,3,0)</f>
        <v>6</v>
      </c>
      <c r="J3187" t="str">
        <f>VLOOKUP(I3187,[2]categories!$A$2:$B$8,2,0)</f>
        <v>Mountain Bikes</v>
      </c>
    </row>
    <row r="3188" spans="1:10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 s="1">
        <f t="shared" si="49"/>
        <v>386.1</v>
      </c>
      <c r="H3188" t="str">
        <f>VLOOKUP(C3188,[1]products!$A:$B,2,0)</f>
        <v>Pure Cycles Vine 8-Speed - 2016</v>
      </c>
      <c r="I3188">
        <f>VLOOKUP(H3188,[1]products!$B:$D,3,0)</f>
        <v>3</v>
      </c>
      <c r="J3188" t="str">
        <f>VLOOKUP(I3188,[2]categories!$A$2:$B$8,2,0)</f>
        <v>Cruisers Bicycles</v>
      </c>
    </row>
    <row r="3189" spans="1:10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 s="1">
        <f t="shared" si="49"/>
        <v>1187.982</v>
      </c>
      <c r="H3189" t="str">
        <f>VLOOKUP(C3189,[1]products!$A:$B,2,0)</f>
        <v>Electra Amsterdam Original 3i - 2015/2017</v>
      </c>
      <c r="I3189">
        <f>VLOOKUP(H3189,[1]products!$B:$D,3,0)</f>
        <v>3</v>
      </c>
      <c r="J3189" t="str">
        <f>VLOOKUP(I3189,[2]categories!$A$2:$B$8,2,0)</f>
        <v>Cruisers Bicycles</v>
      </c>
    </row>
    <row r="3190" spans="1:10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0.07</v>
      </c>
      <c r="G3190" s="1">
        <f t="shared" si="49"/>
        <v>4928.9907</v>
      </c>
      <c r="H3190" t="str">
        <f>VLOOKUP(C3190,[1]products!$A:$B,2,0)</f>
        <v>Trek Fuel EX 9.8 27.5 Plus - 2017</v>
      </c>
      <c r="I3190">
        <f>VLOOKUP(H3190,[1]products!$B:$D,3,0)</f>
        <v>6</v>
      </c>
      <c r="J3190" t="str">
        <f>VLOOKUP(I3190,[2]categories!$A$2:$B$8,2,0)</f>
        <v>Mountain Bikes</v>
      </c>
    </row>
    <row r="3191" spans="1:10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0.07</v>
      </c>
      <c r="G3191" s="1">
        <f t="shared" si="49"/>
        <v>708.6507</v>
      </c>
      <c r="H3191" t="str">
        <f>VLOOKUP(C3191,[1]products!$A:$B,2,0)</f>
        <v>Sun Bicycles Brickell Tandem CB - 2017</v>
      </c>
      <c r="I3191">
        <f>VLOOKUP(H3191,[1]products!$B:$D,3,0)</f>
        <v>3</v>
      </c>
      <c r="J3191" t="str">
        <f>VLOOKUP(I3191,[2]categories!$A$2:$B$8,2,0)</f>
        <v>Cruisers Bicycles</v>
      </c>
    </row>
    <row r="3192" spans="1:10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 s="1">
        <f t="shared" si="49"/>
        <v>1481.9905</v>
      </c>
      <c r="H3192" t="str">
        <f>VLOOKUP(C3192,[1]products!$A:$B,2,0)</f>
        <v>Sun Bicycles ElectroLite - 2017</v>
      </c>
      <c r="I3192">
        <f>VLOOKUP(H3192,[1]products!$B:$D,3,0)</f>
        <v>5</v>
      </c>
      <c r="J3192" t="str">
        <f>VLOOKUP(I3192,[2]categories!$A$2:$B$8,2,0)</f>
        <v>Electric Bikes</v>
      </c>
    </row>
    <row r="3193" spans="1:10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 s="1">
        <f t="shared" si="49"/>
        <v>8799.984</v>
      </c>
      <c r="H3193" t="str">
        <f>VLOOKUP(C3193,[1]products!$A:$B,2,0)</f>
        <v>Trek Domane SLR 6 Disc - 2017</v>
      </c>
      <c r="I3193">
        <f>VLOOKUP(H3193,[1]products!$B:$D,3,0)</f>
        <v>7</v>
      </c>
      <c r="J3193" t="str">
        <f>VLOOKUP(I3193,[2]categories!$A$2:$B$8,2,0)</f>
        <v>Road Bikes</v>
      </c>
    </row>
    <row r="3194" spans="1:10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0.07</v>
      </c>
      <c r="G3194" s="1">
        <f t="shared" si="49"/>
        <v>1549.3614</v>
      </c>
      <c r="H3194" t="str">
        <f>VLOOKUP(C3194,[1]products!$A:$B,2,0)</f>
        <v>Sun Bicycles Spider 3i - 2017</v>
      </c>
      <c r="I3194">
        <f>VLOOKUP(H3194,[1]products!$B:$D,3,0)</f>
        <v>6</v>
      </c>
      <c r="J3194" t="str">
        <f>VLOOKUP(I3194,[2]categories!$A$2:$B$8,2,0)</f>
        <v>Mountain Bikes</v>
      </c>
    </row>
    <row r="3195" spans="1:10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 s="1">
        <f t="shared" si="49"/>
        <v>314.991</v>
      </c>
      <c r="H3195" t="str">
        <f>VLOOKUP(C3195,[1]products!$A:$B,2,0)</f>
        <v>Electra Moto 3i (20-inch) - Boy's - 2017</v>
      </c>
      <c r="I3195">
        <f>VLOOKUP(H3195,[1]products!$B:$D,3,0)</f>
        <v>1</v>
      </c>
      <c r="J3195" t="str">
        <f>VLOOKUP(I3195,[2]categories!$A$2:$B$8,2,0)</f>
        <v>Children Bicycles</v>
      </c>
    </row>
    <row r="3196" spans="1:10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 s="1">
        <f t="shared" si="49"/>
        <v>4239.992</v>
      </c>
      <c r="H3196" t="str">
        <f>VLOOKUP(C3196,[1]products!$A:$B,2,0)</f>
        <v>Trek Fuel EX 9.8 27.5 Plus - 2017</v>
      </c>
      <c r="I3196">
        <f>VLOOKUP(H3196,[1]products!$B:$D,3,0)</f>
        <v>6</v>
      </c>
      <c r="J3196" t="str">
        <f>VLOOKUP(I3196,[2]categories!$A$2:$B$8,2,0)</f>
        <v>Mountain Bikes</v>
      </c>
    </row>
    <row r="3197" spans="1:10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 s="1">
        <f t="shared" si="49"/>
        <v>2351.984</v>
      </c>
      <c r="H3197" t="str">
        <f>VLOOKUP(C3197,[1]products!$A:$B,2,0)</f>
        <v>Haro Shift R3 - 2017</v>
      </c>
      <c r="I3197">
        <f>VLOOKUP(H3197,[1]products!$B:$D,3,0)</f>
        <v>6</v>
      </c>
      <c r="J3197" t="str">
        <f>VLOOKUP(I3197,[2]categories!$A$2:$B$8,2,0)</f>
        <v>Mountain Bikes</v>
      </c>
    </row>
    <row r="3198" spans="1:10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 s="1">
        <f t="shared" si="49"/>
        <v>1652.981</v>
      </c>
      <c r="H3198" t="str">
        <f>VLOOKUP(C3198,[1]products!$A:$B,2,0)</f>
        <v>Haro SR 1.2 - 2017</v>
      </c>
      <c r="I3198">
        <f>VLOOKUP(H3198,[1]products!$B:$D,3,0)</f>
        <v>6</v>
      </c>
      <c r="J3198" t="str">
        <f>VLOOKUP(I3198,[2]categories!$A$2:$B$8,2,0)</f>
        <v>Mountain Bikes</v>
      </c>
    </row>
    <row r="3199" spans="1:10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0.07</v>
      </c>
      <c r="G3199" s="1">
        <f t="shared" si="49"/>
        <v>455.6907</v>
      </c>
      <c r="H3199" t="str">
        <f>VLOOKUP(C3199,[1]products!$A:$B,2,0)</f>
        <v>Electra Townie 3i EQ (20-inch) - Boys' - 2017</v>
      </c>
      <c r="I3199">
        <f>VLOOKUP(H3199,[1]products!$B:$D,3,0)</f>
        <v>1</v>
      </c>
      <c r="J3199" t="str">
        <f>VLOOKUP(I3199,[2]categories!$A$2:$B$8,2,0)</f>
        <v>Children Bicycles</v>
      </c>
    </row>
    <row r="3200" spans="1:10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0.07</v>
      </c>
      <c r="G3200" s="1">
        <f t="shared" si="49"/>
        <v>496.6107</v>
      </c>
      <c r="H3200" t="str">
        <f>VLOOKUP(C3200,[1]products!$A:$B,2,0)</f>
        <v>Sun Bicycles Streamway 7 - 2017</v>
      </c>
      <c r="I3200">
        <f>VLOOKUP(H3200,[1]products!$B:$D,3,0)</f>
        <v>2</v>
      </c>
      <c r="J3200" t="str">
        <f>VLOOKUP(I3200,[2]categories!$A$2:$B$8,2,0)</f>
        <v>Comfort Bicycles</v>
      </c>
    </row>
    <row r="3201" spans="1:10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 s="1">
        <f t="shared" si="49"/>
        <v>1115.982</v>
      </c>
      <c r="H3201" t="str">
        <f>VLOOKUP(C3201,[1]products!$A:$B,2,0)</f>
        <v>Sun Bicycles Biscayne Tandem 7 - 2017</v>
      </c>
      <c r="I3201">
        <f>VLOOKUP(H3201,[1]products!$B:$D,3,0)</f>
        <v>3</v>
      </c>
      <c r="J3201" t="str">
        <f>VLOOKUP(I3201,[2]categories!$A$2:$B$8,2,0)</f>
        <v>Cruisers Bicycles</v>
      </c>
    </row>
    <row r="3202" spans="1:10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 s="1">
        <f t="shared" ref="G3202:G3265" si="50">D3202*E3202*(1-F3202)</f>
        <v>4949.991</v>
      </c>
      <c r="H3202" t="str">
        <f>VLOOKUP(C3202,[1]products!$A:$B,2,0)</f>
        <v>Trek Domane SLR 6 Disc - 2017</v>
      </c>
      <c r="I3202">
        <f>VLOOKUP(H3202,[1]products!$B:$D,3,0)</f>
        <v>7</v>
      </c>
      <c r="J3202" t="str">
        <f>VLOOKUP(I3202,[2]categories!$A$2:$B$8,2,0)</f>
        <v>Road Bikes</v>
      </c>
    </row>
    <row r="3203" spans="1:10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 s="1">
        <f t="shared" si="50"/>
        <v>284.9905</v>
      </c>
      <c r="H3203" t="str">
        <f>VLOOKUP(C3203,[1]products!$A:$B,2,0)</f>
        <v>Electra Girl's Hawaii 1 16" - 2017</v>
      </c>
      <c r="I3203">
        <f>VLOOKUP(H3203,[1]products!$B:$D,3,0)</f>
        <v>3</v>
      </c>
      <c r="J3203" t="str">
        <f>VLOOKUP(I3203,[2]categories!$A$2:$B$8,2,0)</f>
        <v>Cruisers Bicycles</v>
      </c>
    </row>
    <row r="3204" spans="1:10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 s="1">
        <f t="shared" si="50"/>
        <v>451.782</v>
      </c>
      <c r="H3204" t="str">
        <f>VLOOKUP(C3204,[1]products!$A:$B,2,0)</f>
        <v>Sun Bicycles Revolutions 24 - 2017</v>
      </c>
      <c r="I3204">
        <f>VLOOKUP(H3204,[1]products!$B:$D,3,0)</f>
        <v>3</v>
      </c>
      <c r="J3204" t="str">
        <f>VLOOKUP(I3204,[2]categories!$A$2:$B$8,2,0)</f>
        <v>Cruisers Bicycles</v>
      </c>
    </row>
    <row r="3205" spans="1:10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 s="1">
        <f t="shared" si="50"/>
        <v>215.992</v>
      </c>
      <c r="H3205" t="str">
        <f>VLOOKUP(C3205,[1]products!$A:$B,2,0)</f>
        <v>Electra Girl's Hawaii 1 (16-inch) - 2015/2016</v>
      </c>
      <c r="I3205">
        <f>VLOOKUP(H3205,[1]products!$B:$D,3,0)</f>
        <v>3</v>
      </c>
      <c r="J3205" t="str">
        <f>VLOOKUP(I3205,[2]categories!$A$2:$B$8,2,0)</f>
        <v>Cruisers Bicycles</v>
      </c>
    </row>
    <row r="3206" spans="1:10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0.07</v>
      </c>
      <c r="G3206" s="1">
        <f t="shared" si="50"/>
        <v>511.4907</v>
      </c>
      <c r="H3206" t="str">
        <f>VLOOKUP(C3206,[1]products!$A:$B,2,0)</f>
        <v>Electra Townie Original 21D - 2016</v>
      </c>
      <c r="I3206">
        <f>VLOOKUP(H3206,[1]products!$B:$D,3,0)</f>
        <v>3</v>
      </c>
      <c r="J3206" t="str">
        <f>VLOOKUP(I3206,[2]categories!$A$2:$B$8,2,0)</f>
        <v>Cruisers Bicycles</v>
      </c>
    </row>
    <row r="3207" spans="1:10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 s="1">
        <f t="shared" si="50"/>
        <v>792.281</v>
      </c>
      <c r="H3207" t="str">
        <f>VLOOKUP(C3207,[1]products!$A:$B,2,0)</f>
        <v>Sun Bicycles Atlas X-Type - 2017</v>
      </c>
      <c r="I3207">
        <f>VLOOKUP(H3207,[1]products!$B:$D,3,0)</f>
        <v>3</v>
      </c>
      <c r="J3207" t="str">
        <f>VLOOKUP(I3207,[2]categories!$A$2:$B$8,2,0)</f>
        <v>Cruisers Bicycles</v>
      </c>
    </row>
    <row r="3208" spans="1:10">
      <c r="A3208">
        <v>1112</v>
      </c>
      <c r="B3208">
        <v>2</v>
      </c>
      <c r="C3208">
        <v>42</v>
      </c>
      <c r="D3208">
        <v>1</v>
      </c>
      <c r="E3208">
        <v>2299.99</v>
      </c>
      <c r="F3208">
        <v>0.07</v>
      </c>
      <c r="G3208" s="1">
        <f t="shared" si="50"/>
        <v>2138.9907</v>
      </c>
      <c r="H3208" t="str">
        <f>VLOOKUP(C3208,[1]products!$A:$B,2,0)</f>
        <v>Trek Fuel EX 5 27.5 Plus - 2017</v>
      </c>
      <c r="I3208">
        <f>VLOOKUP(H3208,[1]products!$B:$D,3,0)</f>
        <v>6</v>
      </c>
      <c r="J3208" t="str">
        <f>VLOOKUP(I3208,[2]categories!$A$2:$B$8,2,0)</f>
        <v>Mountain Bikes</v>
      </c>
    </row>
    <row r="3209" spans="1:10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 s="1">
        <f t="shared" si="50"/>
        <v>2377.782</v>
      </c>
      <c r="H3209" t="str">
        <f>VLOOKUP(C3209,[1]products!$A:$B,2,0)</f>
        <v>Heller Shagamaw Frame - 2016</v>
      </c>
      <c r="I3209">
        <f>VLOOKUP(H3209,[1]products!$B:$D,3,0)</f>
        <v>6</v>
      </c>
      <c r="J3209" t="str">
        <f>VLOOKUP(I3209,[2]categories!$A$2:$B$8,2,0)</f>
        <v>Mountain Bikes</v>
      </c>
    </row>
    <row r="3210" spans="1:10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0.07</v>
      </c>
      <c r="G3210" s="1">
        <f t="shared" si="50"/>
        <v>353.3814</v>
      </c>
      <c r="H3210" t="str">
        <f>VLOOKUP(C3210,[1]products!$A:$B,2,0)</f>
        <v>Trek Precaliber 12 Boys - 2017</v>
      </c>
      <c r="I3210">
        <f>VLOOKUP(H3210,[1]products!$B:$D,3,0)</f>
        <v>1</v>
      </c>
      <c r="J3210" t="str">
        <f>VLOOKUP(I3210,[2]categories!$A$2:$B$8,2,0)</f>
        <v>Children Bicycles</v>
      </c>
    </row>
    <row r="3211" spans="1:10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 s="1">
        <f t="shared" si="50"/>
        <v>5399.982</v>
      </c>
      <c r="H3211" t="str">
        <f>VLOOKUP(C3211,[1]products!$A:$B,2,0)</f>
        <v>Trek Conduit+ - 2016</v>
      </c>
      <c r="I3211">
        <f>VLOOKUP(H3211,[1]products!$B:$D,3,0)</f>
        <v>5</v>
      </c>
      <c r="J3211" t="str">
        <f>VLOOKUP(I3211,[2]categories!$A$2:$B$8,2,0)</f>
        <v>Electric Bikes</v>
      </c>
    </row>
    <row r="3212" spans="1:10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0.07</v>
      </c>
      <c r="G3212" s="1">
        <f t="shared" si="50"/>
        <v>418.4907</v>
      </c>
      <c r="H3212" t="str">
        <f>VLOOKUP(C3212,[1]products!$A:$B,2,0)</f>
        <v>Sun Bicycles Cruz 3 - 2017</v>
      </c>
      <c r="I3212">
        <f>VLOOKUP(H3212,[1]products!$B:$D,3,0)</f>
        <v>3</v>
      </c>
      <c r="J3212" t="str">
        <f>VLOOKUP(I3212,[2]categories!$A$2:$B$8,2,0)</f>
        <v>Cruisers Bicycles</v>
      </c>
    </row>
    <row r="3213" spans="1:10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 s="1">
        <f t="shared" si="50"/>
        <v>700.792</v>
      </c>
      <c r="H3213" t="str">
        <f>VLOOKUP(C3213,[1]products!$A:$B,2,0)</f>
        <v>Surly Steamroller - 2017</v>
      </c>
      <c r="I3213">
        <f>VLOOKUP(H3213,[1]products!$B:$D,3,0)</f>
        <v>7</v>
      </c>
      <c r="J3213" t="str">
        <f>VLOOKUP(I3213,[2]categories!$A$2:$B$8,2,0)</f>
        <v>Road Bikes</v>
      </c>
    </row>
    <row r="3214" spans="1:10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 s="1">
        <f t="shared" si="50"/>
        <v>559.984</v>
      </c>
      <c r="H3214" t="str">
        <f>VLOOKUP(C3214,[1]products!$A:$B,2,0)</f>
        <v>Electra Savannah 3i (20-inch) - Girl's - 2017</v>
      </c>
      <c r="I3214">
        <f>VLOOKUP(H3214,[1]products!$B:$D,3,0)</f>
        <v>1</v>
      </c>
      <c r="J3214" t="str">
        <f>VLOOKUP(I3214,[2]categories!$A$2:$B$8,2,0)</f>
        <v>Children Bicycles</v>
      </c>
    </row>
    <row r="3215" spans="1:10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0.07</v>
      </c>
      <c r="G3215" s="1">
        <f t="shared" si="50"/>
        <v>11159.9814</v>
      </c>
      <c r="H3215" t="str">
        <f>VLOOKUP(C3215,[1]products!$A:$B,2,0)</f>
        <v>Trek Silque SLR 7 Women's - 2017</v>
      </c>
      <c r="I3215">
        <f>VLOOKUP(H3215,[1]products!$B:$D,3,0)</f>
        <v>7</v>
      </c>
      <c r="J3215" t="str">
        <f>VLOOKUP(I3215,[2]categories!$A$2:$B$8,2,0)</f>
        <v>Road Bikes</v>
      </c>
    </row>
    <row r="3216" spans="1:10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0.07</v>
      </c>
      <c r="G3216" s="1">
        <f t="shared" si="50"/>
        <v>650.9814</v>
      </c>
      <c r="H3216" t="str">
        <f>VLOOKUP(C3216,[1]products!$A:$B,2,0)</f>
        <v>Trek Precaliber 24 (21-Speed) - Girls - 2017</v>
      </c>
      <c r="I3216">
        <f>VLOOKUP(H3216,[1]products!$B:$D,3,0)</f>
        <v>1</v>
      </c>
      <c r="J3216" t="str">
        <f>VLOOKUP(I3216,[2]categories!$A$2:$B$8,2,0)</f>
        <v>Children Bicycles</v>
      </c>
    </row>
    <row r="3217" spans="1:10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 s="1">
        <f t="shared" si="50"/>
        <v>6299.982</v>
      </c>
      <c r="H3217" t="str">
        <f>VLOOKUP(C3217,[1]products!$A:$B,2,0)</f>
        <v>Trek Domane SL 6 - 2017</v>
      </c>
      <c r="I3217">
        <f>VLOOKUP(H3217,[1]products!$B:$D,3,0)</f>
        <v>7</v>
      </c>
      <c r="J3217" t="str">
        <f>VLOOKUP(I3217,[2]categories!$A$2:$B$8,2,0)</f>
        <v>Road Bikes</v>
      </c>
    </row>
    <row r="3218" spans="1:10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0.07</v>
      </c>
      <c r="G3218" s="1">
        <f t="shared" si="50"/>
        <v>3126.6414</v>
      </c>
      <c r="H3218" t="str">
        <f>VLOOKUP(C3218,[1]products!$A:$B,2,0)</f>
        <v>Surly Straggler 650b - 2016</v>
      </c>
      <c r="I3218">
        <f>VLOOKUP(H3218,[1]products!$B:$D,3,0)</f>
        <v>4</v>
      </c>
      <c r="J3218" t="str">
        <f>VLOOKUP(I3218,[2]categories!$A$2:$B$8,2,0)</f>
        <v>Cyclocross Bicycles</v>
      </c>
    </row>
    <row r="3219" spans="1:10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 s="1">
        <f t="shared" si="50"/>
        <v>683.982</v>
      </c>
      <c r="H3219" t="str">
        <f>VLOOKUP(C3219,[1]products!$A:$B,2,0)</f>
        <v>Haro Flightline One ST - 2017</v>
      </c>
      <c r="I3219">
        <f>VLOOKUP(H3219,[1]products!$B:$D,3,0)</f>
        <v>6</v>
      </c>
      <c r="J3219" t="str">
        <f>VLOOKUP(I3219,[2]categories!$A$2:$B$8,2,0)</f>
        <v>Mountain Bikes</v>
      </c>
    </row>
    <row r="3220" spans="1:10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 s="1">
        <f t="shared" si="50"/>
        <v>279.992</v>
      </c>
      <c r="H3220" t="str">
        <f>VLOOKUP(C3220,[1]products!$A:$B,2,0)</f>
        <v>Trek Precaliber 24 (21-Speed) - Girls - 2017</v>
      </c>
      <c r="I3220">
        <f>VLOOKUP(H3220,[1]products!$B:$D,3,0)</f>
        <v>1</v>
      </c>
      <c r="J3220" t="str">
        <f>VLOOKUP(I3220,[2]categories!$A$2:$B$8,2,0)</f>
        <v>Children Bicycles</v>
      </c>
    </row>
    <row r="3221" spans="1:10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 s="1">
        <f t="shared" si="50"/>
        <v>11699.982</v>
      </c>
      <c r="H3221" t="str">
        <f>VLOOKUP(C3221,[1]products!$A:$B,2,0)</f>
        <v>Trek Silque SLR 8 Women's - 2017</v>
      </c>
      <c r="I3221">
        <f>VLOOKUP(H3221,[1]products!$B:$D,3,0)</f>
        <v>7</v>
      </c>
      <c r="J3221" t="str">
        <f>VLOOKUP(I3221,[2]categories!$A$2:$B$8,2,0)</f>
        <v>Road Bikes</v>
      </c>
    </row>
    <row r="3222" spans="1:10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 s="1">
        <f t="shared" si="50"/>
        <v>4319.984</v>
      </c>
      <c r="H3222" t="str">
        <f>VLOOKUP(C3222,[1]products!$A:$B,2,0)</f>
        <v>Trek Domane S 6 - 2017</v>
      </c>
      <c r="I3222">
        <f>VLOOKUP(H3222,[1]products!$B:$D,3,0)</f>
        <v>7</v>
      </c>
      <c r="J3222" t="str">
        <f>VLOOKUP(I3222,[2]categories!$A$2:$B$8,2,0)</f>
        <v>Road Bikes</v>
      </c>
    </row>
    <row r="3223" spans="1:10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0.07</v>
      </c>
      <c r="G3223" s="1">
        <f t="shared" si="50"/>
        <v>5579.9907</v>
      </c>
      <c r="H3223" t="str">
        <f>VLOOKUP(C3223,[1]products!$A:$B,2,0)</f>
        <v>Trek Silque SLR 7 Women's - 2017</v>
      </c>
      <c r="I3223">
        <f>VLOOKUP(H3223,[1]products!$B:$D,3,0)</f>
        <v>7</v>
      </c>
      <c r="J3223" t="str">
        <f>VLOOKUP(I3223,[2]categories!$A$2:$B$8,2,0)</f>
        <v>Road Bikes</v>
      </c>
    </row>
    <row r="3224" spans="1:10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 s="1">
        <f t="shared" si="50"/>
        <v>949.9905</v>
      </c>
      <c r="H3224" t="str">
        <f>VLOOKUP(C3224,[1]products!$A:$B,2,0)</f>
        <v>Trek X-Caliber 8 - 2017</v>
      </c>
      <c r="I3224">
        <f>VLOOKUP(H3224,[1]products!$B:$D,3,0)</f>
        <v>6</v>
      </c>
      <c r="J3224" t="str">
        <f>VLOOKUP(I3224,[2]categories!$A$2:$B$8,2,0)</f>
        <v>Mountain Bikes</v>
      </c>
    </row>
    <row r="3225" spans="1:10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 s="1">
        <f t="shared" si="50"/>
        <v>8479.984</v>
      </c>
      <c r="H3225" t="str">
        <f>VLOOKUP(C3225,[1]products!$A:$B,2,0)</f>
        <v>Trek Remedy 9.8 - 2017</v>
      </c>
      <c r="I3225">
        <f>VLOOKUP(H3225,[1]products!$B:$D,3,0)</f>
        <v>6</v>
      </c>
      <c r="J3225" t="str">
        <f>VLOOKUP(I3225,[2]categories!$A$2:$B$8,2,0)</f>
        <v>Mountain Bikes</v>
      </c>
    </row>
    <row r="3226" spans="1:10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 s="1">
        <f t="shared" si="50"/>
        <v>377.982</v>
      </c>
      <c r="H3226" t="str">
        <f>VLOOKUP(C3226,[1]products!$A:$B,2,0)</f>
        <v>Haro Shredder 20 Girls - 2017</v>
      </c>
      <c r="I3226">
        <f>VLOOKUP(H3226,[1]products!$B:$D,3,0)</f>
        <v>1</v>
      </c>
      <c r="J3226" t="str">
        <f>VLOOKUP(I3226,[2]categories!$A$2:$B$8,2,0)</f>
        <v>Children Bicycles</v>
      </c>
    </row>
    <row r="3227" spans="1:10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 s="1">
        <f t="shared" si="50"/>
        <v>5129.981</v>
      </c>
      <c r="H3227" t="str">
        <f>VLOOKUP(C3227,[1]products!$A:$B,2,0)</f>
        <v>Trek Domane S 6 - 2017</v>
      </c>
      <c r="I3227">
        <f>VLOOKUP(H3227,[1]products!$B:$D,3,0)</f>
        <v>7</v>
      </c>
      <c r="J3227" t="str">
        <f>VLOOKUP(I3227,[2]categories!$A$2:$B$8,2,0)</f>
        <v>Road Bikes</v>
      </c>
    </row>
    <row r="3228" spans="1:10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 s="1">
        <f t="shared" si="50"/>
        <v>385.592</v>
      </c>
      <c r="H3228" t="str">
        <f>VLOOKUP(C3228,[1]products!$A:$B,2,0)</f>
        <v>Sun Bicycles Streamway - 2017</v>
      </c>
      <c r="I3228">
        <f>VLOOKUP(H3228,[1]products!$B:$D,3,0)</f>
        <v>2</v>
      </c>
      <c r="J3228" t="str">
        <f>VLOOKUP(I3228,[2]categories!$A$2:$B$8,2,0)</f>
        <v>Comfort Bicycles</v>
      </c>
    </row>
    <row r="3229" spans="1:10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0.07</v>
      </c>
      <c r="G3229" s="1">
        <f t="shared" si="50"/>
        <v>390.5814</v>
      </c>
      <c r="H3229" t="str">
        <f>VLOOKUP(C3229,[1]products!$A:$B,2,0)</f>
        <v>Haro Shredder 20 - 2017</v>
      </c>
      <c r="I3229">
        <f>VLOOKUP(H3229,[1]products!$B:$D,3,0)</f>
        <v>1</v>
      </c>
      <c r="J3229" t="str">
        <f>VLOOKUP(I3229,[2]categories!$A$2:$B$8,2,0)</f>
        <v>Children Bicycles</v>
      </c>
    </row>
    <row r="3230" spans="1:10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0.07</v>
      </c>
      <c r="G3230" s="1">
        <f t="shared" si="50"/>
        <v>1518.6807</v>
      </c>
      <c r="H3230" t="str">
        <f>VLOOKUP(C3230,[1]products!$A:$B,2,0)</f>
        <v>Surly Wednesday - 2017</v>
      </c>
      <c r="I3230">
        <f>VLOOKUP(H3230,[1]products!$B:$D,3,0)</f>
        <v>6</v>
      </c>
      <c r="J3230" t="str">
        <f>VLOOKUP(I3230,[2]categories!$A$2:$B$8,2,0)</f>
        <v>Mountain Bikes</v>
      </c>
    </row>
    <row r="3231" spans="1:10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 s="1">
        <f t="shared" si="50"/>
        <v>1899.981</v>
      </c>
      <c r="H3231" t="str">
        <f>VLOOKUP(C3231,[1]products!$A:$B,2,0)</f>
        <v>Surly Ice Cream Truck Frameset - 2017</v>
      </c>
      <c r="I3231">
        <f>VLOOKUP(H3231,[1]products!$B:$D,3,0)</f>
        <v>6</v>
      </c>
      <c r="J3231" t="str">
        <f>VLOOKUP(I3231,[2]categories!$A$2:$B$8,2,0)</f>
        <v>Mountain Bikes</v>
      </c>
    </row>
    <row r="3232" spans="1:10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0.07</v>
      </c>
      <c r="G3232" s="1">
        <f t="shared" si="50"/>
        <v>195.2907</v>
      </c>
      <c r="H3232" t="str">
        <f>VLOOKUP(C3232,[1]products!$A:$B,2,0)</f>
        <v>Haro Shredder 20 Girls - 2017</v>
      </c>
      <c r="I3232">
        <f>VLOOKUP(H3232,[1]products!$B:$D,3,0)</f>
        <v>1</v>
      </c>
      <c r="J3232" t="str">
        <f>VLOOKUP(I3232,[2]categories!$A$2:$B$8,2,0)</f>
        <v>Children Bicycles</v>
      </c>
    </row>
    <row r="3233" spans="1:10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 s="1">
        <f t="shared" si="50"/>
        <v>199.992</v>
      </c>
      <c r="H3233" t="str">
        <f>VLOOKUP(C3233,[1]products!$A:$B,2,0)</f>
        <v>Haro Shredder Pro 20 - 2017</v>
      </c>
      <c r="I3233">
        <f>VLOOKUP(H3233,[1]products!$B:$D,3,0)</f>
        <v>1</v>
      </c>
      <c r="J3233" t="str">
        <f>VLOOKUP(I3233,[2]categories!$A$2:$B$8,2,0)</f>
        <v>Children Bicycles</v>
      </c>
    </row>
    <row r="3234" spans="1:10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 s="1">
        <f t="shared" si="50"/>
        <v>3025.782</v>
      </c>
      <c r="H3234" t="str">
        <f>VLOOKUP(C3234,[1]products!$A:$B,2,0)</f>
        <v>Surly Straggler 650b - 2016</v>
      </c>
      <c r="I3234">
        <f>VLOOKUP(H3234,[1]products!$B:$D,3,0)</f>
        <v>4</v>
      </c>
      <c r="J3234" t="str">
        <f>VLOOKUP(I3234,[2]categories!$A$2:$B$8,2,0)</f>
        <v>Cyclocross Bicycles</v>
      </c>
    </row>
    <row r="3235" spans="1:10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 s="1">
        <f t="shared" si="50"/>
        <v>894.881</v>
      </c>
      <c r="H3235" t="str">
        <f>VLOOKUP(C3235,[1]products!$A:$B,2,0)</f>
        <v>Sun Bicycles Drifter 7 - 2017</v>
      </c>
      <c r="I3235">
        <f>VLOOKUP(H3235,[1]products!$B:$D,3,0)</f>
        <v>2</v>
      </c>
      <c r="J3235" t="str">
        <f>VLOOKUP(I3235,[2]categories!$A$2:$B$8,2,0)</f>
        <v>Comfort Bicycles</v>
      </c>
    </row>
    <row r="3236" spans="1:10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0.07</v>
      </c>
      <c r="G3236" s="1">
        <f t="shared" si="50"/>
        <v>5579.9814</v>
      </c>
      <c r="H3236" t="str">
        <f>VLOOKUP(C3236,[1]products!$A:$B,2,0)</f>
        <v>Trek Conduit+ - 2016</v>
      </c>
      <c r="I3236">
        <f>VLOOKUP(H3236,[1]products!$B:$D,3,0)</f>
        <v>5</v>
      </c>
      <c r="J3236" t="str">
        <f>VLOOKUP(I3236,[2]categories!$A$2:$B$8,2,0)</f>
        <v>Electric Bikes</v>
      </c>
    </row>
    <row r="3237" spans="1:10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 s="1">
        <f t="shared" si="50"/>
        <v>674.991</v>
      </c>
      <c r="H3237" t="str">
        <f>VLOOKUP(C3237,[1]products!$A:$B,2,0)</f>
        <v>Surly Ogre Frameset - 2017</v>
      </c>
      <c r="I3237">
        <f>VLOOKUP(H3237,[1]products!$B:$D,3,0)</f>
        <v>7</v>
      </c>
      <c r="J3237" t="str">
        <f>VLOOKUP(I3237,[2]categories!$A$2:$B$8,2,0)</f>
        <v>Road Bikes</v>
      </c>
    </row>
    <row r="3238" spans="1:10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 s="1">
        <f t="shared" si="50"/>
        <v>5599.984</v>
      </c>
      <c r="H3238" t="str">
        <f>VLOOKUP(C3238,[1]products!$A:$B,2,0)</f>
        <v>Trek Domane SL 6 - 2017</v>
      </c>
      <c r="I3238">
        <f>VLOOKUP(H3238,[1]products!$B:$D,3,0)</f>
        <v>7</v>
      </c>
      <c r="J3238" t="str">
        <f>VLOOKUP(I3238,[2]categories!$A$2:$B$8,2,0)</f>
        <v>Road Bikes</v>
      </c>
    </row>
    <row r="3239" spans="1:10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 s="1">
        <f t="shared" si="50"/>
        <v>2792.981</v>
      </c>
      <c r="H3239" t="str">
        <f>VLOOKUP(C3239,[1]products!$A:$B,2,0)</f>
        <v>Haro Shift R3 - 2017</v>
      </c>
      <c r="I3239">
        <f>VLOOKUP(H3239,[1]products!$B:$D,3,0)</f>
        <v>6</v>
      </c>
      <c r="J3239" t="str">
        <f>VLOOKUP(I3239,[2]categories!$A$2:$B$8,2,0)</f>
        <v>Mountain Bikes</v>
      </c>
    </row>
    <row r="3240" spans="1:10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 s="1">
        <f t="shared" si="50"/>
        <v>557.991</v>
      </c>
      <c r="H3240" t="str">
        <f>VLOOKUP(C3240,[1]products!$A:$B,2,0)</f>
        <v>Sun Bicycles Biscayne Tandem 7 - 2017</v>
      </c>
      <c r="I3240">
        <f>VLOOKUP(H3240,[1]products!$B:$D,3,0)</f>
        <v>3</v>
      </c>
      <c r="J3240" t="str">
        <f>VLOOKUP(I3240,[2]categories!$A$2:$B$8,2,0)</f>
        <v>Cruisers Bicycles</v>
      </c>
    </row>
    <row r="3241" spans="1:10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0.07</v>
      </c>
      <c r="G3241" s="1">
        <f t="shared" si="50"/>
        <v>645.4014</v>
      </c>
      <c r="H3241" t="str">
        <f>VLOOKUP(C3241,[1]products!$A:$B,2,0)</f>
        <v>Sun Bicycles Lil Bolt Type-R - 2017</v>
      </c>
      <c r="I3241">
        <f>VLOOKUP(H3241,[1]products!$B:$D,3,0)</f>
        <v>3</v>
      </c>
      <c r="J3241" t="str">
        <f>VLOOKUP(I3241,[2]categories!$A$2:$B$8,2,0)</f>
        <v>Cruisers Bicycles</v>
      </c>
    </row>
    <row r="3242" spans="1:10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 s="1">
        <f t="shared" si="50"/>
        <v>8999.982</v>
      </c>
      <c r="H3242" t="str">
        <f>VLOOKUP(C3242,[1]products!$A:$B,2,0)</f>
        <v>Trek Powerfly 8 FS Plus - 2017</v>
      </c>
      <c r="I3242">
        <f>VLOOKUP(H3242,[1]products!$B:$D,3,0)</f>
        <v>5</v>
      </c>
      <c r="J3242" t="str">
        <f>VLOOKUP(I3242,[2]categories!$A$2:$B$8,2,0)</f>
        <v>Electric Bikes</v>
      </c>
    </row>
    <row r="3243" spans="1:10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 s="1">
        <f t="shared" si="50"/>
        <v>7199.982</v>
      </c>
      <c r="H3243" t="str">
        <f>VLOOKUP(C3243,[1]products!$A:$B,2,0)</f>
        <v>Trek Slash 8 27.5 - 2016</v>
      </c>
      <c r="I3243">
        <f>VLOOKUP(H3243,[1]products!$B:$D,3,0)</f>
        <v>6</v>
      </c>
      <c r="J3243" t="str">
        <f>VLOOKUP(I3243,[2]categories!$A$2:$B$8,2,0)</f>
        <v>Mountain Bikes</v>
      </c>
    </row>
    <row r="3244" spans="1:10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 s="1">
        <f t="shared" si="50"/>
        <v>422.991</v>
      </c>
      <c r="H3244" t="str">
        <f>VLOOKUP(C3244,[1]products!$A:$B,2,0)</f>
        <v>Surly Ice Cream Truck Frameset - 2016</v>
      </c>
      <c r="I3244">
        <f>VLOOKUP(H3244,[1]products!$B:$D,3,0)</f>
        <v>6</v>
      </c>
      <c r="J3244" t="str">
        <f>VLOOKUP(I3244,[2]categories!$A$2:$B$8,2,0)</f>
        <v>Mountain Bikes</v>
      </c>
    </row>
    <row r="3245" spans="1:10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0.07</v>
      </c>
      <c r="G3245" s="1">
        <f t="shared" si="50"/>
        <v>775.6014</v>
      </c>
      <c r="H3245" t="str">
        <f>VLOOKUP(C3245,[1]products!$A:$B,2,0)</f>
        <v>Sun Bicycles Cruz 7 - Women's - 2017</v>
      </c>
      <c r="I3245">
        <f>VLOOKUP(H3245,[1]products!$B:$D,3,0)</f>
        <v>2</v>
      </c>
      <c r="J3245" t="str">
        <f>VLOOKUP(I3245,[2]categories!$A$2:$B$8,2,0)</f>
        <v>Comfort Bicycles</v>
      </c>
    </row>
    <row r="3246" spans="1:10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 s="1">
        <f t="shared" si="50"/>
        <v>1652.981</v>
      </c>
      <c r="H3246" t="str">
        <f>VLOOKUP(C3246,[1]products!$A:$B,2,0)</f>
        <v>Haro SR 1.2 - 2017</v>
      </c>
      <c r="I3246">
        <f>VLOOKUP(H3246,[1]products!$B:$D,3,0)</f>
        <v>6</v>
      </c>
      <c r="J3246" t="str">
        <f>VLOOKUP(I3246,[2]categories!$A$2:$B$8,2,0)</f>
        <v>Mountain Bikes</v>
      </c>
    </row>
    <row r="3247" spans="1:10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 s="1">
        <f t="shared" si="50"/>
        <v>1424.981</v>
      </c>
      <c r="H3247" t="str">
        <f>VLOOKUP(C3247,[1]products!$A:$B,2,0)</f>
        <v>Ritchey Timberwolf Frameset - 2016</v>
      </c>
      <c r="I3247">
        <f>VLOOKUP(H3247,[1]products!$B:$D,3,0)</f>
        <v>6</v>
      </c>
      <c r="J3247" t="str">
        <f>VLOOKUP(I3247,[2]categories!$A$2:$B$8,2,0)</f>
        <v>Mountain Bikes</v>
      </c>
    </row>
    <row r="3248" spans="1:10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 s="1">
        <f t="shared" si="50"/>
        <v>1139.981</v>
      </c>
      <c r="H3248" t="str">
        <f>VLOOKUP(C3248,[1]products!$A:$B,2,0)</f>
        <v>Electra Townie Original 7D EQ - 2016</v>
      </c>
      <c r="I3248">
        <f>VLOOKUP(H3248,[1]products!$B:$D,3,0)</f>
        <v>3</v>
      </c>
      <c r="J3248" t="str">
        <f>VLOOKUP(I3248,[2]categories!$A$2:$B$8,2,0)</f>
        <v>Cruisers Bicycles</v>
      </c>
    </row>
    <row r="3249" spans="1:10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 s="1">
        <f t="shared" si="50"/>
        <v>242.991</v>
      </c>
      <c r="H3249" t="str">
        <f>VLOOKUP(C3249,[1]products!$A:$B,2,0)</f>
        <v>Electra Cruiser 1 (24-Inch) - 2016</v>
      </c>
      <c r="I3249">
        <f>VLOOKUP(H3249,[1]products!$B:$D,3,0)</f>
        <v>3</v>
      </c>
      <c r="J3249" t="str">
        <f>VLOOKUP(I3249,[2]categories!$A$2:$B$8,2,0)</f>
        <v>Cruisers Bicycles</v>
      </c>
    </row>
    <row r="3250" spans="1:10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0.07</v>
      </c>
      <c r="G3250" s="1">
        <f t="shared" si="50"/>
        <v>2045.9814</v>
      </c>
      <c r="H3250" t="str">
        <f>VLOOKUP(C3250,[1]products!$A:$B,2,0)</f>
        <v>Electra Amsterdam Fashion 7i Ladies' - 2017</v>
      </c>
      <c r="I3250">
        <f>VLOOKUP(H3250,[1]products!$B:$D,3,0)</f>
        <v>3</v>
      </c>
      <c r="J3250" t="str">
        <f>VLOOKUP(I3250,[2]categories!$A$2:$B$8,2,0)</f>
        <v>Cruisers Bicycles</v>
      </c>
    </row>
    <row r="3251" spans="1:10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0.07</v>
      </c>
      <c r="G3251" s="1">
        <f t="shared" si="50"/>
        <v>511.4907</v>
      </c>
      <c r="H3251" t="str">
        <f>VLOOKUP(C3251,[1]products!$A:$B,2,0)</f>
        <v>Electra Townie Original 21D - 2016</v>
      </c>
      <c r="I3251">
        <f>VLOOKUP(H3251,[1]products!$B:$D,3,0)</f>
        <v>3</v>
      </c>
      <c r="J3251" t="str">
        <f>VLOOKUP(I3251,[2]categories!$A$2:$B$8,2,0)</f>
        <v>Cruisers Bicycles</v>
      </c>
    </row>
    <row r="3252" spans="1:10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0.07</v>
      </c>
      <c r="G3252" s="1">
        <f t="shared" si="50"/>
        <v>874.1814</v>
      </c>
      <c r="H3252" t="str">
        <f>VLOOKUP(C3252,[1]products!$A:$B,2,0)</f>
        <v>Trek Farley Alloy Frameset - 2017</v>
      </c>
      <c r="I3252">
        <f>VLOOKUP(H3252,[1]products!$B:$D,3,0)</f>
        <v>6</v>
      </c>
      <c r="J3252" t="str">
        <f>VLOOKUP(I3252,[2]categories!$A$2:$B$8,2,0)</f>
        <v>Mountain Bikes</v>
      </c>
    </row>
    <row r="3253" spans="1:10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 s="1">
        <f t="shared" si="50"/>
        <v>845.982</v>
      </c>
      <c r="H3253" t="str">
        <f>VLOOKUP(C3253,[1]products!$A:$B,2,0)</f>
        <v>Surly Wednesday Frameset - 2017</v>
      </c>
      <c r="I3253">
        <f>VLOOKUP(H3253,[1]products!$B:$D,3,0)</f>
        <v>6</v>
      </c>
      <c r="J3253" t="str">
        <f>VLOOKUP(I3253,[2]categories!$A$2:$B$8,2,0)</f>
        <v>Mountain Bikes</v>
      </c>
    </row>
    <row r="3254" spans="1:10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 s="1">
        <f t="shared" si="50"/>
        <v>3999.992</v>
      </c>
      <c r="H3254" t="str">
        <f>VLOOKUP(C3254,[1]products!$A:$B,2,0)</f>
        <v>Trek Madone 9.2 - 2017</v>
      </c>
      <c r="I3254">
        <f>VLOOKUP(H3254,[1]products!$B:$D,3,0)</f>
        <v>7</v>
      </c>
      <c r="J3254" t="str">
        <f>VLOOKUP(I3254,[2]categories!$A$2:$B$8,2,0)</f>
        <v>Road Bikes</v>
      </c>
    </row>
    <row r="3255" spans="1:10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 s="1">
        <f t="shared" si="50"/>
        <v>398.981</v>
      </c>
      <c r="H3255" t="str">
        <f>VLOOKUP(C3255,[1]products!$A:$B,2,0)</f>
        <v>Trek Precaliber 16 Boys - 2017</v>
      </c>
      <c r="I3255">
        <f>VLOOKUP(H3255,[1]products!$B:$D,3,0)</f>
        <v>1</v>
      </c>
      <c r="J3255" t="str">
        <f>VLOOKUP(I3255,[2]categories!$A$2:$B$8,2,0)</f>
        <v>Children Bicycles</v>
      </c>
    </row>
    <row r="3256" spans="1:10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 s="1">
        <f t="shared" si="50"/>
        <v>539.982</v>
      </c>
      <c r="H3256" t="str">
        <f>VLOOKUP(C3256,[1]products!$A:$B,2,0)</f>
        <v>Electra Girl's Hawaii 1 (20-inch) - 2015/2016</v>
      </c>
      <c r="I3256">
        <f>VLOOKUP(H3256,[1]products!$B:$D,3,0)</f>
        <v>1</v>
      </c>
      <c r="J3256" t="str">
        <f>VLOOKUP(I3256,[2]categories!$A$2:$B$8,2,0)</f>
        <v>Children Bicycles</v>
      </c>
    </row>
    <row r="3257" spans="1:10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0.07</v>
      </c>
      <c r="G3257" s="1">
        <f t="shared" si="50"/>
        <v>650.9814</v>
      </c>
      <c r="H3257" t="str">
        <f>VLOOKUP(C3257,[1]products!$A:$B,2,0)</f>
        <v>Electra Moto 3i (20-inch) - Boy's - 2017</v>
      </c>
      <c r="I3257">
        <f>VLOOKUP(H3257,[1]products!$B:$D,3,0)</f>
        <v>1</v>
      </c>
      <c r="J3257" t="str">
        <f>VLOOKUP(I3257,[2]categories!$A$2:$B$8,2,0)</f>
        <v>Children Bicycles</v>
      </c>
    </row>
    <row r="3258" spans="1:10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 s="1">
        <f t="shared" si="50"/>
        <v>303.992</v>
      </c>
      <c r="H3258" t="str">
        <f>VLOOKUP(C3258,[1]products!$A:$B,2,0)</f>
        <v>Haro Flightline One ST - 2017</v>
      </c>
      <c r="I3258">
        <f>VLOOKUP(H3258,[1]products!$B:$D,3,0)</f>
        <v>6</v>
      </c>
      <c r="J3258" t="str">
        <f>VLOOKUP(I3258,[2]categories!$A$2:$B$8,2,0)</f>
        <v>Mountain Bikes</v>
      </c>
    </row>
    <row r="3259" spans="1:10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 s="1">
        <f t="shared" si="50"/>
        <v>512.9905</v>
      </c>
      <c r="H3259" t="str">
        <f>VLOOKUP(C3259,[1]products!$A:$B,2,0)</f>
        <v>Haro SR 1.1 - 2017</v>
      </c>
      <c r="I3259">
        <f>VLOOKUP(H3259,[1]products!$B:$D,3,0)</f>
        <v>6</v>
      </c>
      <c r="J3259" t="str">
        <f>VLOOKUP(I3259,[2]categories!$A$2:$B$8,2,0)</f>
        <v>Mountain Bikes</v>
      </c>
    </row>
    <row r="3260" spans="1:10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 s="1">
        <f t="shared" si="50"/>
        <v>1239.2</v>
      </c>
      <c r="H3260" t="str">
        <f>VLOOKUP(C3260,[1]products!$A:$B,2,0)</f>
        <v>Surly Straggler - 2016</v>
      </c>
      <c r="I3260">
        <f>VLOOKUP(H3260,[1]products!$B:$D,3,0)</f>
        <v>4</v>
      </c>
      <c r="J3260" t="str">
        <f>VLOOKUP(I3260,[2]categories!$A$2:$B$8,2,0)</f>
        <v>Cyclocross Bicycles</v>
      </c>
    </row>
    <row r="3261" spans="1:10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 s="1">
        <f t="shared" si="50"/>
        <v>659.281</v>
      </c>
      <c r="H3261" t="str">
        <f>VLOOKUP(C3261,[1]products!$A:$B,2,0)</f>
        <v>Sun Bicycles Lil Bolt Type-R - 2017</v>
      </c>
      <c r="I3261">
        <f>VLOOKUP(H3261,[1]products!$B:$D,3,0)</f>
        <v>3</v>
      </c>
      <c r="J3261" t="str">
        <f>VLOOKUP(I3261,[2]categories!$A$2:$B$8,2,0)</f>
        <v>Cruisers Bicycles</v>
      </c>
    </row>
    <row r="3262" spans="1:10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 s="1">
        <f t="shared" si="50"/>
        <v>667.184</v>
      </c>
      <c r="H3262" t="str">
        <f>VLOOKUP(C3262,[1]products!$A:$B,2,0)</f>
        <v>Sun Bicycles Atlas X-Type - 2017</v>
      </c>
      <c r="I3262">
        <f>VLOOKUP(H3262,[1]products!$B:$D,3,0)</f>
        <v>3</v>
      </c>
      <c r="J3262" t="str">
        <f>VLOOKUP(I3262,[2]categories!$A$2:$B$8,2,0)</f>
        <v>Cruisers Bicycles</v>
      </c>
    </row>
    <row r="3263" spans="1:10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 s="1">
        <f t="shared" si="50"/>
        <v>4399.992</v>
      </c>
      <c r="H3263" t="str">
        <f>VLOOKUP(C3263,[1]products!$A:$B,2,0)</f>
        <v>Trek Domane SLR 6 Disc - 2017</v>
      </c>
      <c r="I3263">
        <f>VLOOKUP(H3263,[1]products!$B:$D,3,0)</f>
        <v>7</v>
      </c>
      <c r="J3263" t="str">
        <f>VLOOKUP(I3263,[2]categories!$A$2:$B$8,2,0)</f>
        <v>Road Bikes</v>
      </c>
    </row>
    <row r="3264" spans="1:10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 s="1">
        <f t="shared" si="50"/>
        <v>9499.981</v>
      </c>
      <c r="H3264" t="str">
        <f>VLOOKUP(C3264,[1]products!$A:$B,2,0)</f>
        <v>Trek Powerfly 8 FS Plus - 2017</v>
      </c>
      <c r="I3264">
        <f>VLOOKUP(H3264,[1]products!$B:$D,3,0)</f>
        <v>5</v>
      </c>
      <c r="J3264" t="str">
        <f>VLOOKUP(I3264,[2]categories!$A$2:$B$8,2,0)</f>
        <v>Electric Bikes</v>
      </c>
    </row>
    <row r="3265" spans="1:10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 s="1">
        <f t="shared" si="50"/>
        <v>5119.984</v>
      </c>
      <c r="H3265" t="str">
        <f>VLOOKUP(C3265,[1]products!$A:$B,2,0)</f>
        <v>Trek Domane SL Disc Frameset - 2017</v>
      </c>
      <c r="I3265">
        <f>VLOOKUP(H3265,[1]products!$B:$D,3,0)</f>
        <v>7</v>
      </c>
      <c r="J3265" t="str">
        <f>VLOOKUP(I3265,[2]categories!$A$2:$B$8,2,0)</f>
        <v>Road Bikes</v>
      </c>
    </row>
    <row r="3266" spans="1:10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0.07</v>
      </c>
      <c r="G3266" s="1">
        <f t="shared" ref="G3266:G3329" si="51">D3266*E3266*(1-F3266)</f>
        <v>2901.5814</v>
      </c>
      <c r="H3266" t="str">
        <f>VLOOKUP(C3266,[1]products!$A:$B,2,0)</f>
        <v>Sun Bicycles ElectroLite - 2017</v>
      </c>
      <c r="I3266">
        <f>VLOOKUP(H3266,[1]products!$B:$D,3,0)</f>
        <v>5</v>
      </c>
      <c r="J3266" t="str">
        <f>VLOOKUP(I3266,[2]categories!$A$2:$B$8,2,0)</f>
        <v>Electric Bikes</v>
      </c>
    </row>
    <row r="3267" spans="1:10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 s="1">
        <f t="shared" si="51"/>
        <v>1048.781</v>
      </c>
      <c r="H3267" t="str">
        <f>VLOOKUP(C3267,[1]products!$A:$B,2,0)</f>
        <v>Sun Bicycles Streamway 3 - 2017</v>
      </c>
      <c r="I3267">
        <f>VLOOKUP(H3267,[1]products!$B:$D,3,0)</f>
        <v>2</v>
      </c>
      <c r="J3267" t="str">
        <f>VLOOKUP(I3267,[2]categories!$A$2:$B$8,2,0)</f>
        <v>Comfort Bicycles</v>
      </c>
    </row>
    <row r="3268" spans="1:10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 s="1">
        <f t="shared" si="51"/>
        <v>5034.9905</v>
      </c>
      <c r="H3268" t="str">
        <f>VLOOKUP(C3268,[1]products!$A:$B,2,0)</f>
        <v>Trek Fuel EX 9.8 27.5 Plus - 2017</v>
      </c>
      <c r="I3268">
        <f>VLOOKUP(H3268,[1]products!$B:$D,3,0)</f>
        <v>6</v>
      </c>
      <c r="J3268" t="str">
        <f>VLOOKUP(I3268,[2]categories!$A$2:$B$8,2,0)</f>
        <v>Mountain Bikes</v>
      </c>
    </row>
    <row r="3269" spans="1:10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 s="1">
        <f t="shared" si="51"/>
        <v>1394.1</v>
      </c>
      <c r="H3269" t="str">
        <f>VLOOKUP(C3269,[1]products!$A:$B,2,0)</f>
        <v>Surly Straggler - 2016</v>
      </c>
      <c r="I3269">
        <f>VLOOKUP(H3269,[1]products!$B:$D,3,0)</f>
        <v>4</v>
      </c>
      <c r="J3269" t="str">
        <f>VLOOKUP(I3269,[2]categories!$A$2:$B$8,2,0)</f>
        <v>Cyclocross Bicycles</v>
      </c>
    </row>
    <row r="3270" spans="1:10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 s="1">
        <f t="shared" si="51"/>
        <v>1499.382</v>
      </c>
      <c r="H3270" t="str">
        <f>VLOOKUP(C3270,[1]products!$A:$B,2,0)</f>
        <v>Surly Troll Frameset - 2017</v>
      </c>
      <c r="I3270">
        <f>VLOOKUP(H3270,[1]products!$B:$D,3,0)</f>
        <v>6</v>
      </c>
      <c r="J3270" t="str">
        <f>VLOOKUP(I3270,[2]categories!$A$2:$B$8,2,0)</f>
        <v>Mountain Bikes</v>
      </c>
    </row>
    <row r="3271" spans="1:10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 s="1">
        <f t="shared" si="51"/>
        <v>569.9905</v>
      </c>
      <c r="H3271" t="str">
        <f>VLOOKUP(C3271,[1]products!$A:$B,2,0)</f>
        <v>Electra Townie Original 7D EQ - 2016</v>
      </c>
      <c r="I3271">
        <f>VLOOKUP(H3271,[1]products!$B:$D,3,0)</f>
        <v>3</v>
      </c>
      <c r="J3271" t="str">
        <f>VLOOKUP(I3271,[2]categories!$A$2:$B$8,2,0)</f>
        <v>Cruisers Bicycles</v>
      </c>
    </row>
    <row r="3272" spans="1:10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 s="1">
        <f t="shared" si="51"/>
        <v>5509.981</v>
      </c>
      <c r="H3272" t="str">
        <f>VLOOKUP(C3272,[1]products!$A:$B,2,0)</f>
        <v>Trek Fuel EX 8 29 - 2016</v>
      </c>
      <c r="I3272">
        <f>VLOOKUP(H3272,[1]products!$B:$D,3,0)</f>
        <v>6</v>
      </c>
      <c r="J3272" t="str">
        <f>VLOOKUP(I3272,[2]categories!$A$2:$B$8,2,0)</f>
        <v>Mountain Bikes</v>
      </c>
    </row>
    <row r="3273" spans="1:10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0.07</v>
      </c>
      <c r="G3273" s="1">
        <f t="shared" si="51"/>
        <v>398.97</v>
      </c>
      <c r="H3273" t="str">
        <f>VLOOKUP(C3273,[1]products!$A:$B,2,0)</f>
        <v>Pure Cycles Vine 8-Speed - 2016</v>
      </c>
      <c r="I3273">
        <f>VLOOKUP(H3273,[1]products!$B:$D,3,0)</f>
        <v>3</v>
      </c>
      <c r="J3273" t="str">
        <f>VLOOKUP(I3273,[2]categories!$A$2:$B$8,2,0)</f>
        <v>Cruisers Bicycles</v>
      </c>
    </row>
    <row r="3274" spans="1:10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 s="1">
        <f t="shared" si="51"/>
        <v>335.984</v>
      </c>
      <c r="H3274" t="str">
        <f>VLOOKUP(C3274,[1]products!$A:$B,2,0)</f>
        <v>Trek Precaliber 16 Girls - 2017</v>
      </c>
      <c r="I3274">
        <f>VLOOKUP(H3274,[1]products!$B:$D,3,0)</f>
        <v>1</v>
      </c>
      <c r="J3274" t="str">
        <f>VLOOKUP(I3274,[2]categories!$A$2:$B$8,2,0)</f>
        <v>Children Bicycles</v>
      </c>
    </row>
    <row r="3275" spans="1:10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 s="1">
        <f t="shared" si="51"/>
        <v>2799.992</v>
      </c>
      <c r="H3275" t="str">
        <f>VLOOKUP(C3275,[1]products!$A:$B,2,0)</f>
        <v>Trek Boone 7 - 2017</v>
      </c>
      <c r="I3275">
        <f>VLOOKUP(H3275,[1]products!$B:$D,3,0)</f>
        <v>4</v>
      </c>
      <c r="J3275" t="str">
        <f>VLOOKUP(I3275,[2]categories!$A$2:$B$8,2,0)</f>
        <v>Cyclocross Bicycles</v>
      </c>
    </row>
    <row r="3276" spans="1:10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 s="1">
        <f t="shared" si="51"/>
        <v>314.991</v>
      </c>
      <c r="H3276" t="str">
        <f>VLOOKUP(C3276,[1]products!$A:$B,2,0)</f>
        <v>Electra Savannah 3i (20-inch) - Girl's - 2017</v>
      </c>
      <c r="I3276">
        <f>VLOOKUP(H3276,[1]products!$B:$D,3,0)</f>
        <v>1</v>
      </c>
      <c r="J3276" t="str">
        <f>VLOOKUP(I3276,[2]categories!$A$2:$B$8,2,0)</f>
        <v>Children Bicycles</v>
      </c>
    </row>
    <row r="3277" spans="1:10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 s="1">
        <f t="shared" si="51"/>
        <v>749.691</v>
      </c>
      <c r="H3277" t="str">
        <f>VLOOKUP(C3277,[1]products!$A:$B,2,0)</f>
        <v>Surly Troll Frameset - 2017</v>
      </c>
      <c r="I3277">
        <f>VLOOKUP(H3277,[1]products!$B:$D,3,0)</f>
        <v>6</v>
      </c>
      <c r="J3277" t="str">
        <f>VLOOKUP(I3277,[2]categories!$A$2:$B$8,2,0)</f>
        <v>Mountain Bikes</v>
      </c>
    </row>
    <row r="3278" spans="1:10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 s="1">
        <f t="shared" si="51"/>
        <v>645.981</v>
      </c>
      <c r="H3278" t="str">
        <f>VLOOKUP(C3278,[1]products!$A:$B,2,0)</f>
        <v>Electra Townie 7D (20-inch) - Boys' - 2017</v>
      </c>
      <c r="I3278">
        <f>VLOOKUP(H3278,[1]products!$B:$D,3,0)</f>
        <v>1</v>
      </c>
      <c r="J3278" t="str">
        <f>VLOOKUP(I3278,[2]categories!$A$2:$B$8,2,0)</f>
        <v>Children Bicycles</v>
      </c>
    </row>
    <row r="3279" spans="1:10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 s="1">
        <f t="shared" si="51"/>
        <v>5849.991</v>
      </c>
      <c r="H3279" t="str">
        <f>VLOOKUP(C3279,[1]products!$A:$B,2,0)</f>
        <v>Trek Silque SLR 8 Women's - 2017</v>
      </c>
      <c r="I3279">
        <f>VLOOKUP(H3279,[1]products!$B:$D,3,0)</f>
        <v>7</v>
      </c>
      <c r="J3279" t="str">
        <f>VLOOKUP(I3279,[2]categories!$A$2:$B$8,2,0)</f>
        <v>Road Bikes</v>
      </c>
    </row>
    <row r="3280" spans="1:10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 s="1">
        <f t="shared" si="51"/>
        <v>480.591</v>
      </c>
      <c r="H3280" t="str">
        <f>VLOOKUP(C3280,[1]products!$A:$B,2,0)</f>
        <v>Sun Bicycles Streamway 7 - 2017</v>
      </c>
      <c r="I3280">
        <f>VLOOKUP(H3280,[1]products!$B:$D,3,0)</f>
        <v>2</v>
      </c>
      <c r="J3280" t="str">
        <f>VLOOKUP(I3280,[2]categories!$A$2:$B$8,2,0)</f>
        <v>Comfort Bicycles</v>
      </c>
    </row>
    <row r="3281" spans="1:10">
      <c r="A3281">
        <v>1137</v>
      </c>
      <c r="B3281">
        <v>1</v>
      </c>
      <c r="C3281">
        <v>28</v>
      </c>
      <c r="D3281">
        <v>1</v>
      </c>
      <c r="E3281">
        <v>2499.99</v>
      </c>
      <c r="F3281">
        <v>0.2</v>
      </c>
      <c r="G3281" s="1">
        <f t="shared" si="51"/>
        <v>1999.992</v>
      </c>
      <c r="H3281" t="str">
        <f>VLOOKUP(C3281,[1]products!$A:$B,2,0)</f>
        <v>Surly Karate Monkey 27.5+ Frameset - 2017</v>
      </c>
      <c r="I3281">
        <f>VLOOKUP(H3281,[1]products!$B:$D,3,0)</f>
        <v>6</v>
      </c>
      <c r="J3281" t="str">
        <f>VLOOKUP(I3281,[2]categories!$A$2:$B$8,2,0)</f>
        <v>Mountain Bikes</v>
      </c>
    </row>
    <row r="3282" spans="1:10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 s="1">
        <f t="shared" si="51"/>
        <v>7999.984</v>
      </c>
      <c r="H3282" t="str">
        <f>VLOOKUP(C3282,[1]products!$A:$B,2,0)</f>
        <v>Trek Madone 9.2 - 2017</v>
      </c>
      <c r="I3282">
        <f>VLOOKUP(H3282,[1]products!$B:$D,3,0)</f>
        <v>7</v>
      </c>
      <c r="J3282" t="str">
        <f>VLOOKUP(I3282,[2]categories!$A$2:$B$8,2,0)</f>
        <v>Road Bikes</v>
      </c>
    </row>
    <row r="3283" spans="1:10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 s="1">
        <f t="shared" si="51"/>
        <v>175.984</v>
      </c>
      <c r="H3283" t="str">
        <f>VLOOKUP(C3283,[1]products!$A:$B,2,0)</f>
        <v>Sun Bicycles Lil Kitt'n - 2017</v>
      </c>
      <c r="I3283">
        <f>VLOOKUP(H3283,[1]products!$B:$D,3,0)</f>
        <v>1</v>
      </c>
      <c r="J3283" t="str">
        <f>VLOOKUP(I3283,[2]categories!$A$2:$B$8,2,0)</f>
        <v>Children Bicycles</v>
      </c>
    </row>
    <row r="3284" spans="1:10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0.07</v>
      </c>
      <c r="G3284" s="1">
        <f t="shared" si="51"/>
        <v>775.6014</v>
      </c>
      <c r="H3284" t="str">
        <f>VLOOKUP(C3284,[1]products!$A:$B,2,0)</f>
        <v>Sun Bicycles Cruz 7 - 2017</v>
      </c>
      <c r="I3284">
        <f>VLOOKUP(H3284,[1]products!$B:$D,3,0)</f>
        <v>3</v>
      </c>
      <c r="J3284" t="str">
        <f>VLOOKUP(I3284,[2]categories!$A$2:$B$8,2,0)</f>
        <v>Cruisers Bicycles</v>
      </c>
    </row>
    <row r="3285" spans="1:10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 s="1">
        <f t="shared" si="51"/>
        <v>512.981</v>
      </c>
      <c r="H3285" t="str">
        <f>VLOOKUP(C3285,[1]products!$A:$B,2,0)</f>
        <v>Electra Cruiser 1 (24-Inch) - 2016</v>
      </c>
      <c r="I3285">
        <f>VLOOKUP(H3285,[1]products!$B:$D,3,0)</f>
        <v>3</v>
      </c>
      <c r="J3285" t="str">
        <f>VLOOKUP(I3285,[2]categories!$A$2:$B$8,2,0)</f>
        <v>Cruisers Bicycles</v>
      </c>
    </row>
    <row r="3286" spans="1:10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 s="1">
        <f t="shared" si="51"/>
        <v>1014.581</v>
      </c>
      <c r="H3286" t="str">
        <f>VLOOKUP(C3286,[1]products!$A:$B,2,0)</f>
        <v>Sun Bicycles Streamway 7 - 2017</v>
      </c>
      <c r="I3286">
        <f>VLOOKUP(H3286,[1]products!$B:$D,3,0)</f>
        <v>2</v>
      </c>
      <c r="J3286" t="str">
        <f>VLOOKUP(I3286,[2]categories!$A$2:$B$8,2,0)</f>
        <v>Comfort Bicycles</v>
      </c>
    </row>
    <row r="3287" spans="1:10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 s="1">
        <f t="shared" si="51"/>
        <v>188.991</v>
      </c>
      <c r="H3287" t="str">
        <f>VLOOKUP(C3287,[1]products!$A:$B,2,0)</f>
        <v>Haro Shredder 20 Girls - 2017</v>
      </c>
      <c r="I3287">
        <f>VLOOKUP(H3287,[1]products!$B:$D,3,0)</f>
        <v>1</v>
      </c>
      <c r="J3287" t="str">
        <f>VLOOKUP(I3287,[2]categories!$A$2:$B$8,2,0)</f>
        <v>Children Bicycles</v>
      </c>
    </row>
    <row r="3288" spans="1:10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 s="1">
        <f t="shared" si="51"/>
        <v>854.981</v>
      </c>
      <c r="H3288" t="str">
        <f>VLOOKUP(C3288,[1]products!$A:$B,2,0)</f>
        <v>Sun Bicycles Cruz 3 - 2017</v>
      </c>
      <c r="I3288">
        <f>VLOOKUP(H3288,[1]products!$B:$D,3,0)</f>
        <v>3</v>
      </c>
      <c r="J3288" t="str">
        <f>VLOOKUP(I3288,[2]categories!$A$2:$B$8,2,0)</f>
        <v>Cruisers Bicycles</v>
      </c>
    </row>
    <row r="3289" spans="1:10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 s="1">
        <f t="shared" si="51"/>
        <v>971.982</v>
      </c>
      <c r="H3289" t="str">
        <f>VLOOKUP(C3289,[1]products!$A:$B,2,0)</f>
        <v>Haro SR 1.1 - 2017</v>
      </c>
      <c r="I3289">
        <f>VLOOKUP(H3289,[1]products!$B:$D,3,0)</f>
        <v>6</v>
      </c>
      <c r="J3289" t="str">
        <f>VLOOKUP(I3289,[2]categories!$A$2:$B$8,2,0)</f>
        <v>Mountain Bikes</v>
      </c>
    </row>
    <row r="3290" spans="1:10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 s="1">
        <f t="shared" si="51"/>
        <v>396.1405</v>
      </c>
      <c r="H3290" t="str">
        <f>VLOOKUP(C3290,[1]products!$A:$B,2,0)</f>
        <v>Sun Bicycles Cruz 7 - 2017</v>
      </c>
      <c r="I3290">
        <f>VLOOKUP(H3290,[1]products!$B:$D,3,0)</f>
        <v>3</v>
      </c>
      <c r="J3290" t="str">
        <f>VLOOKUP(I3290,[2]categories!$A$2:$B$8,2,0)</f>
        <v>Cruisers Bicycles</v>
      </c>
    </row>
    <row r="3291" spans="1:10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 s="1">
        <f t="shared" si="51"/>
        <v>899.982</v>
      </c>
      <c r="H3291" t="str">
        <f>VLOOKUP(C3291,[1]products!$A:$B,2,0)</f>
        <v>Electra Townie Original 7D - 2015/2016</v>
      </c>
      <c r="I3291">
        <f>VLOOKUP(H3291,[1]products!$B:$D,3,0)</f>
        <v>2</v>
      </c>
      <c r="J3291" t="str">
        <f>VLOOKUP(I3291,[2]categories!$A$2:$B$8,2,0)</f>
        <v>Comfort Bicycles</v>
      </c>
    </row>
    <row r="3292" spans="1:10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 s="1">
        <f t="shared" si="51"/>
        <v>3599.991</v>
      </c>
      <c r="H3292" t="str">
        <f>VLOOKUP(C3292,[1]products!$A:$B,2,0)</f>
        <v>Trek Slash 8 27.5 - 2016</v>
      </c>
      <c r="I3292">
        <f>VLOOKUP(H3292,[1]products!$B:$D,3,0)</f>
        <v>6</v>
      </c>
      <c r="J3292" t="str">
        <f>VLOOKUP(I3292,[2]categories!$A$2:$B$8,2,0)</f>
        <v>Mountain Bikes</v>
      </c>
    </row>
    <row r="3293" spans="1:10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 s="1">
        <f t="shared" si="51"/>
        <v>2699.982</v>
      </c>
      <c r="H3293" t="str">
        <f>VLOOKUP(C3293,[1]products!$A:$B,2,0)</f>
        <v>Trek Stache 5 - 2017</v>
      </c>
      <c r="I3293">
        <f>VLOOKUP(H3293,[1]products!$B:$D,3,0)</f>
        <v>6</v>
      </c>
      <c r="J3293" t="str">
        <f>VLOOKUP(I3293,[2]categories!$A$2:$B$8,2,0)</f>
        <v>Mountain Bikes</v>
      </c>
    </row>
    <row r="3294" spans="1:10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0.07</v>
      </c>
      <c r="G3294" s="1">
        <f t="shared" si="51"/>
        <v>775.6014</v>
      </c>
      <c r="H3294" t="str">
        <f>VLOOKUP(C3294,[1]products!$A:$B,2,0)</f>
        <v>Sun Bicycles Atlas X-Type - 2017</v>
      </c>
      <c r="I3294">
        <f>VLOOKUP(H3294,[1]products!$B:$D,3,0)</f>
        <v>3</v>
      </c>
      <c r="J3294" t="str">
        <f>VLOOKUP(I3294,[2]categories!$A$2:$B$8,2,0)</f>
        <v>Cruisers Bicycles</v>
      </c>
    </row>
    <row r="3295" spans="1:10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 s="1">
        <f t="shared" si="51"/>
        <v>989.982</v>
      </c>
      <c r="H3295" t="str">
        <f>VLOOKUP(C3295,[1]products!$A:$B,2,0)</f>
        <v>Haro Flightline Two 26 Plus - 2017</v>
      </c>
      <c r="I3295">
        <f>VLOOKUP(H3295,[1]products!$B:$D,3,0)</f>
        <v>6</v>
      </c>
      <c r="J3295" t="str">
        <f>VLOOKUP(I3295,[2]categories!$A$2:$B$8,2,0)</f>
        <v>Mountain Bikes</v>
      </c>
    </row>
    <row r="3296" spans="1:10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0.07</v>
      </c>
      <c r="G3296" s="1">
        <f t="shared" si="51"/>
        <v>9299.9814</v>
      </c>
      <c r="H3296" t="str">
        <f>VLOOKUP(C3296,[1]products!$A:$B,2,0)</f>
        <v>Trek Fuel EX 9.8 29 - 2017</v>
      </c>
      <c r="I3296">
        <f>VLOOKUP(H3296,[1]products!$B:$D,3,0)</f>
        <v>6</v>
      </c>
      <c r="J3296" t="str">
        <f>VLOOKUP(I3296,[2]categories!$A$2:$B$8,2,0)</f>
        <v>Mountain Bikes</v>
      </c>
    </row>
    <row r="3297" spans="1:10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 s="1">
        <f t="shared" si="51"/>
        <v>1619.991</v>
      </c>
      <c r="H3297" t="str">
        <f>VLOOKUP(C3297,[1]products!$A:$B,2,0)</f>
        <v>Trek Remedy 29 Carbon Frameset - 2016</v>
      </c>
      <c r="I3297">
        <f>VLOOKUP(H3297,[1]products!$B:$D,3,0)</f>
        <v>6</v>
      </c>
      <c r="J3297" t="str">
        <f>VLOOKUP(I3297,[2]categories!$A$2:$B$8,2,0)</f>
        <v>Mountain Bikes</v>
      </c>
    </row>
    <row r="3298" spans="1:10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0.07</v>
      </c>
      <c r="G3298" s="1">
        <f t="shared" si="51"/>
        <v>1115.9814</v>
      </c>
      <c r="H3298" t="str">
        <f>VLOOKUP(C3298,[1]products!$A:$B,2,0)</f>
        <v>Electra Townie Original 7D EQ - Women's - 2016</v>
      </c>
      <c r="I3298">
        <f>VLOOKUP(H3298,[1]products!$B:$D,3,0)</f>
        <v>3</v>
      </c>
      <c r="J3298" t="str">
        <f>VLOOKUP(I3298,[2]categories!$A$2:$B$8,2,0)</f>
        <v>Cruisers Bicycles</v>
      </c>
    </row>
    <row r="3299" spans="1:10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 s="1">
        <f t="shared" si="51"/>
        <v>899.991</v>
      </c>
      <c r="H3299" t="str">
        <f>VLOOKUP(C3299,[1]products!$A:$B,2,0)</f>
        <v>Surly Ice Cream Truck Frameset - 2017</v>
      </c>
      <c r="I3299">
        <f>VLOOKUP(H3299,[1]products!$B:$D,3,0)</f>
        <v>6</v>
      </c>
      <c r="J3299" t="str">
        <f>VLOOKUP(I3299,[2]categories!$A$2:$B$8,2,0)</f>
        <v>Mountain Bikes</v>
      </c>
    </row>
    <row r="3300" spans="1:10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 s="1">
        <f t="shared" si="51"/>
        <v>792.281</v>
      </c>
      <c r="H3300" t="str">
        <f>VLOOKUP(C3300,[1]products!$A:$B,2,0)</f>
        <v>Sun Bicycles Cruz 7 - Women's - 2017</v>
      </c>
      <c r="I3300">
        <f>VLOOKUP(H3300,[1]products!$B:$D,3,0)</f>
        <v>2</v>
      </c>
      <c r="J3300" t="str">
        <f>VLOOKUP(I3300,[2]categories!$A$2:$B$8,2,0)</f>
        <v>Comfort Bicycles</v>
      </c>
    </row>
    <row r="3301" spans="1:10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 s="1">
        <f t="shared" si="51"/>
        <v>719.984</v>
      </c>
      <c r="H3301" t="str">
        <f>VLOOKUP(C3301,[1]products!$A:$B,2,0)</f>
        <v>Sun Bicycles Cruz 3 - Women's - 2017</v>
      </c>
      <c r="I3301">
        <f>VLOOKUP(H3301,[1]products!$B:$D,3,0)</f>
        <v>2</v>
      </c>
      <c r="J3301" t="str">
        <f>VLOOKUP(I3301,[2]categories!$A$2:$B$8,2,0)</f>
        <v>Comfort Bicycles</v>
      </c>
    </row>
    <row r="3302" spans="1:10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 s="1">
        <f t="shared" si="51"/>
        <v>930.981</v>
      </c>
      <c r="H3302" t="str">
        <f>VLOOKUP(C3302,[1]products!$A:$B,2,0)</f>
        <v>Electra Townie 3i EQ (20-inch) - Boys' - 2017</v>
      </c>
      <c r="I3302">
        <f>VLOOKUP(H3302,[1]products!$B:$D,3,0)</f>
        <v>1</v>
      </c>
      <c r="J3302" t="str">
        <f>VLOOKUP(I3302,[2]categories!$A$2:$B$8,2,0)</f>
        <v>Children Bicycles</v>
      </c>
    </row>
    <row r="3303" spans="1:10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 s="1">
        <f t="shared" si="51"/>
        <v>239.992</v>
      </c>
      <c r="H3303" t="str">
        <f>VLOOKUP(C3303,[1]products!$A:$B,2,0)</f>
        <v>Electra Sugar Skulls 1 (20-inch) - Girl's - 2017</v>
      </c>
      <c r="I3303">
        <f>VLOOKUP(H3303,[1]products!$B:$D,3,0)</f>
        <v>1</v>
      </c>
      <c r="J3303" t="str">
        <f>VLOOKUP(I3303,[2]categories!$A$2:$B$8,2,0)</f>
        <v>Children Bicycles</v>
      </c>
    </row>
    <row r="3304" spans="1:10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 s="1">
        <f t="shared" si="51"/>
        <v>1199.992</v>
      </c>
      <c r="H3304" t="str">
        <f>VLOOKUP(C3304,[1]products!$A:$B,2,0)</f>
        <v>Trek Emonda S 4 - 2017</v>
      </c>
      <c r="I3304">
        <f>VLOOKUP(H3304,[1]products!$B:$D,3,0)</f>
        <v>7</v>
      </c>
      <c r="J3304" t="str">
        <f>VLOOKUP(I3304,[2]categories!$A$2:$B$8,2,0)</f>
        <v>Road Bikes</v>
      </c>
    </row>
    <row r="3305" spans="1:10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 s="1">
        <f t="shared" si="51"/>
        <v>750.582</v>
      </c>
      <c r="H3305" t="str">
        <f>VLOOKUP(C3305,[1]products!$A:$B,2,0)</f>
        <v>Sun Bicycles Cruz 7 - 2017</v>
      </c>
      <c r="I3305">
        <f>VLOOKUP(H3305,[1]products!$B:$D,3,0)</f>
        <v>3</v>
      </c>
      <c r="J3305" t="str">
        <f>VLOOKUP(I3305,[2]categories!$A$2:$B$8,2,0)</f>
        <v>Cruisers Bicycles</v>
      </c>
    </row>
    <row r="3306" spans="1:10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0.07</v>
      </c>
      <c r="G3306" s="1">
        <f t="shared" si="51"/>
        <v>176.6907</v>
      </c>
      <c r="H3306" t="str">
        <f>VLOOKUP(C3306,[1]products!$A:$B,2,0)</f>
        <v>Trek Precaliber 12 Girls - 2017</v>
      </c>
      <c r="I3306">
        <f>VLOOKUP(H3306,[1]products!$B:$D,3,0)</f>
        <v>1</v>
      </c>
      <c r="J3306" t="str">
        <f>VLOOKUP(I3306,[2]categories!$A$2:$B$8,2,0)</f>
        <v>Children Bicycles</v>
      </c>
    </row>
    <row r="3307" spans="1:10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0.07</v>
      </c>
      <c r="G3307" s="1">
        <f t="shared" si="51"/>
        <v>993.2214</v>
      </c>
      <c r="H3307" t="str">
        <f>VLOOKUP(C3307,[1]products!$A:$B,2,0)</f>
        <v>Sun Bicycles Streamway 7 - 2017</v>
      </c>
      <c r="I3307">
        <f>VLOOKUP(H3307,[1]products!$B:$D,3,0)</f>
        <v>2</v>
      </c>
      <c r="J3307" t="str">
        <f>VLOOKUP(I3307,[2]categories!$A$2:$B$8,2,0)</f>
        <v>Comfort Bicycles</v>
      </c>
    </row>
    <row r="3308" spans="1:10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0.07</v>
      </c>
      <c r="G3308" s="1">
        <f t="shared" si="51"/>
        <v>774.6807</v>
      </c>
      <c r="H3308" t="str">
        <f>VLOOKUP(C3308,[1]products!$A:$B,2,0)</f>
        <v>Surly Troll Frameset - 2017</v>
      </c>
      <c r="I3308">
        <f>VLOOKUP(H3308,[1]products!$B:$D,3,0)</f>
        <v>6</v>
      </c>
      <c r="J3308" t="str">
        <f>VLOOKUP(I3308,[2]categories!$A$2:$B$8,2,0)</f>
        <v>Mountain Bikes</v>
      </c>
    </row>
    <row r="3309" spans="1:10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 s="1">
        <f t="shared" si="51"/>
        <v>391.992</v>
      </c>
      <c r="H3309" t="str">
        <f>VLOOKUP(C3309,[1]products!$A:$B,2,0)</f>
        <v>Electra Townie Original 7D - 2017</v>
      </c>
      <c r="I3309">
        <f>VLOOKUP(H3309,[1]products!$B:$D,3,0)</f>
        <v>3</v>
      </c>
      <c r="J3309" t="str">
        <f>VLOOKUP(I3309,[2]categories!$A$2:$B$8,2,0)</f>
        <v>Cruisers Bicycles</v>
      </c>
    </row>
    <row r="3310" spans="1:10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 s="1">
        <f t="shared" si="51"/>
        <v>1344.792</v>
      </c>
      <c r="H3310" t="str">
        <f>VLOOKUP(C3310,[1]products!$A:$B,2,0)</f>
        <v>Surly Straggler 650b - 2016</v>
      </c>
      <c r="I3310">
        <f>VLOOKUP(H3310,[1]products!$B:$D,3,0)</f>
        <v>4</v>
      </c>
      <c r="J3310" t="str">
        <f>VLOOKUP(I3310,[2]categories!$A$2:$B$8,2,0)</f>
        <v>Cyclocross Bicycles</v>
      </c>
    </row>
    <row r="3311" spans="1:10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 s="1">
        <f t="shared" si="51"/>
        <v>527.992</v>
      </c>
      <c r="H3311" t="str">
        <f>VLOOKUP(C3311,[1]products!$A:$B,2,0)</f>
        <v>Electra Amsterdam Original 3i Ladies' - 2017</v>
      </c>
      <c r="I3311">
        <f>VLOOKUP(H3311,[1]products!$B:$D,3,0)</f>
        <v>3</v>
      </c>
      <c r="J3311" t="str">
        <f>VLOOKUP(I3311,[2]categories!$A$2:$B$8,2,0)</f>
        <v>Cruisers Bicycles</v>
      </c>
    </row>
    <row r="3312" spans="1:10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 s="1">
        <f t="shared" si="51"/>
        <v>2849.981</v>
      </c>
      <c r="H3312" t="str">
        <f>VLOOKUP(C3312,[1]products!$A:$B,2,0)</f>
        <v>Trek Stache 5 - 2017</v>
      </c>
      <c r="I3312">
        <f>VLOOKUP(H3312,[1]products!$B:$D,3,0)</f>
        <v>6</v>
      </c>
      <c r="J3312" t="str">
        <f>VLOOKUP(I3312,[2]categories!$A$2:$B$8,2,0)</f>
        <v>Mountain Bikes</v>
      </c>
    </row>
    <row r="3313" spans="1:10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0.07</v>
      </c>
      <c r="G3313" s="1">
        <f t="shared" si="51"/>
        <v>613.7907</v>
      </c>
      <c r="H3313" t="str">
        <f>VLOOKUP(C3313,[1]products!$A:$B,2,0)</f>
        <v>Electra Amsterdam Original 3i Ladies' - 2017</v>
      </c>
      <c r="I3313">
        <f>VLOOKUP(H3313,[1]products!$B:$D,3,0)</f>
        <v>3</v>
      </c>
      <c r="J3313" t="str">
        <f>VLOOKUP(I3313,[2]categories!$A$2:$B$8,2,0)</f>
        <v>Cruisers Bicycles</v>
      </c>
    </row>
    <row r="3314" spans="1:10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0.07</v>
      </c>
      <c r="G3314" s="1">
        <f t="shared" si="51"/>
        <v>251.0907</v>
      </c>
      <c r="H3314" t="str">
        <f>VLOOKUP(C3314,[1]products!$A:$B,2,0)</f>
        <v>Electra Girl's Hawaii 1 (16-inch) - 2015/2016</v>
      </c>
      <c r="I3314">
        <f>VLOOKUP(H3314,[1]products!$B:$D,3,0)</f>
        <v>3</v>
      </c>
      <c r="J3314" t="str">
        <f>VLOOKUP(I3314,[2]categories!$A$2:$B$8,2,0)</f>
        <v>Cruisers Bicycles</v>
      </c>
    </row>
    <row r="3315" spans="1:10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 s="1">
        <f t="shared" si="51"/>
        <v>1519.981</v>
      </c>
      <c r="H3315" t="str">
        <f>VLOOKUP(C3315,[1]products!$A:$B,2,0)</f>
        <v>Electra Glam Punk 3i Ladies' - 2017</v>
      </c>
      <c r="I3315">
        <f>VLOOKUP(H3315,[1]products!$B:$D,3,0)</f>
        <v>3</v>
      </c>
      <c r="J3315" t="str">
        <f>VLOOKUP(I3315,[2]categories!$A$2:$B$8,2,0)</f>
        <v>Cruisers Bicycles</v>
      </c>
    </row>
    <row r="3316" spans="1:10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 s="1">
        <f t="shared" si="51"/>
        <v>449.982</v>
      </c>
      <c r="H3316" t="str">
        <f>VLOOKUP(C3316,[1]products!$A:$B,2,0)</f>
        <v>Haro Shredder Pro 20 - 2017</v>
      </c>
      <c r="I3316">
        <f>VLOOKUP(H3316,[1]products!$B:$D,3,0)</f>
        <v>1</v>
      </c>
      <c r="J3316" t="str">
        <f>VLOOKUP(I3316,[2]categories!$A$2:$B$8,2,0)</f>
        <v>Children Bicycles</v>
      </c>
    </row>
    <row r="3317" spans="1:10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0.07</v>
      </c>
      <c r="G3317" s="1">
        <f t="shared" si="51"/>
        <v>911.3814</v>
      </c>
      <c r="H3317" t="str">
        <f>VLOOKUP(C3317,[1]products!$A:$B,2,0)</f>
        <v>Electra Straight 8 3i (20-inch) - Boy's - 2017</v>
      </c>
      <c r="I3317">
        <f>VLOOKUP(H3317,[1]products!$B:$D,3,0)</f>
        <v>1</v>
      </c>
      <c r="J3317" t="str">
        <f>VLOOKUP(I3317,[2]categories!$A$2:$B$8,2,0)</f>
        <v>Children Bicycles</v>
      </c>
    </row>
    <row r="3318" spans="1:10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 s="1">
        <f t="shared" si="51"/>
        <v>1424.9905</v>
      </c>
      <c r="H3318" t="str">
        <f>VLOOKUP(C3318,[1]products!$A:$B,2,0)</f>
        <v>Trek Emonda S 4 - 2017</v>
      </c>
      <c r="I3318">
        <f>VLOOKUP(H3318,[1]products!$B:$D,3,0)</f>
        <v>7</v>
      </c>
      <c r="J3318" t="str">
        <f>VLOOKUP(I3318,[2]categories!$A$2:$B$8,2,0)</f>
        <v>Road Bikes</v>
      </c>
    </row>
    <row r="3319" spans="1:10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 s="1">
        <f t="shared" si="51"/>
        <v>4749.9905</v>
      </c>
      <c r="H3319" t="str">
        <f>VLOOKUP(C3319,[1]products!$A:$B,2,0)</f>
        <v>Trek Madone 9.2 - 2017</v>
      </c>
      <c r="I3319">
        <f>VLOOKUP(H3319,[1]products!$B:$D,3,0)</f>
        <v>7</v>
      </c>
      <c r="J3319" t="str">
        <f>VLOOKUP(I3319,[2]categories!$A$2:$B$8,2,0)</f>
        <v>Road Bikes</v>
      </c>
    </row>
    <row r="3320" spans="1:10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 s="1">
        <f t="shared" si="51"/>
        <v>263.992</v>
      </c>
      <c r="H3320" t="str">
        <f>VLOOKUP(C3320,[1]products!$A:$B,2,0)</f>
        <v>Haro Downtown 16 - 2017</v>
      </c>
      <c r="I3320">
        <f>VLOOKUP(H3320,[1]products!$B:$D,3,0)</f>
        <v>1</v>
      </c>
      <c r="J3320" t="str">
        <f>VLOOKUP(I3320,[2]categories!$A$2:$B$8,2,0)</f>
        <v>Children Bicycles</v>
      </c>
    </row>
    <row r="3321" spans="1:10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 s="1">
        <f t="shared" si="51"/>
        <v>224.991</v>
      </c>
      <c r="H3321" t="str">
        <f>VLOOKUP(C3321,[1]products!$A:$B,2,0)</f>
        <v>Haro Shredder Pro 20 - 2017</v>
      </c>
      <c r="I3321">
        <f>VLOOKUP(H3321,[1]products!$B:$D,3,0)</f>
        <v>1</v>
      </c>
      <c r="J3321" t="str">
        <f>VLOOKUP(I3321,[2]categories!$A$2:$B$8,2,0)</f>
        <v>Children Bicycles</v>
      </c>
    </row>
    <row r="3322" spans="1:10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 s="1">
        <f t="shared" si="51"/>
        <v>949.9905</v>
      </c>
      <c r="H3322" t="str">
        <f>VLOOKUP(C3322,[1]products!$A:$B,2,0)</f>
        <v>Trek X-Caliber 8 - 2017</v>
      </c>
      <c r="I3322">
        <f>VLOOKUP(H3322,[1]products!$B:$D,3,0)</f>
        <v>6</v>
      </c>
      <c r="J3322" t="str">
        <f>VLOOKUP(I3322,[2]categories!$A$2:$B$8,2,0)</f>
        <v>Mountain Bikes</v>
      </c>
    </row>
    <row r="3323" spans="1:10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 s="1">
        <f t="shared" si="51"/>
        <v>332.4905</v>
      </c>
      <c r="H3323" t="str">
        <f>VLOOKUP(C3323,[1]products!$A:$B,2,0)</f>
        <v>Trek Precaliber 24 (21-Speed) - Girls - 2017</v>
      </c>
      <c r="I3323">
        <f>VLOOKUP(H3323,[1]products!$B:$D,3,0)</f>
        <v>1</v>
      </c>
      <c r="J3323" t="str">
        <f>VLOOKUP(I3323,[2]categories!$A$2:$B$8,2,0)</f>
        <v>Children Bicycles</v>
      </c>
    </row>
    <row r="3324" spans="1:10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0.07</v>
      </c>
      <c r="G3324" s="1">
        <f t="shared" si="51"/>
        <v>896.5014</v>
      </c>
      <c r="H3324" t="str">
        <f>VLOOKUP(C3324,[1]products!$A:$B,2,0)</f>
        <v>Sun Bicycles Streamway - 2017</v>
      </c>
      <c r="I3324">
        <f>VLOOKUP(H3324,[1]products!$B:$D,3,0)</f>
        <v>2</v>
      </c>
      <c r="J3324" t="str">
        <f>VLOOKUP(I3324,[2]categories!$A$2:$B$8,2,0)</f>
        <v>Comfort Bicycles</v>
      </c>
    </row>
    <row r="3325" spans="1:10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 s="1">
        <f t="shared" si="51"/>
        <v>485.982</v>
      </c>
      <c r="H3325" t="str">
        <f>VLOOKUP(C3325,[1]products!$A:$B,2,0)</f>
        <v>Electra Cruiser 1 (24-Inch) - 2016</v>
      </c>
      <c r="I3325">
        <f>VLOOKUP(H3325,[1]products!$B:$D,3,0)</f>
        <v>3</v>
      </c>
      <c r="J3325" t="str">
        <f>VLOOKUP(I3325,[2]categories!$A$2:$B$8,2,0)</f>
        <v>Cruisers Bicycles</v>
      </c>
    </row>
    <row r="3326" spans="1:10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 s="1">
        <f t="shared" si="51"/>
        <v>1899.981</v>
      </c>
      <c r="H3326" t="str">
        <f>VLOOKUP(C3326,[1]products!$A:$B,2,0)</f>
        <v>Surly Ice Cream Truck Frameset - 2017</v>
      </c>
      <c r="I3326">
        <f>VLOOKUP(H3326,[1]products!$B:$D,3,0)</f>
        <v>6</v>
      </c>
      <c r="J3326" t="str">
        <f>VLOOKUP(I3326,[2]categories!$A$2:$B$8,2,0)</f>
        <v>Mountain Bikes</v>
      </c>
    </row>
    <row r="3327" spans="1:10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0.07</v>
      </c>
      <c r="G3327" s="1">
        <f t="shared" si="51"/>
        <v>4649.9907</v>
      </c>
      <c r="H3327" t="str">
        <f>VLOOKUP(C3327,[1]products!$A:$B,2,0)</f>
        <v>Trek Madone 9.2 - 2017</v>
      </c>
      <c r="I3327">
        <f>VLOOKUP(H3327,[1]products!$B:$D,3,0)</f>
        <v>7</v>
      </c>
      <c r="J3327" t="str">
        <f>VLOOKUP(I3327,[2]categories!$A$2:$B$8,2,0)</f>
        <v>Road Bikes</v>
      </c>
    </row>
    <row r="3328" spans="1:10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 s="1">
        <f t="shared" si="51"/>
        <v>559.984</v>
      </c>
      <c r="H3328" t="str">
        <f>VLOOKUP(C3328,[1]products!$A:$B,2,0)</f>
        <v>Trek Precaliber 24 (21-Speed) - Girls - 2017</v>
      </c>
      <c r="I3328">
        <f>VLOOKUP(H3328,[1]products!$B:$D,3,0)</f>
        <v>1</v>
      </c>
      <c r="J3328" t="str">
        <f>VLOOKUP(I3328,[2]categories!$A$2:$B$8,2,0)</f>
        <v>Children Bicycles</v>
      </c>
    </row>
    <row r="3329" spans="1:10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 s="1">
        <f t="shared" si="51"/>
        <v>522.4905</v>
      </c>
      <c r="H3329" t="str">
        <f>VLOOKUP(C3329,[1]products!$A:$B,2,0)</f>
        <v>Electra Townie Original 21D - 2016</v>
      </c>
      <c r="I3329">
        <f>VLOOKUP(H3329,[1]products!$B:$D,3,0)</f>
        <v>3</v>
      </c>
      <c r="J3329" t="str">
        <f>VLOOKUP(I3329,[2]categories!$A$2:$B$8,2,0)</f>
        <v>Cruisers Bicycles</v>
      </c>
    </row>
    <row r="3330" spans="1:10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 s="1">
        <f t="shared" ref="G3330:G3393" si="52">D3330*E3330*(1-F3330)</f>
        <v>496.791</v>
      </c>
      <c r="H3330" t="str">
        <f>VLOOKUP(C3330,[1]products!$A:$B,2,0)</f>
        <v>Sun Bicycles Streamway 3 - 2017</v>
      </c>
      <c r="I3330">
        <f>VLOOKUP(H3330,[1]products!$B:$D,3,0)</f>
        <v>2</v>
      </c>
      <c r="J3330" t="str">
        <f>VLOOKUP(I3330,[2]categories!$A$2:$B$8,2,0)</f>
        <v>Comfort Bicycles</v>
      </c>
    </row>
    <row r="3331" spans="1:10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 s="1">
        <f t="shared" si="52"/>
        <v>892.981</v>
      </c>
      <c r="H3331" t="str">
        <f>VLOOKUP(C3331,[1]products!$A:$B,2,0)</f>
        <v>Surly Ice Cream Truck Frameset - 2016</v>
      </c>
      <c r="I3331">
        <f>VLOOKUP(H3331,[1]products!$B:$D,3,0)</f>
        <v>6</v>
      </c>
      <c r="J3331" t="str">
        <f>VLOOKUP(I3331,[2]categories!$A$2:$B$8,2,0)</f>
        <v>Mountain Bikes</v>
      </c>
    </row>
    <row r="3332" spans="1:10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 s="1">
        <f t="shared" si="52"/>
        <v>343.2</v>
      </c>
      <c r="H3332" t="str">
        <f>VLOOKUP(C3332,[1]products!$A:$B,2,0)</f>
        <v>Pure Cycles Vine 8-Speed - 2016</v>
      </c>
      <c r="I3332">
        <f>VLOOKUP(H3332,[1]products!$B:$D,3,0)</f>
        <v>3</v>
      </c>
      <c r="J3332" t="str">
        <f>VLOOKUP(I3332,[2]categories!$A$2:$B$8,2,0)</f>
        <v>Cruisers Bicycles</v>
      </c>
    </row>
    <row r="3333" spans="1:10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0.07</v>
      </c>
      <c r="G3333" s="1">
        <f t="shared" si="52"/>
        <v>1450.7907</v>
      </c>
      <c r="H3333" t="str">
        <f>VLOOKUP(C3333,[1]products!$A:$B,2,0)</f>
        <v>Sun Bicycles ElectroLite - 2017</v>
      </c>
      <c r="I3333">
        <f>VLOOKUP(H3333,[1]products!$B:$D,3,0)</f>
        <v>5</v>
      </c>
      <c r="J3333" t="str">
        <f>VLOOKUP(I3333,[2]categories!$A$2:$B$8,2,0)</f>
        <v>Electric Bikes</v>
      </c>
    </row>
    <row r="3334" spans="1:10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 s="1">
        <f t="shared" si="52"/>
        <v>401.584</v>
      </c>
      <c r="H3334" t="str">
        <f>VLOOKUP(C3334,[1]products!$A:$B,2,0)</f>
        <v>Sun Bicycles Revolutions 24 - Girl's - 2017</v>
      </c>
      <c r="I3334">
        <f>VLOOKUP(H3334,[1]products!$B:$D,3,0)</f>
        <v>3</v>
      </c>
      <c r="J3334" t="str">
        <f>VLOOKUP(I3334,[2]categories!$A$2:$B$8,2,0)</f>
        <v>Cruisers Bicycles</v>
      </c>
    </row>
    <row r="3335" spans="1:10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 s="1">
        <f t="shared" si="52"/>
        <v>854.981</v>
      </c>
      <c r="H3335" t="str">
        <f>VLOOKUP(C3335,[1]products!$A:$B,2,0)</f>
        <v>Sun Bicycles Cruz 3 - 2017</v>
      </c>
      <c r="I3335">
        <f>VLOOKUP(H3335,[1]products!$B:$D,3,0)</f>
        <v>3</v>
      </c>
      <c r="J3335" t="str">
        <f>VLOOKUP(I3335,[2]categories!$A$2:$B$8,2,0)</f>
        <v>Cruisers Bicycles</v>
      </c>
    </row>
    <row r="3336" spans="1:10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 s="1">
        <f t="shared" si="52"/>
        <v>845.982</v>
      </c>
      <c r="H3336" t="str">
        <f>VLOOKUP(C3336,[1]products!$A:$B,2,0)</f>
        <v>Surly Ice Cream Truck Frameset - 2016</v>
      </c>
      <c r="I3336">
        <f>VLOOKUP(H3336,[1]products!$B:$D,3,0)</f>
        <v>6</v>
      </c>
      <c r="J3336" t="str">
        <f>VLOOKUP(I3336,[2]categories!$A$2:$B$8,2,0)</f>
        <v>Mountain Bikes</v>
      </c>
    </row>
    <row r="3337" spans="1:10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0.07</v>
      </c>
      <c r="G3337" s="1">
        <f t="shared" si="52"/>
        <v>774.6807</v>
      </c>
      <c r="H3337" t="str">
        <f>VLOOKUP(C3337,[1]products!$A:$B,2,0)</f>
        <v>Sun Bicycles Spider 3i - 2017</v>
      </c>
      <c r="I3337">
        <f>VLOOKUP(H3337,[1]products!$B:$D,3,0)</f>
        <v>6</v>
      </c>
      <c r="J3337" t="str">
        <f>VLOOKUP(I3337,[2]categories!$A$2:$B$8,2,0)</f>
        <v>Mountain Bikes</v>
      </c>
    </row>
    <row r="3338" spans="1:10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 s="1">
        <f t="shared" si="52"/>
        <v>1519.981</v>
      </c>
      <c r="H3338" t="str">
        <f>VLOOKUP(C3338,[1]products!$A:$B,2,0)</f>
        <v>Electra Glam Punk 3i Ladies' - 2017</v>
      </c>
      <c r="I3338">
        <f>VLOOKUP(H3338,[1]products!$B:$D,3,0)</f>
        <v>3</v>
      </c>
      <c r="J3338" t="str">
        <f>VLOOKUP(I3338,[2]categories!$A$2:$B$8,2,0)</f>
        <v>Cruisers Bicycles</v>
      </c>
    </row>
    <row r="3339" spans="1:10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 s="1">
        <f t="shared" si="52"/>
        <v>894.881</v>
      </c>
      <c r="H3339" t="str">
        <f>VLOOKUP(C3339,[1]products!$A:$B,2,0)</f>
        <v>Sun Bicycles Drifter 7 - Women's - 2017</v>
      </c>
      <c r="I3339">
        <f>VLOOKUP(H3339,[1]products!$B:$D,3,0)</f>
        <v>2</v>
      </c>
      <c r="J3339" t="str">
        <f>VLOOKUP(I3339,[2]categories!$A$2:$B$8,2,0)</f>
        <v>Comfort Bicycles</v>
      </c>
    </row>
    <row r="3340" spans="1:10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 s="1">
        <f t="shared" si="52"/>
        <v>142.4905</v>
      </c>
      <c r="H3340" t="str">
        <f>VLOOKUP(C3340,[1]products!$A:$B,2,0)</f>
        <v>Trek Girl's Kickster - 2017</v>
      </c>
      <c r="I3340">
        <f>VLOOKUP(H3340,[1]products!$B:$D,3,0)</f>
        <v>1</v>
      </c>
      <c r="J3340" t="str">
        <f>VLOOKUP(I3340,[2]categories!$A$2:$B$8,2,0)</f>
        <v>Children Bicycles</v>
      </c>
    </row>
    <row r="3341" spans="1:10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 s="1">
        <f t="shared" si="52"/>
        <v>539.991</v>
      </c>
      <c r="H3341" t="str">
        <f>VLOOKUP(C3341,[1]products!$A:$B,2,0)</f>
        <v>Electra Townie Original 7D EQ - Women's - 2016</v>
      </c>
      <c r="I3341">
        <f>VLOOKUP(H3341,[1]products!$B:$D,3,0)</f>
        <v>3</v>
      </c>
      <c r="J3341" t="str">
        <f>VLOOKUP(I3341,[2]categories!$A$2:$B$8,2,0)</f>
        <v>Cruisers Bicycles</v>
      </c>
    </row>
    <row r="3342" spans="1:10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 s="1">
        <f t="shared" si="52"/>
        <v>2939.382</v>
      </c>
      <c r="H3342" t="str">
        <f>VLOOKUP(C3342,[1]products!$A:$B,2,0)</f>
        <v>Surly Wednesday - 2017</v>
      </c>
      <c r="I3342">
        <f>VLOOKUP(H3342,[1]products!$B:$D,3,0)</f>
        <v>6</v>
      </c>
      <c r="J3342" t="str">
        <f>VLOOKUP(I3342,[2]categories!$A$2:$B$8,2,0)</f>
        <v>Mountain Bikes</v>
      </c>
    </row>
    <row r="3343" spans="1:10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 s="1">
        <f t="shared" si="52"/>
        <v>607.984</v>
      </c>
      <c r="H3343" t="str">
        <f>VLOOKUP(C3343,[1]products!$A:$B,2,0)</f>
        <v>Haro Flightline One ST - 2017</v>
      </c>
      <c r="I3343">
        <f>VLOOKUP(H3343,[1]products!$B:$D,3,0)</f>
        <v>6</v>
      </c>
      <c r="J3343" t="str">
        <f>VLOOKUP(I3343,[2]categories!$A$2:$B$8,2,0)</f>
        <v>Mountain Bikes</v>
      </c>
    </row>
    <row r="3344" spans="1:10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0.07</v>
      </c>
      <c r="G3344" s="1">
        <f t="shared" si="52"/>
        <v>1367.0907</v>
      </c>
      <c r="H3344" t="str">
        <f>VLOOKUP(C3344,[1]products!$A:$B,2,0)</f>
        <v>Haro Shift R3 - 2017</v>
      </c>
      <c r="I3344">
        <f>VLOOKUP(H3344,[1]products!$B:$D,3,0)</f>
        <v>6</v>
      </c>
      <c r="J3344" t="str">
        <f>VLOOKUP(I3344,[2]categories!$A$2:$B$8,2,0)</f>
        <v>Mountain Bikes</v>
      </c>
    </row>
    <row r="3345" spans="1:10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 s="1">
        <f t="shared" si="52"/>
        <v>539.982</v>
      </c>
      <c r="H3345" t="str">
        <f>VLOOKUP(C3345,[1]products!$A:$B,2,0)</f>
        <v>Electra Girl's Hawaii 1 16" - 2017</v>
      </c>
      <c r="I3345">
        <f>VLOOKUP(H3345,[1]products!$B:$D,3,0)</f>
        <v>3</v>
      </c>
      <c r="J3345" t="str">
        <f>VLOOKUP(I3345,[2]categories!$A$2:$B$8,2,0)</f>
        <v>Cruisers Bicycles</v>
      </c>
    </row>
    <row r="3346" spans="1:10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0.07</v>
      </c>
      <c r="G3346" s="1">
        <f t="shared" si="52"/>
        <v>409.1907</v>
      </c>
      <c r="H3346" t="str">
        <f>VLOOKUP(C3346,[1]products!$A:$B,2,0)</f>
        <v>Electra Cruiser Lux 1 - 2017</v>
      </c>
      <c r="I3346">
        <f>VLOOKUP(H3346,[1]products!$B:$D,3,0)</f>
        <v>3</v>
      </c>
      <c r="J3346" t="str">
        <f>VLOOKUP(I3346,[2]categories!$A$2:$B$8,2,0)</f>
        <v>Cruisers Bicycles</v>
      </c>
    </row>
    <row r="3347" spans="1:10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 s="1">
        <f t="shared" si="52"/>
        <v>989.982</v>
      </c>
      <c r="H3347" t="str">
        <f>VLOOKUP(C3347,[1]products!$A:$B,2,0)</f>
        <v>Electra Townie Original 21D - 2016</v>
      </c>
      <c r="I3347">
        <f>VLOOKUP(H3347,[1]products!$B:$D,3,0)</f>
        <v>3</v>
      </c>
      <c r="J3347" t="str">
        <f>VLOOKUP(I3347,[2]categories!$A$2:$B$8,2,0)</f>
        <v>Cruisers Bicycles</v>
      </c>
    </row>
    <row r="3348" spans="1:10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 s="1">
        <f t="shared" si="52"/>
        <v>1322.991</v>
      </c>
      <c r="H3348" t="str">
        <f>VLOOKUP(C3348,[1]products!$A:$B,2,0)</f>
        <v>Haro Shift R3 - 2017</v>
      </c>
      <c r="I3348">
        <f>VLOOKUP(H3348,[1]products!$B:$D,3,0)</f>
        <v>6</v>
      </c>
      <c r="J3348" t="str">
        <f>VLOOKUP(I3348,[2]categories!$A$2:$B$8,2,0)</f>
        <v>Mountain Bikes</v>
      </c>
    </row>
    <row r="3349" spans="1:10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 s="1">
        <f t="shared" si="52"/>
        <v>2399.992</v>
      </c>
      <c r="H3349" t="str">
        <f>VLOOKUP(C3349,[1]products!$A:$B,2,0)</f>
        <v>Trek Conduit+ - 2016</v>
      </c>
      <c r="I3349">
        <f>VLOOKUP(H3349,[1]products!$B:$D,3,0)</f>
        <v>5</v>
      </c>
      <c r="J3349" t="str">
        <f>VLOOKUP(I3349,[2]categories!$A$2:$B$8,2,0)</f>
        <v>Electric Bikes</v>
      </c>
    </row>
    <row r="3350" spans="1:10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 s="1">
        <f t="shared" si="52"/>
        <v>750.582</v>
      </c>
      <c r="H3350" t="str">
        <f>VLOOKUP(C3350,[1]products!$A:$B,2,0)</f>
        <v>Sun Bicycles Atlas X-Type - 2017</v>
      </c>
      <c r="I3350">
        <f>VLOOKUP(H3350,[1]products!$B:$D,3,0)</f>
        <v>3</v>
      </c>
      <c r="J3350" t="str">
        <f>VLOOKUP(I3350,[2]categories!$A$2:$B$8,2,0)</f>
        <v>Cruisers Bicycles</v>
      </c>
    </row>
    <row r="3351" spans="1:10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0.07</v>
      </c>
      <c r="G3351" s="1">
        <f t="shared" si="52"/>
        <v>511.4907</v>
      </c>
      <c r="H3351" t="str">
        <f>VLOOKUP(C3351,[1]products!$A:$B,2,0)</f>
        <v>Haro Flightline Two 26 Plus - 2017</v>
      </c>
      <c r="I3351">
        <f>VLOOKUP(H3351,[1]products!$B:$D,3,0)</f>
        <v>6</v>
      </c>
      <c r="J3351" t="str">
        <f>VLOOKUP(I3351,[2]categories!$A$2:$B$8,2,0)</f>
        <v>Mountain Bikes</v>
      </c>
    </row>
    <row r="3352" spans="1:10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 s="1">
        <f t="shared" si="52"/>
        <v>215.992</v>
      </c>
      <c r="H3352" t="str">
        <f>VLOOKUP(C3352,[1]products!$A:$B,2,0)</f>
        <v>Electra Girl's Hawaii 1 (16-inch) - 2015/2016</v>
      </c>
      <c r="I3352">
        <f>VLOOKUP(H3352,[1]products!$B:$D,3,0)</f>
        <v>3</v>
      </c>
      <c r="J3352" t="str">
        <f>VLOOKUP(I3352,[2]categories!$A$2:$B$8,2,0)</f>
        <v>Cruisers Bicycles</v>
      </c>
    </row>
    <row r="3353" spans="1:10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 s="1">
        <f t="shared" si="52"/>
        <v>1799.982</v>
      </c>
      <c r="H3353" t="str">
        <f>VLOOKUP(C3353,[1]products!$A:$B,2,0)</f>
        <v>Trek X-Caliber 8 - 2017</v>
      </c>
      <c r="I3353">
        <f>VLOOKUP(H3353,[1]products!$B:$D,3,0)</f>
        <v>6</v>
      </c>
      <c r="J3353" t="str">
        <f>VLOOKUP(I3353,[2]categories!$A$2:$B$8,2,0)</f>
        <v>Mountain Bikes</v>
      </c>
    </row>
    <row r="3354" spans="1:10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 s="1">
        <f t="shared" si="52"/>
        <v>151.992</v>
      </c>
      <c r="H3354" t="str">
        <f>VLOOKUP(C3354,[1]products!$A:$B,2,0)</f>
        <v>Trek Precaliber 12 Girls - 2017</v>
      </c>
      <c r="I3354">
        <f>VLOOKUP(H3354,[1]products!$B:$D,3,0)</f>
        <v>1</v>
      </c>
      <c r="J3354" t="str">
        <f>VLOOKUP(I3354,[2]categories!$A$2:$B$8,2,0)</f>
        <v>Children Bicycles</v>
      </c>
    </row>
    <row r="3355" spans="1:10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 s="1">
        <f t="shared" si="52"/>
        <v>7999.984</v>
      </c>
      <c r="H3355" t="str">
        <f>VLOOKUP(C3355,[1]products!$A:$B,2,0)</f>
        <v>Trek Fuel EX 9.8 29 - 2017</v>
      </c>
      <c r="I3355">
        <f>VLOOKUP(H3355,[1]products!$B:$D,3,0)</f>
        <v>6</v>
      </c>
      <c r="J3355" t="str">
        <f>VLOOKUP(I3355,[2]categories!$A$2:$B$8,2,0)</f>
        <v>Mountain Bikes</v>
      </c>
    </row>
    <row r="3356" spans="1:10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 s="1">
        <f t="shared" si="52"/>
        <v>134.991</v>
      </c>
      <c r="H3356" t="str">
        <f>VLOOKUP(C3356,[1]products!$A:$B,2,0)</f>
        <v>Trek Girl's Kickster - 2017</v>
      </c>
      <c r="I3356">
        <f>VLOOKUP(H3356,[1]products!$B:$D,3,0)</f>
        <v>1</v>
      </c>
      <c r="J3356" t="str">
        <f>VLOOKUP(I3356,[2]categories!$A$2:$B$8,2,0)</f>
        <v>Children Bicycles</v>
      </c>
    </row>
    <row r="3357" spans="1:10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 s="1">
        <f t="shared" si="52"/>
        <v>1396.4905</v>
      </c>
      <c r="H3357" t="str">
        <f>VLOOKUP(C3357,[1]products!$A:$B,2,0)</f>
        <v>Haro Shift R3 - 2017</v>
      </c>
      <c r="I3357">
        <f>VLOOKUP(H3357,[1]products!$B:$D,3,0)</f>
        <v>6</v>
      </c>
      <c r="J3357" t="str">
        <f>VLOOKUP(I3357,[2]categories!$A$2:$B$8,2,0)</f>
        <v>Mountain Bikes</v>
      </c>
    </row>
    <row r="3358" spans="1:10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 s="1">
        <f t="shared" si="52"/>
        <v>1044.981</v>
      </c>
      <c r="H3358" t="str">
        <f>VLOOKUP(C3358,[1]products!$A:$B,2,0)</f>
        <v>Electra Townie Original 21D - 2016</v>
      </c>
      <c r="I3358">
        <f>VLOOKUP(H3358,[1]products!$B:$D,3,0)</f>
        <v>3</v>
      </c>
      <c r="J3358" t="str">
        <f>VLOOKUP(I3358,[2]categories!$A$2:$B$8,2,0)</f>
        <v>Cruisers Bicycles</v>
      </c>
    </row>
    <row r="3359" spans="1:10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 s="1">
        <f t="shared" si="52"/>
        <v>6649.981</v>
      </c>
      <c r="H3359" t="str">
        <f>VLOOKUP(C3359,[1]products!$A:$B,2,0)</f>
        <v>Trek Boone Race Shop Limited - 2017</v>
      </c>
      <c r="I3359">
        <f>VLOOKUP(H3359,[1]products!$B:$D,3,0)</f>
        <v>4</v>
      </c>
      <c r="J3359" t="str">
        <f>VLOOKUP(I3359,[2]categories!$A$2:$B$8,2,0)</f>
        <v>Cyclocross Bicycles</v>
      </c>
    </row>
    <row r="3360" spans="1:10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 s="1">
        <f t="shared" si="52"/>
        <v>1349.982</v>
      </c>
      <c r="H3360" t="str">
        <f>VLOOKUP(C3360,[1]products!$A:$B,2,0)</f>
        <v>Surly Ogre Frameset - 2017</v>
      </c>
      <c r="I3360">
        <f>VLOOKUP(H3360,[1]products!$B:$D,3,0)</f>
        <v>7</v>
      </c>
      <c r="J3360" t="str">
        <f>VLOOKUP(I3360,[2]categories!$A$2:$B$8,2,0)</f>
        <v>Road Bikes</v>
      </c>
    </row>
    <row r="3361" spans="1:10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 s="1">
        <f t="shared" si="52"/>
        <v>1439.992</v>
      </c>
      <c r="H3361" t="str">
        <f>VLOOKUP(C3361,[1]products!$A:$B,2,0)</f>
        <v>Trek Remedy 29 Carbon Frameset - 2016</v>
      </c>
      <c r="I3361">
        <f>VLOOKUP(H3361,[1]products!$B:$D,3,0)</f>
        <v>6</v>
      </c>
      <c r="J3361" t="str">
        <f>VLOOKUP(I3361,[2]categories!$A$2:$B$8,2,0)</f>
        <v>Mountain Bikes</v>
      </c>
    </row>
    <row r="3362" spans="1:10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 s="1">
        <f t="shared" si="52"/>
        <v>615.5905</v>
      </c>
      <c r="H3362" t="str">
        <f>VLOOKUP(C3362,[1]products!$A:$B,2,0)</f>
        <v>Sun Bicycles Biscayne Tandem CB - 2017</v>
      </c>
      <c r="I3362">
        <f>VLOOKUP(H3362,[1]products!$B:$D,3,0)</f>
        <v>3</v>
      </c>
      <c r="J3362" t="str">
        <f>VLOOKUP(I3362,[2]categories!$A$2:$B$8,2,0)</f>
        <v>Cruisers Bicycles</v>
      </c>
    </row>
    <row r="3363" spans="1:10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 s="1">
        <f t="shared" si="52"/>
        <v>1048.781</v>
      </c>
      <c r="H3363" t="str">
        <f>VLOOKUP(C3363,[1]products!$A:$B,2,0)</f>
        <v>Sun Bicycles Streamway 3 - 2017</v>
      </c>
      <c r="I3363">
        <f>VLOOKUP(H3363,[1]products!$B:$D,3,0)</f>
        <v>2</v>
      </c>
      <c r="J3363" t="str">
        <f>VLOOKUP(I3363,[2]categories!$A$2:$B$8,2,0)</f>
        <v>Comfort Bicycles</v>
      </c>
    </row>
    <row r="3364" spans="1:10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 s="1">
        <f t="shared" si="52"/>
        <v>1025.981</v>
      </c>
      <c r="H3364" t="str">
        <f>VLOOKUP(C3364,[1]products!$A:$B,2,0)</f>
        <v>Haro SR 1.1 - 2017</v>
      </c>
      <c r="I3364">
        <f>VLOOKUP(H3364,[1]products!$B:$D,3,0)</f>
        <v>6</v>
      </c>
      <c r="J3364" t="str">
        <f>VLOOKUP(I3364,[2]categories!$A$2:$B$8,2,0)</f>
        <v>Mountain Bikes</v>
      </c>
    </row>
    <row r="3365" spans="1:10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0.07</v>
      </c>
      <c r="G3365" s="1">
        <f t="shared" si="52"/>
        <v>645.4014</v>
      </c>
      <c r="H3365" t="str">
        <f>VLOOKUP(C3365,[1]products!$A:$B,2,0)</f>
        <v>Sun Bicycles Lil Bolt Type-R - 2017</v>
      </c>
      <c r="I3365">
        <f>VLOOKUP(H3365,[1]products!$B:$D,3,0)</f>
        <v>3</v>
      </c>
      <c r="J3365" t="str">
        <f>VLOOKUP(I3365,[2]categories!$A$2:$B$8,2,0)</f>
        <v>Cruisers Bicycles</v>
      </c>
    </row>
    <row r="3366" spans="1:10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0.07</v>
      </c>
      <c r="G3366" s="1">
        <f t="shared" si="52"/>
        <v>418.4907</v>
      </c>
      <c r="H3366" t="str">
        <f>VLOOKUP(C3366,[1]products!$A:$B,2,0)</f>
        <v>Sun Bicycles Cruz 3 - 2017</v>
      </c>
      <c r="I3366">
        <f>VLOOKUP(H3366,[1]products!$B:$D,3,0)</f>
        <v>3</v>
      </c>
      <c r="J3366" t="str">
        <f>VLOOKUP(I3366,[2]categories!$A$2:$B$8,2,0)</f>
        <v>Cruisers Bicycles</v>
      </c>
    </row>
    <row r="3367" spans="1:10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0.07</v>
      </c>
      <c r="G3367" s="1">
        <f t="shared" si="52"/>
        <v>1026.7014</v>
      </c>
      <c r="H3367" t="str">
        <f>VLOOKUP(C3367,[1]products!$A:$B,2,0)</f>
        <v>Sun Bicycles Streamway 3 - 2017</v>
      </c>
      <c r="I3367">
        <f>VLOOKUP(H3367,[1]products!$B:$D,3,0)</f>
        <v>2</v>
      </c>
      <c r="J3367" t="str">
        <f>VLOOKUP(I3367,[2]categories!$A$2:$B$8,2,0)</f>
        <v>Comfort Bicycles</v>
      </c>
    </row>
    <row r="3368" spans="1:10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 s="1">
        <f t="shared" si="52"/>
        <v>1899.981</v>
      </c>
      <c r="H3368" t="str">
        <f>VLOOKUP(C3368,[1]products!$A:$B,2,0)</f>
        <v>Trek X-Caliber 8 - 2017</v>
      </c>
      <c r="I3368">
        <f>VLOOKUP(H3368,[1]products!$B:$D,3,0)</f>
        <v>6</v>
      </c>
      <c r="J3368" t="str">
        <f>VLOOKUP(I3368,[2]categories!$A$2:$B$8,2,0)</f>
        <v>Mountain Bikes</v>
      </c>
    </row>
    <row r="3369" spans="1:10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 s="1">
        <f t="shared" si="52"/>
        <v>1979.982</v>
      </c>
      <c r="H3369" t="str">
        <f>VLOOKUP(C3369,[1]products!$A:$B,2,0)</f>
        <v>Electra Amsterdam Fashion 7i Ladies' - 2017</v>
      </c>
      <c r="I3369">
        <f>VLOOKUP(H3369,[1]products!$B:$D,3,0)</f>
        <v>3</v>
      </c>
      <c r="J3369" t="str">
        <f>VLOOKUP(I3369,[2]categories!$A$2:$B$8,2,0)</f>
        <v>Cruisers Bicycles</v>
      </c>
    </row>
    <row r="3370" spans="1:10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0.07</v>
      </c>
      <c r="G3370" s="1">
        <f t="shared" si="52"/>
        <v>418.4907</v>
      </c>
      <c r="H3370" t="str">
        <f>VLOOKUP(C3370,[1]products!$A:$B,2,0)</f>
        <v>Sun Bicycles Cruz 3 - 2017</v>
      </c>
      <c r="I3370">
        <f>VLOOKUP(H3370,[1]products!$B:$D,3,0)</f>
        <v>3</v>
      </c>
      <c r="J3370" t="str">
        <f>VLOOKUP(I3370,[2]categories!$A$2:$B$8,2,0)</f>
        <v>Cruisers Bicycles</v>
      </c>
    </row>
    <row r="3371" spans="1:10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 s="1">
        <f t="shared" si="52"/>
        <v>539.982</v>
      </c>
      <c r="H3371" t="str">
        <f>VLOOKUP(C3371,[1]products!$A:$B,2,0)</f>
        <v>Electra Girl's Hawaii 1 (20-inch) - 2015/2016</v>
      </c>
      <c r="I3371">
        <f>VLOOKUP(H3371,[1]products!$B:$D,3,0)</f>
        <v>1</v>
      </c>
      <c r="J3371" t="str">
        <f>VLOOKUP(I3371,[2]categories!$A$2:$B$8,2,0)</f>
        <v>Children Bicycles</v>
      </c>
    </row>
    <row r="3372" spans="1:10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 s="1">
        <f t="shared" si="52"/>
        <v>527.992</v>
      </c>
      <c r="H3372" t="str">
        <f>VLOOKUP(C3372,[1]products!$A:$B,2,0)</f>
        <v>Electra Amsterdam Original 3i Ladies' - 2017</v>
      </c>
      <c r="I3372">
        <f>VLOOKUP(H3372,[1]products!$B:$D,3,0)</f>
        <v>3</v>
      </c>
      <c r="J3372" t="str">
        <f>VLOOKUP(I3372,[2]categories!$A$2:$B$8,2,0)</f>
        <v>Cruisers Bicycles</v>
      </c>
    </row>
    <row r="3373" spans="1:10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0.07</v>
      </c>
      <c r="G3373" s="1">
        <f t="shared" si="52"/>
        <v>6044.9907</v>
      </c>
      <c r="H3373" t="str">
        <f>VLOOKUP(C3373,[1]products!$A:$B,2,0)</f>
        <v>Trek Silque SLR 8 Women's - 2017</v>
      </c>
      <c r="I3373">
        <f>VLOOKUP(H3373,[1]products!$B:$D,3,0)</f>
        <v>7</v>
      </c>
      <c r="J3373" t="str">
        <f>VLOOKUP(I3373,[2]categories!$A$2:$B$8,2,0)</f>
        <v>Road Bikes</v>
      </c>
    </row>
    <row r="3374" spans="1:10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 s="1">
        <f t="shared" si="52"/>
        <v>667.184</v>
      </c>
      <c r="H3374" t="str">
        <f>VLOOKUP(C3374,[1]products!$A:$B,2,0)</f>
        <v>Sun Bicycles Cruz 7 - 2017</v>
      </c>
      <c r="I3374">
        <f>VLOOKUP(H3374,[1]products!$B:$D,3,0)</f>
        <v>3</v>
      </c>
      <c r="J3374" t="str">
        <f>VLOOKUP(I3374,[2]categories!$A$2:$B$8,2,0)</f>
        <v>Cruisers Bicycles</v>
      </c>
    </row>
    <row r="3375" spans="1:10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 s="1">
        <f t="shared" si="52"/>
        <v>1006.981</v>
      </c>
      <c r="H3375" t="str">
        <f>VLOOKUP(C3375,[1]products!$A:$B,2,0)</f>
        <v>Electra Moto 1 - 2016</v>
      </c>
      <c r="I3375">
        <f>VLOOKUP(H3375,[1]products!$B:$D,3,0)</f>
        <v>3</v>
      </c>
      <c r="J3375" t="str">
        <f>VLOOKUP(I3375,[2]categories!$A$2:$B$8,2,0)</f>
        <v>Cruisers Bicycles</v>
      </c>
    </row>
    <row r="3376" spans="1:10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 s="1">
        <f t="shared" si="52"/>
        <v>559.984</v>
      </c>
      <c r="H3376" t="str">
        <f>VLOOKUP(C3376,[1]products!$A:$B,2,0)</f>
        <v>Trek Precaliber 24 (21-Speed) - Girls - 2017</v>
      </c>
      <c r="I3376">
        <f>VLOOKUP(H3376,[1]products!$B:$D,3,0)</f>
        <v>1</v>
      </c>
      <c r="J3376" t="str">
        <f>VLOOKUP(I3376,[2]categories!$A$2:$B$8,2,0)</f>
        <v>Children Bicycles</v>
      </c>
    </row>
    <row r="3377" spans="1:10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 s="1">
        <f t="shared" si="52"/>
        <v>6174.9905</v>
      </c>
      <c r="H3377" t="str">
        <f>VLOOKUP(C3377,[1]products!$A:$B,2,0)</f>
        <v>Trek Silque SLR 8 Women's - 2017</v>
      </c>
      <c r="I3377">
        <f>VLOOKUP(H3377,[1]products!$B:$D,3,0)</f>
        <v>7</v>
      </c>
      <c r="J3377" t="str">
        <f>VLOOKUP(I3377,[2]categories!$A$2:$B$8,2,0)</f>
        <v>Road Bikes</v>
      </c>
    </row>
    <row r="3378" spans="1:10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 s="1">
        <f t="shared" si="52"/>
        <v>8999.982</v>
      </c>
      <c r="H3378" t="str">
        <f>VLOOKUP(C3378,[1]products!$A:$B,2,0)</f>
        <v>Trek Madone 9.2 - 2017</v>
      </c>
      <c r="I3378">
        <f>VLOOKUP(H3378,[1]products!$B:$D,3,0)</f>
        <v>7</v>
      </c>
      <c r="J3378" t="str">
        <f>VLOOKUP(I3378,[2]categories!$A$2:$B$8,2,0)</f>
        <v>Road Bikes</v>
      </c>
    </row>
    <row r="3379" spans="1:10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 s="1">
        <f t="shared" si="52"/>
        <v>1759.984</v>
      </c>
      <c r="H3379" t="str">
        <f>VLOOKUP(C3379,[1]products!$A:$B,2,0)</f>
        <v>Electra Amsterdam Fashion 7i Ladies' - 2017</v>
      </c>
      <c r="I3379">
        <f>VLOOKUP(H3379,[1]products!$B:$D,3,0)</f>
        <v>3</v>
      </c>
      <c r="J3379" t="str">
        <f>VLOOKUP(I3379,[2]categories!$A$2:$B$8,2,0)</f>
        <v>Cruisers Bicycles</v>
      </c>
    </row>
    <row r="3380" spans="1:10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 s="1">
        <f t="shared" si="52"/>
        <v>476.991</v>
      </c>
      <c r="H3380" t="str">
        <f>VLOOKUP(C3380,[1]products!$A:$B,2,0)</f>
        <v>Electra Moto 1 - 2016</v>
      </c>
      <c r="I3380">
        <f>VLOOKUP(H3380,[1]products!$B:$D,3,0)</f>
        <v>3</v>
      </c>
      <c r="J3380" t="str">
        <f>VLOOKUP(I3380,[2]categories!$A$2:$B$8,2,0)</f>
        <v>Cruisers Bicycles</v>
      </c>
    </row>
    <row r="3381" spans="1:10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 s="1">
        <f t="shared" si="52"/>
        <v>10069.981</v>
      </c>
      <c r="H3381" t="str">
        <f>VLOOKUP(C3381,[1]products!$A:$B,2,0)</f>
        <v>Trek Remedy 9.8 - 2017</v>
      </c>
      <c r="I3381">
        <f>VLOOKUP(H3381,[1]products!$B:$D,3,0)</f>
        <v>6</v>
      </c>
      <c r="J3381" t="str">
        <f>VLOOKUP(I3381,[2]categories!$A$2:$B$8,2,0)</f>
        <v>Mountain Bikes</v>
      </c>
    </row>
    <row r="3382" spans="1:10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 s="1">
        <f t="shared" si="52"/>
        <v>6299.982</v>
      </c>
      <c r="H3382" t="str">
        <f>VLOOKUP(C3382,[1]products!$A:$B,2,0)</f>
        <v>Trek Boone 7 - 2017</v>
      </c>
      <c r="I3382">
        <f>VLOOKUP(H3382,[1]products!$B:$D,3,0)</f>
        <v>4</v>
      </c>
      <c r="J3382" t="str">
        <f>VLOOKUP(I3382,[2]categories!$A$2:$B$8,2,0)</f>
        <v>Cyclocross Bicycles</v>
      </c>
    </row>
    <row r="3383" spans="1:10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 s="1">
        <f t="shared" si="52"/>
        <v>399.984</v>
      </c>
      <c r="H3383" t="str">
        <f>VLOOKUP(C3383,[1]products!$A:$B,2,0)</f>
        <v>Haro Shredder Pro 20 - 2017</v>
      </c>
      <c r="I3383">
        <f>VLOOKUP(H3383,[1]products!$B:$D,3,0)</f>
        <v>1</v>
      </c>
      <c r="J3383" t="str">
        <f>VLOOKUP(I3383,[2]categories!$A$2:$B$8,2,0)</f>
        <v>Children Bicycles</v>
      </c>
    </row>
    <row r="3384" spans="1:10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0.07</v>
      </c>
      <c r="G3384" s="1">
        <f t="shared" si="52"/>
        <v>390.5814</v>
      </c>
      <c r="H3384" t="str">
        <f>VLOOKUP(C3384,[1]products!$A:$B,2,0)</f>
        <v>Haro Shredder 20 - 2017</v>
      </c>
      <c r="I3384">
        <f>VLOOKUP(H3384,[1]products!$B:$D,3,0)</f>
        <v>1</v>
      </c>
      <c r="J3384" t="str">
        <f>VLOOKUP(I3384,[2]categories!$A$2:$B$8,2,0)</f>
        <v>Children Bicycles</v>
      </c>
    </row>
    <row r="3385" spans="1:10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0.07</v>
      </c>
      <c r="G3385" s="1">
        <f t="shared" si="52"/>
        <v>2881.14</v>
      </c>
      <c r="H3385" t="str">
        <f>VLOOKUP(C3385,[1]products!$A:$B,2,0)</f>
        <v>Surly Straggler - 2016</v>
      </c>
      <c r="I3385">
        <f>VLOOKUP(H3385,[1]products!$B:$D,3,0)</f>
        <v>4</v>
      </c>
      <c r="J3385" t="str">
        <f>VLOOKUP(I3385,[2]categories!$A$2:$B$8,2,0)</f>
        <v>Cyclocross Bicycles</v>
      </c>
    </row>
    <row r="3386" spans="1:10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0.07</v>
      </c>
      <c r="G3386" s="1">
        <f t="shared" si="52"/>
        <v>1205.2614</v>
      </c>
      <c r="H3386" t="str">
        <f>VLOOKUP(C3386,[1]products!$A:$B,2,0)</f>
        <v>Sun Bicycles Biscayne Tandem CB - 2017</v>
      </c>
      <c r="I3386">
        <f>VLOOKUP(H3386,[1]products!$B:$D,3,0)</f>
        <v>3</v>
      </c>
      <c r="J3386" t="str">
        <f>VLOOKUP(I3386,[2]categories!$A$2:$B$8,2,0)</f>
        <v>Cruisers Bicycles</v>
      </c>
    </row>
    <row r="3387" spans="1:10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 s="1">
        <f t="shared" si="52"/>
        <v>385.592</v>
      </c>
      <c r="H3387" t="str">
        <f>VLOOKUP(C3387,[1]products!$A:$B,2,0)</f>
        <v>Sun Bicycles Streamway - 2017</v>
      </c>
      <c r="I3387">
        <f>VLOOKUP(H3387,[1]products!$B:$D,3,0)</f>
        <v>2</v>
      </c>
      <c r="J3387" t="str">
        <f>VLOOKUP(I3387,[2]categories!$A$2:$B$8,2,0)</f>
        <v>Comfort Bicycles</v>
      </c>
    </row>
    <row r="3388" spans="1:10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 s="1">
        <f t="shared" si="52"/>
        <v>239.992</v>
      </c>
      <c r="H3388" t="str">
        <f>VLOOKUP(C3388,[1]products!$A:$B,2,0)</f>
        <v>Electra Girl's Hawaii 1 16" - 2017</v>
      </c>
      <c r="I3388">
        <f>VLOOKUP(H3388,[1]products!$B:$D,3,0)</f>
        <v>3</v>
      </c>
      <c r="J3388" t="str">
        <f>VLOOKUP(I3388,[2]categories!$A$2:$B$8,2,0)</f>
        <v>Cruisers Bicycles</v>
      </c>
    </row>
    <row r="3389" spans="1:10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0.07</v>
      </c>
      <c r="G3389" s="1">
        <f t="shared" si="52"/>
        <v>398.97</v>
      </c>
      <c r="H3389" t="str">
        <f>VLOOKUP(C3389,[1]products!$A:$B,2,0)</f>
        <v>Pure Cycles Vine 8-Speed - 2016</v>
      </c>
      <c r="I3389">
        <f>VLOOKUP(H3389,[1]products!$B:$D,3,0)</f>
        <v>3</v>
      </c>
      <c r="J3389" t="str">
        <f>VLOOKUP(I3389,[2]categories!$A$2:$B$8,2,0)</f>
        <v>Cruisers Bicycles</v>
      </c>
    </row>
    <row r="3390" spans="1:10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 s="1">
        <f t="shared" si="52"/>
        <v>427.4905</v>
      </c>
      <c r="H3390" t="str">
        <f>VLOOKUP(C3390,[1]products!$A:$B,2,0)</f>
        <v>Sun Bicycles Cruz 3 - 2017</v>
      </c>
      <c r="I3390">
        <f>VLOOKUP(H3390,[1]products!$B:$D,3,0)</f>
        <v>3</v>
      </c>
      <c r="J3390" t="str">
        <f>VLOOKUP(I3390,[2]categories!$A$2:$B$8,2,0)</f>
        <v>Cruisers Bicycles</v>
      </c>
    </row>
    <row r="3391" spans="1:10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 s="1">
        <f t="shared" si="52"/>
        <v>883.184</v>
      </c>
      <c r="H3391" t="str">
        <f>VLOOKUP(C3391,[1]products!$A:$B,2,0)</f>
        <v>Sun Bicycles Streamway 3 - 2017</v>
      </c>
      <c r="I3391">
        <f>VLOOKUP(H3391,[1]products!$B:$D,3,0)</f>
        <v>2</v>
      </c>
      <c r="J3391" t="str">
        <f>VLOOKUP(I3391,[2]categories!$A$2:$B$8,2,0)</f>
        <v>Comfort Bicycles</v>
      </c>
    </row>
    <row r="3392" spans="1:10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 s="1">
        <f t="shared" si="52"/>
        <v>753.584</v>
      </c>
      <c r="H3392" t="str">
        <f>VLOOKUP(C3392,[1]products!$A:$B,2,0)</f>
        <v>Sun Bicycles Drifter 7 - 2017</v>
      </c>
      <c r="I3392">
        <f>VLOOKUP(H3392,[1]products!$B:$D,3,0)</f>
        <v>2</v>
      </c>
      <c r="J3392" t="str">
        <f>VLOOKUP(I3392,[2]categories!$A$2:$B$8,2,0)</f>
        <v>Comfort Bicycles</v>
      </c>
    </row>
    <row r="3393" spans="1:10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0.07</v>
      </c>
      <c r="G3393" s="1">
        <f t="shared" si="52"/>
        <v>437.0907</v>
      </c>
      <c r="H3393" t="str">
        <f>VLOOKUP(C3393,[1]products!$A:$B,2,0)</f>
        <v>Surly Ice Cream Truck Frameset - 2016</v>
      </c>
      <c r="I3393">
        <f>VLOOKUP(H3393,[1]products!$B:$D,3,0)</f>
        <v>6</v>
      </c>
      <c r="J3393" t="str">
        <f>VLOOKUP(I3393,[2]categories!$A$2:$B$8,2,0)</f>
        <v>Mountain Bikes</v>
      </c>
    </row>
    <row r="3394" spans="1:10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 s="1">
        <f t="shared" ref="G3394:G3457" si="53">D3394*E3394*(1-F3394)</f>
        <v>404.991</v>
      </c>
      <c r="H3394" t="str">
        <f>VLOOKUP(C3394,[1]products!$A:$B,2,0)</f>
        <v>Sun Bicycles Cruz 3 - 2017</v>
      </c>
      <c r="I3394">
        <f>VLOOKUP(H3394,[1]products!$B:$D,3,0)</f>
        <v>3</v>
      </c>
      <c r="J3394" t="str">
        <f>VLOOKUP(I3394,[2]categories!$A$2:$B$8,2,0)</f>
        <v>Cruisers Bicycles</v>
      </c>
    </row>
    <row r="3395" spans="1:10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0.07</v>
      </c>
      <c r="G3395" s="1">
        <f t="shared" si="53"/>
        <v>9299.9814</v>
      </c>
      <c r="H3395" t="str">
        <f>VLOOKUP(C3395,[1]products!$A:$B,2,0)</f>
        <v>Trek Madone 9.2 - 2017</v>
      </c>
      <c r="I3395">
        <f>VLOOKUP(H3395,[1]products!$B:$D,3,0)</f>
        <v>7</v>
      </c>
      <c r="J3395" t="str">
        <f>VLOOKUP(I3395,[2]categories!$A$2:$B$8,2,0)</f>
        <v>Road Bikes</v>
      </c>
    </row>
    <row r="3396" spans="1:10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 s="1">
        <f t="shared" si="53"/>
        <v>277.592</v>
      </c>
      <c r="H3396" t="str">
        <f>VLOOKUP(C3396,[1]products!$A:$B,2,0)</f>
        <v>Sun Bicycles Lil Bolt Type-R - 2017</v>
      </c>
      <c r="I3396">
        <f>VLOOKUP(H3396,[1]products!$B:$D,3,0)</f>
        <v>3</v>
      </c>
      <c r="J3396" t="str">
        <f>VLOOKUP(I3396,[2]categories!$A$2:$B$8,2,0)</f>
        <v>Cruisers Bicycles</v>
      </c>
    </row>
    <row r="3397" spans="1:10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 s="1">
        <f t="shared" si="53"/>
        <v>569.9905</v>
      </c>
      <c r="H3397" t="str">
        <f>VLOOKUP(C3397,[1]products!$A:$B,2,0)</f>
        <v>Electra Townie Original 7D EQ - Women's - 2016</v>
      </c>
      <c r="I3397">
        <f>VLOOKUP(H3397,[1]products!$B:$D,3,0)</f>
        <v>3</v>
      </c>
      <c r="J3397" t="str">
        <f>VLOOKUP(I3397,[2]categories!$A$2:$B$8,2,0)</f>
        <v>Cruisers Bicycles</v>
      </c>
    </row>
    <row r="3398" spans="1:10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 s="1">
        <f t="shared" si="53"/>
        <v>949.9905</v>
      </c>
      <c r="H3398" t="str">
        <f>VLOOKUP(C3398,[1]products!$A:$B,2,0)</f>
        <v>Surly Wednesday Frameset - 2016</v>
      </c>
      <c r="I3398">
        <f>VLOOKUP(H3398,[1]products!$B:$D,3,0)</f>
        <v>6</v>
      </c>
      <c r="J3398" t="str">
        <f>VLOOKUP(I3398,[2]categories!$A$2:$B$8,2,0)</f>
        <v>Mountain Bikes</v>
      </c>
    </row>
    <row r="3399" spans="1:10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 s="1">
        <f t="shared" si="53"/>
        <v>2849.9905</v>
      </c>
      <c r="H3399" t="str">
        <f>VLOOKUP(C3399,[1]products!$A:$B,2,0)</f>
        <v>Trek Conduit+ - 2016</v>
      </c>
      <c r="I3399">
        <f>VLOOKUP(H3399,[1]products!$B:$D,3,0)</f>
        <v>5</v>
      </c>
      <c r="J3399" t="str">
        <f>VLOOKUP(I3399,[2]categories!$A$2:$B$8,2,0)</f>
        <v>Electric Bikes</v>
      </c>
    </row>
    <row r="3400" spans="1:10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 s="1">
        <f t="shared" si="53"/>
        <v>170.991</v>
      </c>
      <c r="H3400" t="str">
        <f>VLOOKUP(C3400,[1]products!$A:$B,2,0)</f>
        <v>Trek Precaliber 12 Boys - 2017</v>
      </c>
      <c r="I3400">
        <f>VLOOKUP(H3400,[1]products!$B:$D,3,0)</f>
        <v>1</v>
      </c>
      <c r="J3400" t="str">
        <f>VLOOKUP(I3400,[2]categories!$A$2:$B$8,2,0)</f>
        <v>Children Bicycles</v>
      </c>
    </row>
    <row r="3401" spans="1:10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0.07</v>
      </c>
      <c r="G3401" s="1">
        <f t="shared" si="53"/>
        <v>6509.9814</v>
      </c>
      <c r="H3401" t="str">
        <f>VLOOKUP(C3401,[1]products!$A:$B,2,0)</f>
        <v>Trek Boone 7 - 2017</v>
      </c>
      <c r="I3401">
        <f>VLOOKUP(H3401,[1]products!$B:$D,3,0)</f>
        <v>4</v>
      </c>
      <c r="J3401" t="str">
        <f>VLOOKUP(I3401,[2]categories!$A$2:$B$8,2,0)</f>
        <v>Cyclocross Bicycles</v>
      </c>
    </row>
    <row r="3402" spans="1:10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 s="1">
        <f t="shared" si="53"/>
        <v>395.991</v>
      </c>
      <c r="H3402" t="str">
        <f>VLOOKUP(C3402,[1]products!$A:$B,2,0)</f>
        <v>Electra Cruiser Lux 1 - 2017</v>
      </c>
      <c r="I3402">
        <f>VLOOKUP(H3402,[1]products!$B:$D,3,0)</f>
        <v>3</v>
      </c>
      <c r="J3402" t="str">
        <f>VLOOKUP(I3402,[2]categories!$A$2:$B$8,2,0)</f>
        <v>Cruisers Bicycles</v>
      </c>
    </row>
    <row r="3403" spans="1:10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0.07</v>
      </c>
      <c r="G3403" s="1">
        <f t="shared" si="53"/>
        <v>1311.2907</v>
      </c>
      <c r="H3403" t="str">
        <f>VLOOKUP(C3403,[1]products!$A:$B,2,0)</f>
        <v>Haro SR 1.3 - 2017</v>
      </c>
      <c r="I3403">
        <f>VLOOKUP(H3403,[1]products!$B:$D,3,0)</f>
        <v>6</v>
      </c>
      <c r="J3403" t="str">
        <f>VLOOKUP(I3403,[2]categories!$A$2:$B$8,2,0)</f>
        <v>Mountain Bikes</v>
      </c>
    </row>
    <row r="3404" spans="1:10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 s="1">
        <f t="shared" si="53"/>
        <v>639.992</v>
      </c>
      <c r="H3404" t="str">
        <f>VLOOKUP(C3404,[1]products!$A:$B,2,0)</f>
        <v>Electra Glam Punk 3i Ladies' - 2017</v>
      </c>
      <c r="I3404">
        <f>VLOOKUP(H3404,[1]products!$B:$D,3,0)</f>
        <v>3</v>
      </c>
      <c r="J3404" t="str">
        <f>VLOOKUP(I3404,[2]categories!$A$2:$B$8,2,0)</f>
        <v>Cruisers Bicycles</v>
      </c>
    </row>
    <row r="3405" spans="1:10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 s="1">
        <f t="shared" si="53"/>
        <v>427.4905</v>
      </c>
      <c r="H3405" t="str">
        <f>VLOOKUP(C3405,[1]products!$A:$B,2,0)</f>
        <v>Sun Bicycles Cruz 3 - Women's - 2017</v>
      </c>
      <c r="I3405">
        <f>VLOOKUP(H3405,[1]products!$B:$D,3,0)</f>
        <v>2</v>
      </c>
      <c r="J3405" t="str">
        <f>VLOOKUP(I3405,[2]categories!$A$2:$B$8,2,0)</f>
        <v>Comfort Bicycles</v>
      </c>
    </row>
    <row r="3406" spans="1:10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 s="1">
        <f t="shared" si="53"/>
        <v>512.981</v>
      </c>
      <c r="H3406" t="str">
        <f>VLOOKUP(C3406,[1]products!$A:$B,2,0)</f>
        <v>Electra Cruiser 1 (24-Inch) - 2016</v>
      </c>
      <c r="I3406">
        <f>VLOOKUP(H3406,[1]products!$B:$D,3,0)</f>
        <v>3</v>
      </c>
      <c r="J3406" t="str">
        <f>VLOOKUP(I3406,[2]categories!$A$2:$B$8,2,0)</f>
        <v>Cruisers Bicycles</v>
      </c>
    </row>
    <row r="3407" spans="1:10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 s="1">
        <f t="shared" si="53"/>
        <v>398.981</v>
      </c>
      <c r="H3407" t="str">
        <f>VLOOKUP(C3407,[1]products!$A:$B,2,0)</f>
        <v>Haro Shredder 20 Girls - 2017</v>
      </c>
      <c r="I3407">
        <f>VLOOKUP(H3407,[1]products!$B:$D,3,0)</f>
        <v>1</v>
      </c>
      <c r="J3407" t="str">
        <f>VLOOKUP(I3407,[2]categories!$A$2:$B$8,2,0)</f>
        <v>Children Bicycles</v>
      </c>
    </row>
    <row r="3408" spans="1:10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 s="1">
        <f t="shared" si="53"/>
        <v>360.981</v>
      </c>
      <c r="H3408" t="str">
        <f>VLOOKUP(C3408,[1]products!$A:$B,2,0)</f>
        <v>Trek Precaliber 12 Girls - 2017</v>
      </c>
      <c r="I3408">
        <f>VLOOKUP(H3408,[1]products!$B:$D,3,0)</f>
        <v>1</v>
      </c>
      <c r="J3408" t="str">
        <f>VLOOKUP(I3408,[2]categories!$A$2:$B$8,2,0)</f>
        <v>Children Bicycles</v>
      </c>
    </row>
    <row r="3409" spans="1:10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 s="1">
        <f t="shared" si="53"/>
        <v>751.984</v>
      </c>
      <c r="H3409" t="str">
        <f>VLOOKUP(C3409,[1]products!$A:$B,2,0)</f>
        <v>Surly Wednesday Frameset - 2017</v>
      </c>
      <c r="I3409">
        <f>VLOOKUP(H3409,[1]products!$B:$D,3,0)</f>
        <v>6</v>
      </c>
      <c r="J3409" t="str">
        <f>VLOOKUP(I3409,[2]categories!$A$2:$B$8,2,0)</f>
        <v>Mountain Bikes</v>
      </c>
    </row>
    <row r="3410" spans="1:10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0.07</v>
      </c>
      <c r="G3410" s="1">
        <f t="shared" si="53"/>
        <v>5579.9907</v>
      </c>
      <c r="H3410" t="str">
        <f>VLOOKUP(C3410,[1]products!$A:$B,2,0)</f>
        <v>Trek Silque SLR 7 Women's - 2017</v>
      </c>
      <c r="I3410">
        <f>VLOOKUP(H3410,[1]products!$B:$D,3,0)</f>
        <v>7</v>
      </c>
      <c r="J3410" t="str">
        <f>VLOOKUP(I3410,[2]categories!$A$2:$B$8,2,0)</f>
        <v>Road Bikes</v>
      </c>
    </row>
    <row r="3411" spans="1:10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0.07</v>
      </c>
      <c r="G3411" s="1">
        <f t="shared" si="53"/>
        <v>466.8414</v>
      </c>
      <c r="H3411" t="str">
        <f>VLOOKUP(C3411,[1]products!$A:$B,2,0)</f>
        <v>Sun Bicycles Revolutions 24 - 2017</v>
      </c>
      <c r="I3411">
        <f>VLOOKUP(H3411,[1]products!$B:$D,3,0)</f>
        <v>3</v>
      </c>
      <c r="J3411" t="str">
        <f>VLOOKUP(I3411,[2]categories!$A$2:$B$8,2,0)</f>
        <v>Cruisers Bicycles</v>
      </c>
    </row>
    <row r="3412" spans="1:10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 s="1">
        <f t="shared" si="53"/>
        <v>440.991</v>
      </c>
      <c r="H3412" t="str">
        <f>VLOOKUP(C3412,[1]products!$A:$B,2,0)</f>
        <v>Electra Straight 8 3i (20-inch) - Boy's - 2017</v>
      </c>
      <c r="I3412">
        <f>VLOOKUP(H3412,[1]products!$B:$D,3,0)</f>
        <v>1</v>
      </c>
      <c r="J3412" t="str">
        <f>VLOOKUP(I3412,[2]categories!$A$2:$B$8,2,0)</f>
        <v>Children Bicycles</v>
      </c>
    </row>
    <row r="3413" spans="1:10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 s="1">
        <f t="shared" si="53"/>
        <v>749.691</v>
      </c>
      <c r="H3413" t="str">
        <f>VLOOKUP(C3413,[1]products!$A:$B,2,0)</f>
        <v>Sun Bicycles Spider 3i - 2017</v>
      </c>
      <c r="I3413">
        <f>VLOOKUP(H3413,[1]products!$B:$D,3,0)</f>
        <v>6</v>
      </c>
      <c r="J3413" t="str">
        <f>VLOOKUP(I3413,[2]categories!$A$2:$B$8,2,0)</f>
        <v>Mountain Bikes</v>
      </c>
    </row>
    <row r="3414" spans="1:10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 s="1">
        <f t="shared" si="53"/>
        <v>6299.982</v>
      </c>
      <c r="H3414" t="str">
        <f>VLOOKUP(C3414,[1]products!$A:$B,2,0)</f>
        <v>Trek Domane SL 6 - 2017</v>
      </c>
      <c r="I3414">
        <f>VLOOKUP(H3414,[1]products!$B:$D,3,0)</f>
        <v>7</v>
      </c>
      <c r="J3414" t="str">
        <f>VLOOKUP(I3414,[2]categories!$A$2:$B$8,2,0)</f>
        <v>Road Bikes</v>
      </c>
    </row>
    <row r="3415" spans="1:10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 s="1">
        <f t="shared" si="53"/>
        <v>2799.992</v>
      </c>
      <c r="H3415" t="str">
        <f>VLOOKUP(C3415,[1]products!$A:$B,2,0)</f>
        <v>Trek Boone Race Shop Limited - 2017</v>
      </c>
      <c r="I3415">
        <f>VLOOKUP(H3415,[1]products!$B:$D,3,0)</f>
        <v>4</v>
      </c>
      <c r="J3415" t="str">
        <f>VLOOKUP(I3415,[2]categories!$A$2:$B$8,2,0)</f>
        <v>Cyclocross Bicycles</v>
      </c>
    </row>
    <row r="3416" spans="1:10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 s="1">
        <f t="shared" si="53"/>
        <v>1219.184</v>
      </c>
      <c r="H3416" t="str">
        <f>VLOOKUP(C3416,[1]products!$A:$B,2,0)</f>
        <v>Sun Bicycles Brickell Tandem CB - 2017</v>
      </c>
      <c r="I3416">
        <f>VLOOKUP(H3416,[1]products!$B:$D,3,0)</f>
        <v>3</v>
      </c>
      <c r="J3416" t="str">
        <f>VLOOKUP(I3416,[2]categories!$A$2:$B$8,2,0)</f>
        <v>Cruisers Bicycles</v>
      </c>
    </row>
    <row r="3417" spans="1:10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 s="1">
        <f t="shared" si="53"/>
        <v>892.981</v>
      </c>
      <c r="H3417" t="str">
        <f>VLOOKUP(C3417,[1]products!$A:$B,2,0)</f>
        <v>Surly Ice Cream Truck Frameset - 2016</v>
      </c>
      <c r="I3417">
        <f>VLOOKUP(H3417,[1]products!$B:$D,3,0)</f>
        <v>6</v>
      </c>
      <c r="J3417" t="str">
        <f>VLOOKUP(I3417,[2]categories!$A$2:$B$8,2,0)</f>
        <v>Mountain Bikes</v>
      </c>
    </row>
    <row r="3418" spans="1:10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 s="1">
        <f t="shared" si="53"/>
        <v>1139.981</v>
      </c>
      <c r="H3418" t="str">
        <f>VLOOKUP(C3418,[1]products!$A:$B,2,0)</f>
        <v>Electra Townie Original 7D EQ - 2016</v>
      </c>
      <c r="I3418">
        <f>VLOOKUP(H3418,[1]products!$B:$D,3,0)</f>
        <v>3</v>
      </c>
      <c r="J3418" t="str">
        <f>VLOOKUP(I3418,[2]categories!$A$2:$B$8,2,0)</f>
        <v>Cruisers Bicycles</v>
      </c>
    </row>
    <row r="3419" spans="1:10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 s="1">
        <f t="shared" si="53"/>
        <v>396.1405</v>
      </c>
      <c r="H3419" t="str">
        <f>VLOOKUP(C3419,[1]products!$A:$B,2,0)</f>
        <v>Sun Bicycles Atlas X-Type - 2017</v>
      </c>
      <c r="I3419">
        <f>VLOOKUP(H3419,[1]products!$B:$D,3,0)</f>
        <v>3</v>
      </c>
      <c r="J3419" t="str">
        <f>VLOOKUP(I3419,[2]categories!$A$2:$B$8,2,0)</f>
        <v>Cruisers Bicycles</v>
      </c>
    </row>
    <row r="3420" spans="1:10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0.07</v>
      </c>
      <c r="G3420" s="1">
        <f t="shared" si="53"/>
        <v>835.14</v>
      </c>
      <c r="H3420" t="str">
        <f>VLOOKUP(C3420,[1]products!$A:$B,2,0)</f>
        <v>Pure Cycles William 3-Speed - 2016</v>
      </c>
      <c r="I3420">
        <f>VLOOKUP(H3420,[1]products!$B:$D,3,0)</f>
        <v>3</v>
      </c>
      <c r="J3420" t="str">
        <f>VLOOKUP(I3420,[2]categories!$A$2:$B$8,2,0)</f>
        <v>Cruisers Bicycles</v>
      </c>
    </row>
    <row r="3421" spans="1:10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0.07</v>
      </c>
      <c r="G3421" s="1">
        <f t="shared" si="53"/>
        <v>251.0907</v>
      </c>
      <c r="H3421" t="str">
        <f>VLOOKUP(C3421,[1]products!$A:$B,2,0)</f>
        <v>Electra Cruiser 1 (24-Inch) - 2016</v>
      </c>
      <c r="I3421">
        <f>VLOOKUP(H3421,[1]products!$B:$D,3,0)</f>
        <v>3</v>
      </c>
      <c r="J3421" t="str">
        <f>VLOOKUP(I3421,[2]categories!$A$2:$B$8,2,0)</f>
        <v>Cruisers Bicycles</v>
      </c>
    </row>
    <row r="3422" spans="1:10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 s="1">
        <f t="shared" si="53"/>
        <v>6299.982</v>
      </c>
      <c r="H3422" t="str">
        <f>VLOOKUP(C3422,[1]products!$A:$B,2,0)</f>
        <v>Trek Boone Race Shop Limited - 2017</v>
      </c>
      <c r="I3422">
        <f>VLOOKUP(H3422,[1]products!$B:$D,3,0)</f>
        <v>4</v>
      </c>
      <c r="J3422" t="str">
        <f>VLOOKUP(I3422,[2]categories!$A$2:$B$8,2,0)</f>
        <v>Cyclocross Bicycles</v>
      </c>
    </row>
    <row r="3423" spans="1:10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 s="1">
        <f t="shared" si="53"/>
        <v>609.592</v>
      </c>
      <c r="H3423" t="str">
        <f>VLOOKUP(C3423,[1]products!$A:$B,2,0)</f>
        <v>Sun Bicycles Brickell Tandem CB - 2017</v>
      </c>
      <c r="I3423">
        <f>VLOOKUP(H3423,[1]products!$B:$D,3,0)</f>
        <v>3</v>
      </c>
      <c r="J3423" t="str">
        <f>VLOOKUP(I3423,[2]categories!$A$2:$B$8,2,0)</f>
        <v>Cruisers Bicycles</v>
      </c>
    </row>
    <row r="3424" spans="1:10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 s="1">
        <f t="shared" si="53"/>
        <v>2699.982</v>
      </c>
      <c r="H3424" t="str">
        <f>VLOOKUP(C3424,[1]products!$A:$B,2,0)</f>
        <v>Trek Emonda S 4 - 2017</v>
      </c>
      <c r="I3424">
        <f>VLOOKUP(H3424,[1]products!$B:$D,3,0)</f>
        <v>7</v>
      </c>
      <c r="J3424" t="str">
        <f>VLOOKUP(I3424,[2]categories!$A$2:$B$8,2,0)</f>
        <v>Road Bikes</v>
      </c>
    </row>
    <row r="3425" spans="1:10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0.07</v>
      </c>
      <c r="G3425" s="1">
        <f t="shared" si="53"/>
        <v>3254.9907</v>
      </c>
      <c r="H3425" t="str">
        <f>VLOOKUP(C3425,[1]products!$A:$B,2,0)</f>
        <v>Trek Domane SL 6 - 2017</v>
      </c>
      <c r="I3425">
        <f>VLOOKUP(H3425,[1]products!$B:$D,3,0)</f>
        <v>7</v>
      </c>
      <c r="J3425" t="str">
        <f>VLOOKUP(I3425,[2]categories!$A$2:$B$8,2,0)</f>
        <v>Road Bikes</v>
      </c>
    </row>
    <row r="3426" spans="1:10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 s="1">
        <f t="shared" si="53"/>
        <v>404.991</v>
      </c>
      <c r="H3426" t="str">
        <f>VLOOKUP(C3426,[1]products!$A:$B,2,0)</f>
        <v>Sun Bicycles Cruz 3 - 2017</v>
      </c>
      <c r="I3426">
        <f>VLOOKUP(H3426,[1]products!$B:$D,3,0)</f>
        <v>3</v>
      </c>
      <c r="J3426" t="str">
        <f>VLOOKUP(I3426,[2]categories!$A$2:$B$8,2,0)</f>
        <v>Cruisers Bicycles</v>
      </c>
    </row>
    <row r="3427" spans="1:10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 s="1">
        <f t="shared" si="53"/>
        <v>799.992</v>
      </c>
      <c r="H3427" t="str">
        <f>VLOOKUP(C3427,[1]products!$A:$B,2,0)</f>
        <v>Surly Big Dummy Frameset - 2017</v>
      </c>
      <c r="I3427">
        <f>VLOOKUP(H3427,[1]products!$B:$D,3,0)</f>
        <v>6</v>
      </c>
      <c r="J3427" t="str">
        <f>VLOOKUP(I3427,[2]categories!$A$2:$B$8,2,0)</f>
        <v>Mountain Bikes</v>
      </c>
    </row>
    <row r="3428" spans="1:10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 s="1">
        <f t="shared" si="53"/>
        <v>1499.382</v>
      </c>
      <c r="H3428" t="str">
        <f>VLOOKUP(C3428,[1]products!$A:$B,2,0)</f>
        <v>Surly Troll Frameset - 2017</v>
      </c>
      <c r="I3428">
        <f>VLOOKUP(H3428,[1]products!$B:$D,3,0)</f>
        <v>6</v>
      </c>
      <c r="J3428" t="str">
        <f>VLOOKUP(I3428,[2]categories!$A$2:$B$8,2,0)</f>
        <v>Mountain Bikes</v>
      </c>
    </row>
    <row r="3429" spans="1:10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0.07</v>
      </c>
      <c r="G3429" s="1">
        <f t="shared" si="53"/>
        <v>374.7807</v>
      </c>
      <c r="H3429" t="str">
        <f>VLOOKUP(C3429,[1]products!$A:$B,2,0)</f>
        <v>Sun Bicycles Boardwalk (24-inch Wheels) - 2017</v>
      </c>
      <c r="I3429">
        <f>VLOOKUP(H3429,[1]products!$B:$D,3,0)</f>
        <v>3</v>
      </c>
      <c r="J3429" t="str">
        <f>VLOOKUP(I3429,[2]categories!$A$2:$B$8,2,0)</f>
        <v>Cruisers Bicycles</v>
      </c>
    </row>
    <row r="3430" spans="1:10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 s="1">
        <f t="shared" si="53"/>
        <v>2609.991</v>
      </c>
      <c r="H3430" t="str">
        <f>VLOOKUP(C3430,[1]products!$A:$B,2,0)</f>
        <v>Trek Fuel EX 8 29 - 2016</v>
      </c>
      <c r="I3430">
        <f>VLOOKUP(H3430,[1]products!$B:$D,3,0)</f>
        <v>6</v>
      </c>
      <c r="J3430" t="str">
        <f>VLOOKUP(I3430,[2]categories!$A$2:$B$8,2,0)</f>
        <v>Mountain Bikes</v>
      </c>
    </row>
    <row r="3431" spans="1:10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 s="1">
        <f t="shared" si="53"/>
        <v>1349.982</v>
      </c>
      <c r="H3431" t="str">
        <f>VLOOKUP(C3431,[1]products!$A:$B,2,0)</f>
        <v>Surly Ogre Frameset - 2017</v>
      </c>
      <c r="I3431">
        <f>VLOOKUP(H3431,[1]products!$B:$D,3,0)</f>
        <v>7</v>
      </c>
      <c r="J3431" t="str">
        <f>VLOOKUP(I3431,[2]categories!$A$2:$B$8,2,0)</f>
        <v>Road Bikes</v>
      </c>
    </row>
    <row r="3432" spans="1:10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 s="1">
        <f t="shared" si="53"/>
        <v>451.782</v>
      </c>
      <c r="H3432" t="str">
        <f>VLOOKUP(C3432,[1]products!$A:$B,2,0)</f>
        <v>Sun Bicycles Revolutions 24 - 2017</v>
      </c>
      <c r="I3432">
        <f>VLOOKUP(H3432,[1]products!$B:$D,3,0)</f>
        <v>3</v>
      </c>
      <c r="J3432" t="str">
        <f>VLOOKUP(I3432,[2]categories!$A$2:$B$8,2,0)</f>
        <v>Cruisers Bicycles</v>
      </c>
    </row>
    <row r="3433" spans="1:10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 s="1">
        <f t="shared" si="53"/>
        <v>559.984</v>
      </c>
      <c r="H3433" t="str">
        <f>VLOOKUP(C3433,[1]products!$A:$B,2,0)</f>
        <v>Trek Precaliber 24 (21-Speed) - Girls - 2017</v>
      </c>
      <c r="I3433">
        <f>VLOOKUP(H3433,[1]products!$B:$D,3,0)</f>
        <v>1</v>
      </c>
      <c r="J3433" t="str">
        <f>VLOOKUP(I3433,[2]categories!$A$2:$B$8,2,0)</f>
        <v>Children Bicycles</v>
      </c>
    </row>
    <row r="3434" spans="1:10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 s="1">
        <f t="shared" si="53"/>
        <v>341.982</v>
      </c>
      <c r="H3434" t="str">
        <f>VLOOKUP(C3434,[1]products!$A:$B,2,0)</f>
        <v>Trek Precaliber 12 Boys - 2017</v>
      </c>
      <c r="I3434">
        <f>VLOOKUP(H3434,[1]products!$B:$D,3,0)</f>
        <v>1</v>
      </c>
      <c r="J3434" t="str">
        <f>VLOOKUP(I3434,[2]categories!$A$2:$B$8,2,0)</f>
        <v>Children Bicycles</v>
      </c>
    </row>
    <row r="3435" spans="1:10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0.07</v>
      </c>
      <c r="G3435" s="1">
        <f t="shared" si="53"/>
        <v>2510.9907</v>
      </c>
      <c r="H3435" t="str">
        <f>VLOOKUP(C3435,[1]products!$A:$B,2,0)</f>
        <v>Trek Domane S 6 - 2017</v>
      </c>
      <c r="I3435">
        <f>VLOOKUP(H3435,[1]products!$B:$D,3,0)</f>
        <v>7</v>
      </c>
      <c r="J3435" t="str">
        <f>VLOOKUP(I3435,[2]categories!$A$2:$B$8,2,0)</f>
        <v>Road Bikes</v>
      </c>
    </row>
    <row r="3436" spans="1:10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 s="1">
        <f t="shared" si="53"/>
        <v>881.982</v>
      </c>
      <c r="H3436" t="str">
        <f>VLOOKUP(C3436,[1]products!$A:$B,2,0)</f>
        <v>Electra Townie Original 7D - 2017</v>
      </c>
      <c r="I3436">
        <f>VLOOKUP(H3436,[1]products!$B:$D,3,0)</f>
        <v>3</v>
      </c>
      <c r="J3436" t="str">
        <f>VLOOKUP(I3436,[2]categories!$A$2:$B$8,2,0)</f>
        <v>Cruisers Bicycles</v>
      </c>
    </row>
    <row r="3437" spans="1:10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 s="1">
        <f t="shared" si="53"/>
        <v>8999.982</v>
      </c>
      <c r="H3437" t="str">
        <f>VLOOKUP(C3437,[1]products!$A:$B,2,0)</f>
        <v>Trek Fuel EX 9.8 29 - 2017</v>
      </c>
      <c r="I3437">
        <f>VLOOKUP(H3437,[1]products!$B:$D,3,0)</f>
        <v>6</v>
      </c>
      <c r="J3437" t="str">
        <f>VLOOKUP(I3437,[2]categories!$A$2:$B$8,2,0)</f>
        <v>Mountain Bikes</v>
      </c>
    </row>
    <row r="3438" spans="1:10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0.07</v>
      </c>
      <c r="G3438" s="1">
        <f t="shared" si="53"/>
        <v>387.8007</v>
      </c>
      <c r="H3438" t="str">
        <f>VLOOKUP(C3438,[1]products!$A:$B,2,0)</f>
        <v>Sun Bicycles Atlas X-Type - 2017</v>
      </c>
      <c r="I3438">
        <f>VLOOKUP(H3438,[1]products!$B:$D,3,0)</f>
        <v>3</v>
      </c>
      <c r="J3438" t="str">
        <f>VLOOKUP(I3438,[2]categories!$A$2:$B$8,2,0)</f>
        <v>Cruisers Bicycles</v>
      </c>
    </row>
    <row r="3439" spans="1:10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 s="1">
        <f t="shared" si="53"/>
        <v>8999.982</v>
      </c>
      <c r="H3439" t="str">
        <f>VLOOKUP(C3439,[1]products!$A:$B,2,0)</f>
        <v>Trek Fuel EX 9.8 29 - 2017</v>
      </c>
      <c r="I3439">
        <f>VLOOKUP(H3439,[1]products!$B:$D,3,0)</f>
        <v>6</v>
      </c>
      <c r="J3439" t="str">
        <f>VLOOKUP(I3439,[2]categories!$A$2:$B$8,2,0)</f>
        <v>Mountain Bikes</v>
      </c>
    </row>
    <row r="3440" spans="1:10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 s="1">
        <f t="shared" si="53"/>
        <v>377.982</v>
      </c>
      <c r="H3440" t="str">
        <f>VLOOKUP(C3440,[1]products!$A:$B,2,0)</f>
        <v>Trek Precaliber 16 Boys - 2017</v>
      </c>
      <c r="I3440">
        <f>VLOOKUP(H3440,[1]products!$B:$D,3,0)</f>
        <v>1</v>
      </c>
      <c r="J3440" t="str">
        <f>VLOOKUP(I3440,[2]categories!$A$2:$B$8,2,0)</f>
        <v>Children Bicycles</v>
      </c>
    </row>
    <row r="3441" spans="1:10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0.07</v>
      </c>
      <c r="G3441" s="1">
        <f t="shared" si="53"/>
        <v>455.6907</v>
      </c>
      <c r="H3441" t="str">
        <f>VLOOKUP(C3441,[1]products!$A:$B,2,0)</f>
        <v>Electra Townie 3i EQ (20-inch) - Boys' - 2017</v>
      </c>
      <c r="I3441">
        <f>VLOOKUP(H3441,[1]products!$B:$D,3,0)</f>
        <v>1</v>
      </c>
      <c r="J3441" t="str">
        <f>VLOOKUP(I3441,[2]categories!$A$2:$B$8,2,0)</f>
        <v>Children Bicycles</v>
      </c>
    </row>
    <row r="3442" spans="1:10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 s="1">
        <f t="shared" si="53"/>
        <v>989.982</v>
      </c>
      <c r="H3442" t="str">
        <f>VLOOKUP(C3442,[1]products!$A:$B,2,0)</f>
        <v>Electra Townie Original 21D - 2016</v>
      </c>
      <c r="I3442">
        <f>VLOOKUP(H3442,[1]products!$B:$D,3,0)</f>
        <v>3</v>
      </c>
      <c r="J3442" t="str">
        <f>VLOOKUP(I3442,[2]categories!$A$2:$B$8,2,0)</f>
        <v>Cruisers Bicycles</v>
      </c>
    </row>
    <row r="3443" spans="1:10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0.07</v>
      </c>
      <c r="G3443" s="1">
        <f t="shared" si="53"/>
        <v>353.3814</v>
      </c>
      <c r="H3443" t="str">
        <f>VLOOKUP(C3443,[1]products!$A:$B,2,0)</f>
        <v>Trek Precaliber 12 Girls - 2017</v>
      </c>
      <c r="I3443">
        <f>VLOOKUP(H3443,[1]products!$B:$D,3,0)</f>
        <v>1</v>
      </c>
      <c r="J3443" t="str">
        <f>VLOOKUP(I3443,[2]categories!$A$2:$B$8,2,0)</f>
        <v>Children Bicycles</v>
      </c>
    </row>
    <row r="3444" spans="1:10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 s="1">
        <f t="shared" si="53"/>
        <v>607.984</v>
      </c>
      <c r="H3444" t="str">
        <f>VLOOKUP(C3444,[1]products!$A:$B,2,0)</f>
        <v>Haro Flightline One ST - 2017</v>
      </c>
      <c r="I3444">
        <f>VLOOKUP(H3444,[1]products!$B:$D,3,0)</f>
        <v>6</v>
      </c>
      <c r="J3444" t="str">
        <f>VLOOKUP(I3444,[2]categories!$A$2:$B$8,2,0)</f>
        <v>Mountain Bikes</v>
      </c>
    </row>
    <row r="3445" spans="1:10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 s="1">
        <f t="shared" si="53"/>
        <v>284.981</v>
      </c>
      <c r="H3445" t="str">
        <f>VLOOKUP(C3445,[1]products!$A:$B,2,0)</f>
        <v>Trek Boy's Kickster - 2015/2017</v>
      </c>
      <c r="I3445">
        <f>VLOOKUP(H3445,[1]products!$B:$D,3,0)</f>
        <v>1</v>
      </c>
      <c r="J3445" t="str">
        <f>VLOOKUP(I3445,[2]categories!$A$2:$B$8,2,0)</f>
        <v>Children Bicycles</v>
      </c>
    </row>
    <row r="3446" spans="1:10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 s="1">
        <f t="shared" si="53"/>
        <v>949.9905</v>
      </c>
      <c r="H3446" t="str">
        <f>VLOOKUP(C3446,[1]products!$A:$B,2,0)</f>
        <v>Surly Big Dummy Frameset - 2017</v>
      </c>
      <c r="I3446">
        <f>VLOOKUP(H3446,[1]products!$B:$D,3,0)</f>
        <v>6</v>
      </c>
      <c r="J3446" t="str">
        <f>VLOOKUP(I3446,[2]categories!$A$2:$B$8,2,0)</f>
        <v>Mountain Bikes</v>
      </c>
    </row>
    <row r="3447" spans="1:10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 s="1">
        <f t="shared" si="53"/>
        <v>396.1405</v>
      </c>
      <c r="H3447" t="str">
        <f>VLOOKUP(C3447,[1]products!$A:$B,2,0)</f>
        <v>Sun Bicycles Atlas X-Type - 2017</v>
      </c>
      <c r="I3447">
        <f>VLOOKUP(H3447,[1]products!$B:$D,3,0)</f>
        <v>3</v>
      </c>
      <c r="J3447" t="str">
        <f>VLOOKUP(I3447,[2]categories!$A$2:$B$8,2,0)</f>
        <v>Cruisers Bicycles</v>
      </c>
    </row>
    <row r="3448" spans="1:10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0.07</v>
      </c>
      <c r="G3448" s="1">
        <f t="shared" si="53"/>
        <v>7439.9814</v>
      </c>
      <c r="H3448" t="str">
        <f>VLOOKUP(C3448,[1]products!$A:$B,2,0)</f>
        <v>Trek Slash 8 27.5 - 2016</v>
      </c>
      <c r="I3448">
        <f>VLOOKUP(H3448,[1]products!$B:$D,3,0)</f>
        <v>6</v>
      </c>
      <c r="J3448" t="str">
        <f>VLOOKUP(I3448,[2]categories!$A$2:$B$8,2,0)</f>
        <v>Mountain Bikes</v>
      </c>
    </row>
    <row r="3449" spans="1:10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 s="1">
        <f t="shared" si="53"/>
        <v>961.182</v>
      </c>
      <c r="H3449" t="str">
        <f>VLOOKUP(C3449,[1]products!$A:$B,2,0)</f>
        <v>Sun Bicycles Streamway 7 - 2017</v>
      </c>
      <c r="I3449">
        <f>VLOOKUP(H3449,[1]products!$B:$D,3,0)</f>
        <v>2</v>
      </c>
      <c r="J3449" t="str">
        <f>VLOOKUP(I3449,[2]categories!$A$2:$B$8,2,0)</f>
        <v>Comfort Bicycles</v>
      </c>
    </row>
    <row r="3450" spans="1:10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 s="1">
        <f t="shared" si="53"/>
        <v>104.4905</v>
      </c>
      <c r="H3450" t="str">
        <f>VLOOKUP(C3450,[1]products!$A:$B,2,0)</f>
        <v>Sun Bicycles Lil Kitt'n - 2017</v>
      </c>
      <c r="I3450">
        <f>VLOOKUP(H3450,[1]products!$B:$D,3,0)</f>
        <v>1</v>
      </c>
      <c r="J3450" t="str">
        <f>VLOOKUP(I3450,[2]categories!$A$2:$B$8,2,0)</f>
        <v>Children Bicycles</v>
      </c>
    </row>
    <row r="3451" spans="1:10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0.07</v>
      </c>
      <c r="G3451" s="1">
        <f t="shared" si="53"/>
        <v>814.6707</v>
      </c>
      <c r="H3451" t="str">
        <f>VLOOKUP(C3451,[1]products!$A:$B,2,0)</f>
        <v>Surly Steamroller - 2017</v>
      </c>
      <c r="I3451">
        <f>VLOOKUP(H3451,[1]products!$B:$D,3,0)</f>
        <v>7</v>
      </c>
      <c r="J3451" t="str">
        <f>VLOOKUP(I3451,[2]categories!$A$2:$B$8,2,0)</f>
        <v>Road Bikes</v>
      </c>
    </row>
    <row r="3452" spans="1:10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0.07</v>
      </c>
      <c r="G3452" s="1">
        <f t="shared" si="53"/>
        <v>697.4907</v>
      </c>
      <c r="H3452" t="str">
        <f>VLOOKUP(C3452,[1]products!$A:$B,2,0)</f>
        <v>Surly Ogre Frameset - 2017</v>
      </c>
      <c r="I3452">
        <f>VLOOKUP(H3452,[1]products!$B:$D,3,0)</f>
        <v>7</v>
      </c>
      <c r="J3452" t="str">
        <f>VLOOKUP(I3452,[2]categories!$A$2:$B$8,2,0)</f>
        <v>Road Bikes</v>
      </c>
    </row>
    <row r="3453" spans="1:10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0.07</v>
      </c>
      <c r="G3453" s="1">
        <f t="shared" si="53"/>
        <v>251.0907</v>
      </c>
      <c r="H3453" t="str">
        <f>VLOOKUP(C3453,[1]products!$A:$B,2,0)</f>
        <v>Electra Cruiser 1 (24-Inch) - 2016</v>
      </c>
      <c r="I3453">
        <f>VLOOKUP(H3453,[1]products!$B:$D,3,0)</f>
        <v>3</v>
      </c>
      <c r="J3453" t="str">
        <f>VLOOKUP(I3453,[2]categories!$A$2:$B$8,2,0)</f>
        <v>Cruisers Bicycles</v>
      </c>
    </row>
    <row r="3454" spans="1:10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 s="1">
        <f t="shared" si="53"/>
        <v>854.981</v>
      </c>
      <c r="H3454" t="str">
        <f>VLOOKUP(C3454,[1]products!$A:$B,2,0)</f>
        <v>Sun Bicycles Cruz 3 - Women's - 2017</v>
      </c>
      <c r="I3454">
        <f>VLOOKUP(H3454,[1]products!$B:$D,3,0)</f>
        <v>2</v>
      </c>
      <c r="J3454" t="str">
        <f>VLOOKUP(I3454,[2]categories!$A$2:$B$8,2,0)</f>
        <v>Comfort Bicycles</v>
      </c>
    </row>
    <row r="3455" spans="1:10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 s="1">
        <f t="shared" si="53"/>
        <v>5699.981</v>
      </c>
      <c r="H3455" t="str">
        <f>VLOOKUP(C3455,[1]products!$A:$B,2,0)</f>
        <v>Trek Conduit+ - 2016</v>
      </c>
      <c r="I3455">
        <f>VLOOKUP(H3455,[1]products!$B:$D,3,0)</f>
        <v>5</v>
      </c>
      <c r="J3455" t="str">
        <f>VLOOKUP(I3455,[2]categories!$A$2:$B$8,2,0)</f>
        <v>Electric Bikes</v>
      </c>
    </row>
    <row r="3456" spans="1:10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 s="1">
        <f t="shared" si="53"/>
        <v>719.984</v>
      </c>
      <c r="H3456" t="str">
        <f>VLOOKUP(C3456,[1]products!$A:$B,2,0)</f>
        <v>Sun Bicycles Cruz 3 - 2017</v>
      </c>
      <c r="I3456">
        <f>VLOOKUP(H3456,[1]products!$B:$D,3,0)</f>
        <v>3</v>
      </c>
      <c r="J3456" t="str">
        <f>VLOOKUP(I3456,[2]categories!$A$2:$B$8,2,0)</f>
        <v>Cruisers Bicycles</v>
      </c>
    </row>
    <row r="3457" spans="1:10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 s="1">
        <f t="shared" si="53"/>
        <v>507.2905</v>
      </c>
      <c r="H3457" t="str">
        <f>VLOOKUP(C3457,[1]products!$A:$B,2,0)</f>
        <v>Sun Bicycles Streamway 7 - 2017</v>
      </c>
      <c r="I3457">
        <f>VLOOKUP(H3457,[1]products!$B:$D,3,0)</f>
        <v>2</v>
      </c>
      <c r="J3457" t="str">
        <f>VLOOKUP(I3457,[2]categories!$A$2:$B$8,2,0)</f>
        <v>Comfort Bicycles</v>
      </c>
    </row>
    <row r="3458" spans="1:10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 s="1">
        <f t="shared" ref="G3458:G3521" si="54">D3458*E3458*(1-F3458)</f>
        <v>446.4905</v>
      </c>
      <c r="H3458" t="str">
        <f>VLOOKUP(C3458,[1]products!$A:$B,2,0)</f>
        <v>Trek Farley Alloy Frameset - 2017</v>
      </c>
      <c r="I3458">
        <f>VLOOKUP(H3458,[1]products!$B:$D,3,0)</f>
        <v>6</v>
      </c>
      <c r="J3458" t="str">
        <f>VLOOKUP(I3458,[2]categories!$A$2:$B$8,2,0)</f>
        <v>Mountain Bikes</v>
      </c>
    </row>
    <row r="3459" spans="1:10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0.07</v>
      </c>
      <c r="G3459" s="1">
        <f t="shared" si="54"/>
        <v>464.9814</v>
      </c>
      <c r="H3459" t="str">
        <f>VLOOKUP(C3459,[1]products!$A:$B,2,0)</f>
        <v>Haro Shredder Pro 20 - 2017</v>
      </c>
      <c r="I3459">
        <f>VLOOKUP(H3459,[1]products!$B:$D,3,0)</f>
        <v>1</v>
      </c>
      <c r="J3459" t="str">
        <f>VLOOKUP(I3459,[2]categories!$A$2:$B$8,2,0)</f>
        <v>Children Bicycles</v>
      </c>
    </row>
    <row r="3460" spans="1:10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 s="1">
        <f t="shared" si="54"/>
        <v>750.582</v>
      </c>
      <c r="H3460" t="str">
        <f>VLOOKUP(C3460,[1]products!$A:$B,2,0)</f>
        <v>Sun Bicycles Cruz 7 - Women's - 2017</v>
      </c>
      <c r="I3460">
        <f>VLOOKUP(H3460,[1]products!$B:$D,3,0)</f>
        <v>2</v>
      </c>
      <c r="J3460" t="str">
        <f>VLOOKUP(I3460,[2]categories!$A$2:$B$8,2,0)</f>
        <v>Comfort Bicycles</v>
      </c>
    </row>
    <row r="3461" spans="1:10">
      <c r="A3461">
        <v>1200</v>
      </c>
      <c r="B3461">
        <v>1</v>
      </c>
      <c r="C3461">
        <v>42</v>
      </c>
      <c r="D3461">
        <v>2</v>
      </c>
      <c r="E3461">
        <v>2299.99</v>
      </c>
      <c r="F3461">
        <v>0.2</v>
      </c>
      <c r="G3461" s="1">
        <f t="shared" si="54"/>
        <v>3679.984</v>
      </c>
      <c r="H3461" t="str">
        <f>VLOOKUP(C3461,[1]products!$A:$B,2,0)</f>
        <v>Trek Fuel EX 5 27.5 Plus - 2017</v>
      </c>
      <c r="I3461">
        <f>VLOOKUP(H3461,[1]products!$B:$D,3,0)</f>
        <v>6</v>
      </c>
      <c r="J3461" t="str">
        <f>VLOOKUP(I3461,[2]categories!$A$2:$B$8,2,0)</f>
        <v>Mountain Bikes</v>
      </c>
    </row>
    <row r="3462" spans="1:10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0.07</v>
      </c>
      <c r="G3462" s="1">
        <f t="shared" si="54"/>
        <v>278.9907</v>
      </c>
      <c r="H3462" t="str">
        <f>VLOOKUP(C3462,[1]products!$A:$B,2,0)</f>
        <v>Electra Girl's Hawaii 1 16" - 2017</v>
      </c>
      <c r="I3462">
        <f>VLOOKUP(H3462,[1]products!$B:$D,3,0)</f>
        <v>3</v>
      </c>
      <c r="J3462" t="str">
        <f>VLOOKUP(I3462,[2]categories!$A$2:$B$8,2,0)</f>
        <v>Cruisers Bicycles</v>
      </c>
    </row>
    <row r="3463" spans="1:10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 s="1">
        <f t="shared" si="54"/>
        <v>256.4905</v>
      </c>
      <c r="H3463" t="str">
        <f>VLOOKUP(C3463,[1]products!$A:$B,2,0)</f>
        <v>Electra Cruiser 1 (24-Inch) - 2016</v>
      </c>
      <c r="I3463">
        <f>VLOOKUP(H3463,[1]products!$B:$D,3,0)</f>
        <v>3</v>
      </c>
      <c r="J3463" t="str">
        <f>VLOOKUP(I3463,[2]categories!$A$2:$B$8,2,0)</f>
        <v>Cruisers Bicycles</v>
      </c>
    </row>
    <row r="3464" spans="1:10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 s="1">
        <f t="shared" si="54"/>
        <v>479.992</v>
      </c>
      <c r="H3464" t="str">
        <f>VLOOKUP(C3464,[1]products!$A:$B,2,0)</f>
        <v>Electra Townie Original 7D EQ - 2016</v>
      </c>
      <c r="I3464">
        <f>VLOOKUP(H3464,[1]products!$B:$D,3,0)</f>
        <v>3</v>
      </c>
      <c r="J3464" t="str">
        <f>VLOOKUP(I3464,[2]categories!$A$2:$B$8,2,0)</f>
        <v>Cruisers Bicycles</v>
      </c>
    </row>
    <row r="3465" spans="1:10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 s="1">
        <f t="shared" si="54"/>
        <v>815.1</v>
      </c>
      <c r="H3465" t="str">
        <f>VLOOKUP(C3465,[1]products!$A:$B,2,0)</f>
        <v>Pure Cycles Vine 8-Speed - 2016</v>
      </c>
      <c r="I3465">
        <f>VLOOKUP(H3465,[1]products!$B:$D,3,0)</f>
        <v>3</v>
      </c>
      <c r="J3465" t="str">
        <f>VLOOKUP(I3465,[2]categories!$A$2:$B$8,2,0)</f>
        <v>Cruisers Bicycles</v>
      </c>
    </row>
    <row r="3466" spans="1:10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 s="1">
        <f t="shared" si="54"/>
        <v>718.4</v>
      </c>
      <c r="H3466" t="str">
        <f>VLOOKUP(C3466,[1]products!$A:$B,2,0)</f>
        <v>Pure Cycles William 3-Speed - 2016</v>
      </c>
      <c r="I3466">
        <f>VLOOKUP(H3466,[1]products!$B:$D,3,0)</f>
        <v>3</v>
      </c>
      <c r="J3466" t="str">
        <f>VLOOKUP(I3466,[2]categories!$A$2:$B$8,2,0)</f>
        <v>Cruisers Bicycles</v>
      </c>
    </row>
    <row r="3467" spans="1:10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 s="1">
        <f t="shared" si="54"/>
        <v>208.981</v>
      </c>
      <c r="H3467" t="str">
        <f>VLOOKUP(C3467,[1]products!$A:$B,2,0)</f>
        <v>Sun Bicycles Lil Kitt'n - 2017</v>
      </c>
      <c r="I3467">
        <f>VLOOKUP(H3467,[1]products!$B:$D,3,0)</f>
        <v>1</v>
      </c>
      <c r="J3467" t="str">
        <f>VLOOKUP(I3467,[2]categories!$A$2:$B$8,2,0)</f>
        <v>Children Bicycles</v>
      </c>
    </row>
    <row r="3468" spans="1:10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0.07</v>
      </c>
      <c r="G3468" s="1">
        <f t="shared" si="54"/>
        <v>874.1814</v>
      </c>
      <c r="H3468" t="str">
        <f>VLOOKUP(C3468,[1]products!$A:$B,2,0)</f>
        <v>Surly Ice Cream Truck Frameset - 2016</v>
      </c>
      <c r="I3468">
        <f>VLOOKUP(H3468,[1]products!$B:$D,3,0)</f>
        <v>6</v>
      </c>
      <c r="J3468" t="str">
        <f>VLOOKUP(I3468,[2]categories!$A$2:$B$8,2,0)</f>
        <v>Mountain Bikes</v>
      </c>
    </row>
    <row r="3469" spans="1:10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 s="1">
        <f t="shared" si="54"/>
        <v>2564.9905</v>
      </c>
      <c r="H3469" t="str">
        <f>VLOOKUP(C3469,[1]products!$A:$B,2,0)</f>
        <v>Trek Domane S 6 - 2017</v>
      </c>
      <c r="I3469">
        <f>VLOOKUP(H3469,[1]products!$B:$D,3,0)</f>
        <v>7</v>
      </c>
      <c r="J3469" t="str">
        <f>VLOOKUP(I3469,[2]categories!$A$2:$B$8,2,0)</f>
        <v>Road Bikes</v>
      </c>
    </row>
    <row r="3470" spans="1:10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0.07</v>
      </c>
      <c r="G3470" s="1">
        <f t="shared" si="54"/>
        <v>706.7814</v>
      </c>
      <c r="H3470" t="str">
        <f>VLOOKUP(C3470,[1]products!$A:$B,2,0)</f>
        <v>Haro Flightline One ST - 2017</v>
      </c>
      <c r="I3470">
        <f>VLOOKUP(H3470,[1]products!$B:$D,3,0)</f>
        <v>6</v>
      </c>
      <c r="J3470" t="str">
        <f>VLOOKUP(I3470,[2]categories!$A$2:$B$8,2,0)</f>
        <v>Mountain Bikes</v>
      </c>
    </row>
    <row r="3471" spans="1:10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 s="1">
        <f t="shared" si="54"/>
        <v>854.384</v>
      </c>
      <c r="H3471" t="str">
        <f>VLOOKUP(C3471,[1]products!$A:$B,2,0)</f>
        <v>Sun Bicycles Streamway 7 - 2017</v>
      </c>
      <c r="I3471">
        <f>VLOOKUP(H3471,[1]products!$B:$D,3,0)</f>
        <v>2</v>
      </c>
      <c r="J3471" t="str">
        <f>VLOOKUP(I3471,[2]categories!$A$2:$B$8,2,0)</f>
        <v>Comfort Bicycles</v>
      </c>
    </row>
    <row r="3472" spans="1:10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 s="1">
        <f t="shared" si="54"/>
        <v>2255.984</v>
      </c>
      <c r="H3472" t="str">
        <f>VLOOKUP(C3472,[1]products!$A:$B,2,0)</f>
        <v>Haro SR 1.3 - 2017</v>
      </c>
      <c r="I3472">
        <f>VLOOKUP(H3472,[1]products!$B:$D,3,0)</f>
        <v>6</v>
      </c>
      <c r="J3472" t="str">
        <f>VLOOKUP(I3472,[2]categories!$A$2:$B$8,2,0)</f>
        <v>Mountain Bikes</v>
      </c>
    </row>
    <row r="3473" spans="1:10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 s="1">
        <f t="shared" si="54"/>
        <v>396.1405</v>
      </c>
      <c r="H3473" t="str">
        <f>VLOOKUP(C3473,[1]products!$A:$B,2,0)</f>
        <v>Sun Bicycles Atlas X-Type - 2017</v>
      </c>
      <c r="I3473">
        <f>VLOOKUP(H3473,[1]products!$B:$D,3,0)</f>
        <v>3</v>
      </c>
      <c r="J3473" t="str">
        <f>VLOOKUP(I3473,[2]categories!$A$2:$B$8,2,0)</f>
        <v>Cruisers Bicycles</v>
      </c>
    </row>
    <row r="3474" spans="1:10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0.07</v>
      </c>
      <c r="G3474" s="1">
        <f t="shared" si="54"/>
        <v>749.5614</v>
      </c>
      <c r="H3474" t="str">
        <f>VLOOKUP(C3474,[1]products!$A:$B,2,0)</f>
        <v>Sun Bicycles Boardwalk (24-inch Wheels) - 2017</v>
      </c>
      <c r="I3474">
        <f>VLOOKUP(H3474,[1]products!$B:$D,3,0)</f>
        <v>3</v>
      </c>
      <c r="J3474" t="str">
        <f>VLOOKUP(I3474,[2]categories!$A$2:$B$8,2,0)</f>
        <v>Cruisers Bicycles</v>
      </c>
    </row>
    <row r="3475" spans="1:10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 s="1">
        <f t="shared" si="54"/>
        <v>188.991</v>
      </c>
      <c r="H3475" t="str">
        <f>VLOOKUP(C3475,[1]products!$A:$B,2,0)</f>
        <v>Haro Shredder 20 - 2017</v>
      </c>
      <c r="I3475">
        <f>VLOOKUP(H3475,[1]products!$B:$D,3,0)</f>
        <v>1</v>
      </c>
      <c r="J3475" t="str">
        <f>VLOOKUP(I3475,[2]categories!$A$2:$B$8,2,0)</f>
        <v>Children Bicycles</v>
      </c>
    </row>
    <row r="3476" spans="1:10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0.07</v>
      </c>
      <c r="G3476" s="1">
        <f t="shared" si="54"/>
        <v>697.4907</v>
      </c>
      <c r="H3476" t="str">
        <f>VLOOKUP(C3476,[1]products!$A:$B,2,0)</f>
        <v>Sun Bicycles Brickell Tandem 7 - 2017</v>
      </c>
      <c r="I3476">
        <f>VLOOKUP(H3476,[1]products!$B:$D,3,0)</f>
        <v>3</v>
      </c>
      <c r="J3476" t="str">
        <f>VLOOKUP(I3476,[2]categories!$A$2:$B$8,2,0)</f>
        <v>Cruisers Bicycles</v>
      </c>
    </row>
    <row r="3477" spans="1:10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 s="1">
        <f t="shared" si="54"/>
        <v>799.992</v>
      </c>
      <c r="H3477" t="str">
        <f>VLOOKUP(C3477,[1]products!$A:$B,2,0)</f>
        <v>Trek X-Caliber 8 - 2017</v>
      </c>
      <c r="I3477">
        <f>VLOOKUP(H3477,[1]products!$B:$D,3,0)</f>
        <v>6</v>
      </c>
      <c r="J3477" t="str">
        <f>VLOOKUP(I3477,[2]categories!$A$2:$B$8,2,0)</f>
        <v>Mountain Bikes</v>
      </c>
    </row>
    <row r="3478" spans="1:10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 s="1">
        <f t="shared" si="54"/>
        <v>457.8905</v>
      </c>
      <c r="H3478" t="str">
        <f>VLOOKUP(C3478,[1]products!$A:$B,2,0)</f>
        <v>Sun Bicycles Streamway - 2017</v>
      </c>
      <c r="I3478">
        <f>VLOOKUP(H3478,[1]products!$B:$D,3,0)</f>
        <v>2</v>
      </c>
      <c r="J3478" t="str">
        <f>VLOOKUP(I3478,[2]categories!$A$2:$B$8,2,0)</f>
        <v>Comfort Bicycles</v>
      </c>
    </row>
    <row r="3479" spans="1:10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 s="1">
        <f t="shared" si="54"/>
        <v>496.791</v>
      </c>
      <c r="H3479" t="str">
        <f>VLOOKUP(C3479,[1]products!$A:$B,2,0)</f>
        <v>Sun Bicycles Streamway 3 - 2017</v>
      </c>
      <c r="I3479">
        <f>VLOOKUP(H3479,[1]products!$B:$D,3,0)</f>
        <v>2</v>
      </c>
      <c r="J3479" t="str">
        <f>VLOOKUP(I3479,[2]categories!$A$2:$B$8,2,0)</f>
        <v>Comfort Bicycles</v>
      </c>
    </row>
    <row r="3480" spans="1:10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0.07</v>
      </c>
      <c r="G3480" s="1">
        <f t="shared" si="54"/>
        <v>278.9907</v>
      </c>
      <c r="H3480" t="str">
        <f>VLOOKUP(C3480,[1]products!$A:$B,2,0)</f>
        <v>Electra Girl's Hawaii 1 (20-inch) - 2015/2016</v>
      </c>
      <c r="I3480">
        <f>VLOOKUP(H3480,[1]products!$B:$D,3,0)</f>
        <v>1</v>
      </c>
      <c r="J3480" t="str">
        <f>VLOOKUP(I3480,[2]categories!$A$2:$B$8,2,0)</f>
        <v>Children Bicycles</v>
      </c>
    </row>
    <row r="3481" spans="1:10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 s="1">
        <f t="shared" si="54"/>
        <v>439.992</v>
      </c>
      <c r="H3481" t="str">
        <f>VLOOKUP(C3481,[1]products!$A:$B,2,0)</f>
        <v>Electra Townie Original 21D - 2016</v>
      </c>
      <c r="I3481">
        <f>VLOOKUP(H3481,[1]products!$B:$D,3,0)</f>
        <v>3</v>
      </c>
      <c r="J3481" t="str">
        <f>VLOOKUP(I3481,[2]categories!$A$2:$B$8,2,0)</f>
        <v>Cruisers Bicycles</v>
      </c>
    </row>
    <row r="3482" spans="1:10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0.07</v>
      </c>
      <c r="G3482" s="1">
        <f t="shared" si="54"/>
        <v>645.4014</v>
      </c>
      <c r="H3482" t="str">
        <f>VLOOKUP(C3482,[1]products!$A:$B,2,0)</f>
        <v>Sun Bicycles Lil Bolt Type-R - 2017</v>
      </c>
      <c r="I3482">
        <f>VLOOKUP(H3482,[1]products!$B:$D,3,0)</f>
        <v>3</v>
      </c>
      <c r="J3482" t="str">
        <f>VLOOKUP(I3482,[2]categories!$A$2:$B$8,2,0)</f>
        <v>Cruisers Bicycles</v>
      </c>
    </row>
    <row r="3483" spans="1:10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 s="1">
        <f t="shared" si="54"/>
        <v>239.984</v>
      </c>
      <c r="H3483" t="str">
        <f>VLOOKUP(C3483,[1]products!$A:$B,2,0)</f>
        <v>Trek Girl's Kickster - 2017</v>
      </c>
      <c r="I3483">
        <f>VLOOKUP(H3483,[1]products!$B:$D,3,0)</f>
        <v>1</v>
      </c>
      <c r="J3483" t="str">
        <f>VLOOKUP(I3483,[2]categories!$A$2:$B$8,2,0)</f>
        <v>Children Bicycles</v>
      </c>
    </row>
    <row r="3484" spans="1:10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 s="1">
        <f t="shared" si="54"/>
        <v>485.982</v>
      </c>
      <c r="H3484" t="str">
        <f>VLOOKUP(C3484,[1]products!$A:$B,2,0)</f>
        <v>Electra Cruiser 1 (24-Inch) - 2016</v>
      </c>
      <c r="I3484">
        <f>VLOOKUP(H3484,[1]products!$B:$D,3,0)</f>
        <v>3</v>
      </c>
      <c r="J3484" t="str">
        <f>VLOOKUP(I3484,[2]categories!$A$2:$B$8,2,0)</f>
        <v>Cruisers Bicycles</v>
      </c>
    </row>
    <row r="3485" spans="1:10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0.07</v>
      </c>
      <c r="G3485" s="1">
        <f t="shared" si="54"/>
        <v>176.6907</v>
      </c>
      <c r="H3485" t="str">
        <f>VLOOKUP(C3485,[1]products!$A:$B,2,0)</f>
        <v>Trek Precaliber 12 Boys - 2017</v>
      </c>
      <c r="I3485">
        <f>VLOOKUP(H3485,[1]products!$B:$D,3,0)</f>
        <v>1</v>
      </c>
      <c r="J3485" t="str">
        <f>VLOOKUP(I3485,[2]categories!$A$2:$B$8,2,0)</f>
        <v>Children Bicycles</v>
      </c>
    </row>
    <row r="3486" spans="1:10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0.07</v>
      </c>
      <c r="G3486" s="1">
        <f t="shared" si="54"/>
        <v>195.2907</v>
      </c>
      <c r="H3486" t="str">
        <f>VLOOKUP(C3486,[1]products!$A:$B,2,0)</f>
        <v>Trek Precaliber 16 Boys - 2017</v>
      </c>
      <c r="I3486">
        <f>VLOOKUP(H3486,[1]products!$B:$D,3,0)</f>
        <v>1</v>
      </c>
      <c r="J3486" t="str">
        <f>VLOOKUP(I3486,[2]categories!$A$2:$B$8,2,0)</f>
        <v>Children Bicycles</v>
      </c>
    </row>
    <row r="3487" spans="1:10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 s="1">
        <f t="shared" si="54"/>
        <v>332.4905</v>
      </c>
      <c r="H3487" t="str">
        <f>VLOOKUP(C3487,[1]products!$A:$B,2,0)</f>
        <v>Electra Savannah 3i (20-inch) - Girl's - 2017</v>
      </c>
      <c r="I3487">
        <f>VLOOKUP(H3487,[1]products!$B:$D,3,0)</f>
        <v>1</v>
      </c>
      <c r="J3487" t="str">
        <f>VLOOKUP(I3487,[2]categories!$A$2:$B$8,2,0)</f>
        <v>Children Bicycles</v>
      </c>
    </row>
    <row r="3488" spans="1:10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 s="1">
        <f t="shared" si="54"/>
        <v>539.991</v>
      </c>
      <c r="H3488" t="str">
        <f>VLOOKUP(C3488,[1]products!$A:$B,2,0)</f>
        <v>Electra Townie Original 7D EQ - 2016</v>
      </c>
      <c r="I3488">
        <f>VLOOKUP(H3488,[1]products!$B:$D,3,0)</f>
        <v>3</v>
      </c>
      <c r="J3488" t="str">
        <f>VLOOKUP(I3488,[2]categories!$A$2:$B$8,2,0)</f>
        <v>Cruisers Bicycles</v>
      </c>
    </row>
    <row r="3489" spans="1:10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0.07</v>
      </c>
      <c r="G3489" s="1">
        <f t="shared" si="54"/>
        <v>874.1814</v>
      </c>
      <c r="H3489" t="str">
        <f>VLOOKUP(C3489,[1]products!$A:$B,2,0)</f>
        <v>Surly Ice Cream Truck Frameset - 2016</v>
      </c>
      <c r="I3489">
        <f>VLOOKUP(H3489,[1]products!$B:$D,3,0)</f>
        <v>6</v>
      </c>
      <c r="J3489" t="str">
        <f>VLOOKUP(I3489,[2]categories!$A$2:$B$8,2,0)</f>
        <v>Mountain Bikes</v>
      </c>
    </row>
    <row r="3490" spans="1:10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 s="1">
        <f t="shared" si="54"/>
        <v>1231.181</v>
      </c>
      <c r="H3490" t="str">
        <f>VLOOKUP(C3490,[1]products!$A:$B,2,0)</f>
        <v>Sun Bicycles Biscayne Tandem CB - 2017</v>
      </c>
      <c r="I3490">
        <f>VLOOKUP(H3490,[1]products!$B:$D,3,0)</f>
        <v>3</v>
      </c>
      <c r="J3490" t="str">
        <f>VLOOKUP(I3490,[2]categories!$A$2:$B$8,2,0)</f>
        <v>Cruisers Bicycles</v>
      </c>
    </row>
    <row r="3491" spans="1:10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 s="1">
        <f t="shared" si="54"/>
        <v>98.991</v>
      </c>
      <c r="H3491" t="str">
        <f>VLOOKUP(C3491,[1]products!$A:$B,2,0)</f>
        <v>Sun Bicycles Lil Kitt'n - 2017</v>
      </c>
      <c r="I3491">
        <f>VLOOKUP(H3491,[1]products!$B:$D,3,0)</f>
        <v>1</v>
      </c>
      <c r="J3491" t="str">
        <f>VLOOKUP(I3491,[2]categories!$A$2:$B$8,2,0)</f>
        <v>Children Bicycles</v>
      </c>
    </row>
    <row r="3492" spans="1:10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 s="1">
        <f t="shared" si="54"/>
        <v>1582.681</v>
      </c>
      <c r="H3492" t="str">
        <f>VLOOKUP(C3492,[1]products!$A:$B,2,0)</f>
        <v>Sun Bicycles Spider 3i - 2017</v>
      </c>
      <c r="I3492">
        <f>VLOOKUP(H3492,[1]products!$B:$D,3,0)</f>
        <v>6</v>
      </c>
      <c r="J3492" t="str">
        <f>VLOOKUP(I3492,[2]categories!$A$2:$B$8,2,0)</f>
        <v>Mountain Bikes</v>
      </c>
    </row>
    <row r="3493" spans="1:10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 s="1">
        <f t="shared" si="54"/>
        <v>847.984</v>
      </c>
      <c r="H3493" t="str">
        <f>VLOOKUP(C3493,[1]products!$A:$B,2,0)</f>
        <v>Electra Moto 1 - 2016</v>
      </c>
      <c r="I3493">
        <f>VLOOKUP(H3493,[1]products!$B:$D,3,0)</f>
        <v>3</v>
      </c>
      <c r="J3493" t="str">
        <f>VLOOKUP(I3493,[2]categories!$A$2:$B$8,2,0)</f>
        <v>Cruisers Bicycles</v>
      </c>
    </row>
    <row r="3494" spans="1:10">
      <c r="A3494">
        <v>1211</v>
      </c>
      <c r="B3494">
        <v>2</v>
      </c>
      <c r="C3494">
        <v>59</v>
      </c>
      <c r="D3494">
        <v>1</v>
      </c>
      <c r="E3494">
        <v>2599.99</v>
      </c>
      <c r="F3494">
        <v>0.05</v>
      </c>
      <c r="G3494" s="1">
        <f t="shared" si="54"/>
        <v>2469.9905</v>
      </c>
      <c r="H3494" t="str">
        <f>VLOOKUP(C3494,[1]products!$A:$B,2,0)</f>
        <v>Trek Domane S 5 Disc - 2017</v>
      </c>
      <c r="I3494">
        <f>VLOOKUP(H3494,[1]products!$B:$D,3,0)</f>
        <v>7</v>
      </c>
      <c r="J3494" t="str">
        <f>VLOOKUP(I3494,[2]categories!$A$2:$B$8,2,0)</f>
        <v>Road Bikes</v>
      </c>
    </row>
    <row r="3495" spans="1:10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 s="1">
        <f t="shared" si="54"/>
        <v>167.992</v>
      </c>
      <c r="H3495" t="str">
        <f>VLOOKUP(C3495,[1]products!$A:$B,2,0)</f>
        <v>Haro Shredder 20 - 2017</v>
      </c>
      <c r="I3495">
        <f>VLOOKUP(H3495,[1]products!$B:$D,3,0)</f>
        <v>1</v>
      </c>
      <c r="J3495" t="str">
        <f>VLOOKUP(I3495,[2]categories!$A$2:$B$8,2,0)</f>
        <v>Children Bicycles</v>
      </c>
    </row>
    <row r="3496" spans="1:10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 s="1">
        <f t="shared" si="54"/>
        <v>188.991</v>
      </c>
      <c r="H3496" t="str">
        <f>VLOOKUP(C3496,[1]products!$A:$B,2,0)</f>
        <v>Haro Shredder 20 Girls - 2017</v>
      </c>
      <c r="I3496">
        <f>VLOOKUP(H3496,[1]products!$B:$D,3,0)</f>
        <v>1</v>
      </c>
      <c r="J3496" t="str">
        <f>VLOOKUP(I3496,[2]categories!$A$2:$B$8,2,0)</f>
        <v>Children Bicycles</v>
      </c>
    </row>
    <row r="3497" spans="1:10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 s="1">
        <f t="shared" si="54"/>
        <v>719.984</v>
      </c>
      <c r="H3497" t="str">
        <f>VLOOKUP(C3497,[1]products!$A:$B,2,0)</f>
        <v>Sun Bicycles Cruz 3 - Women's - 2017</v>
      </c>
      <c r="I3497">
        <f>VLOOKUP(H3497,[1]products!$B:$D,3,0)</f>
        <v>2</v>
      </c>
      <c r="J3497" t="str">
        <f>VLOOKUP(I3497,[2]categories!$A$2:$B$8,2,0)</f>
        <v>Comfort Bicycles</v>
      </c>
    </row>
    <row r="3498" spans="1:10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 s="1">
        <f t="shared" si="54"/>
        <v>395.991</v>
      </c>
      <c r="H3498" t="str">
        <f>VLOOKUP(C3498,[1]products!$A:$B,2,0)</f>
        <v>Electra Cruiser Lux 1 - 2017</v>
      </c>
      <c r="I3498">
        <f>VLOOKUP(H3498,[1]products!$B:$D,3,0)</f>
        <v>3</v>
      </c>
      <c r="J3498" t="str">
        <f>VLOOKUP(I3498,[2]categories!$A$2:$B$8,2,0)</f>
        <v>Cruisers Bicycles</v>
      </c>
    </row>
    <row r="3499" spans="1:10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0.07</v>
      </c>
      <c r="G3499" s="1">
        <f t="shared" si="54"/>
        <v>706.7814</v>
      </c>
      <c r="H3499" t="str">
        <f>VLOOKUP(C3499,[1]products!$A:$B,2,0)</f>
        <v>Haro Flightline One ST - 2017</v>
      </c>
      <c r="I3499">
        <f>VLOOKUP(H3499,[1]products!$B:$D,3,0)</f>
        <v>6</v>
      </c>
      <c r="J3499" t="str">
        <f>VLOOKUP(I3499,[2]categories!$A$2:$B$8,2,0)</f>
        <v>Mountain Bikes</v>
      </c>
    </row>
    <row r="3500" spans="1:10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 s="1">
        <f t="shared" si="54"/>
        <v>2849.981</v>
      </c>
      <c r="H3500" t="str">
        <f>VLOOKUP(C3500,[1]products!$A:$B,2,0)</f>
        <v>Trek Stache 5 - 2017</v>
      </c>
      <c r="I3500">
        <f>VLOOKUP(H3500,[1]products!$B:$D,3,0)</f>
        <v>6</v>
      </c>
      <c r="J3500" t="str">
        <f>VLOOKUP(I3500,[2]categories!$A$2:$B$8,2,0)</f>
        <v>Mountain Bikes</v>
      </c>
    </row>
    <row r="3501" spans="1:10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0.07</v>
      </c>
      <c r="G3501" s="1">
        <f t="shared" si="54"/>
        <v>836.9814</v>
      </c>
      <c r="H3501" t="str">
        <f>VLOOKUP(C3501,[1]products!$A:$B,2,0)</f>
        <v>Sun Bicycles Cruz 3 - 2017</v>
      </c>
      <c r="I3501">
        <f>VLOOKUP(H3501,[1]products!$B:$D,3,0)</f>
        <v>3</v>
      </c>
      <c r="J3501" t="str">
        <f>VLOOKUP(I3501,[2]categories!$A$2:$B$8,2,0)</f>
        <v>Cruisers Bicycles</v>
      </c>
    </row>
    <row r="3502" spans="1:10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0.07</v>
      </c>
      <c r="G3502" s="1">
        <f t="shared" si="54"/>
        <v>911.3814</v>
      </c>
      <c r="H3502" t="str">
        <f>VLOOKUP(C3502,[1]products!$A:$B,2,0)</f>
        <v>Electra Townie Original 7D - 2017</v>
      </c>
      <c r="I3502">
        <f>VLOOKUP(H3502,[1]products!$B:$D,3,0)</f>
        <v>3</v>
      </c>
      <c r="J3502" t="str">
        <f>VLOOKUP(I3502,[2]categories!$A$2:$B$8,2,0)</f>
        <v>Cruisers Bicycles</v>
      </c>
    </row>
    <row r="3503" spans="1:10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0.07</v>
      </c>
      <c r="G3503" s="1">
        <f t="shared" si="54"/>
        <v>602.6307</v>
      </c>
      <c r="H3503" t="str">
        <f>VLOOKUP(C3503,[1]products!$A:$B,2,0)</f>
        <v>Sun Bicycles Biscayne Tandem CB - 2017</v>
      </c>
      <c r="I3503">
        <f>VLOOKUP(H3503,[1]products!$B:$D,3,0)</f>
        <v>3</v>
      </c>
      <c r="J3503" t="str">
        <f>VLOOKUP(I3503,[2]categories!$A$2:$B$8,2,0)</f>
        <v>Cruisers Bicycles</v>
      </c>
    </row>
    <row r="3504" spans="1:10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 s="1">
        <f t="shared" si="54"/>
        <v>881.982</v>
      </c>
      <c r="H3504" t="str">
        <f>VLOOKUP(C3504,[1]products!$A:$B,2,0)</f>
        <v>Electra Townie Original 7D - 2017</v>
      </c>
      <c r="I3504">
        <f>VLOOKUP(H3504,[1]products!$B:$D,3,0)</f>
        <v>3</v>
      </c>
      <c r="J3504" t="str">
        <f>VLOOKUP(I3504,[2]categories!$A$2:$B$8,2,0)</f>
        <v>Cruisers Bicycles</v>
      </c>
    </row>
    <row r="3505" spans="1:10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 s="1">
        <f t="shared" si="54"/>
        <v>503.4905</v>
      </c>
      <c r="H3505" t="str">
        <f>VLOOKUP(C3505,[1]products!$A:$B,2,0)</f>
        <v>Electra Moto 1 - 2016</v>
      </c>
      <c r="I3505">
        <f>VLOOKUP(H3505,[1]products!$B:$D,3,0)</f>
        <v>3</v>
      </c>
      <c r="J3505" t="str">
        <f>VLOOKUP(I3505,[2]categories!$A$2:$B$8,2,0)</f>
        <v>Cruisers Bicycles</v>
      </c>
    </row>
    <row r="3506" spans="1:10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 s="1">
        <f t="shared" si="54"/>
        <v>5699.981</v>
      </c>
      <c r="H3506" t="str">
        <f>VLOOKUP(C3506,[1]products!$A:$B,2,0)</f>
        <v>Trek Conduit+ - 2016</v>
      </c>
      <c r="I3506">
        <f>VLOOKUP(H3506,[1]products!$B:$D,3,0)</f>
        <v>5</v>
      </c>
      <c r="J3506" t="str">
        <f>VLOOKUP(I3506,[2]categories!$A$2:$B$8,2,0)</f>
        <v>Electric Bikes</v>
      </c>
    </row>
    <row r="3507" spans="1:10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 s="1">
        <f t="shared" si="54"/>
        <v>3199.992</v>
      </c>
      <c r="H3507" t="str">
        <f>VLOOKUP(C3507,[1]products!$A:$B,2,0)</f>
        <v>Trek Slash 8 27.5 - 2016</v>
      </c>
      <c r="I3507">
        <f>VLOOKUP(H3507,[1]products!$B:$D,3,0)</f>
        <v>6</v>
      </c>
      <c r="J3507" t="str">
        <f>VLOOKUP(I3507,[2]categories!$A$2:$B$8,2,0)</f>
        <v>Mountain Bikes</v>
      </c>
    </row>
    <row r="3508" spans="1:10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 s="1">
        <f t="shared" si="54"/>
        <v>256.4905</v>
      </c>
      <c r="H3508" t="str">
        <f>VLOOKUP(C3508,[1]products!$A:$B,2,0)</f>
        <v>Electra Girl's Hawaii 1 (16-inch) - 2015/2016</v>
      </c>
      <c r="I3508">
        <f>VLOOKUP(H3508,[1]products!$B:$D,3,0)</f>
        <v>3</v>
      </c>
      <c r="J3508" t="str">
        <f>VLOOKUP(I3508,[2]categories!$A$2:$B$8,2,0)</f>
        <v>Cruisers Bicycles</v>
      </c>
    </row>
    <row r="3509" spans="1:10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 s="1">
        <f t="shared" si="54"/>
        <v>1439.982</v>
      </c>
      <c r="H3509" t="str">
        <f>VLOOKUP(C3509,[1]products!$A:$B,2,0)</f>
        <v>Electra Glam Punk 3i Ladies' - 2017</v>
      </c>
      <c r="I3509">
        <f>VLOOKUP(H3509,[1]products!$B:$D,3,0)</f>
        <v>3</v>
      </c>
      <c r="J3509" t="str">
        <f>VLOOKUP(I3509,[2]categories!$A$2:$B$8,2,0)</f>
        <v>Cruisers Bicycles</v>
      </c>
    </row>
    <row r="3510" spans="1:10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 s="1">
        <f t="shared" si="54"/>
        <v>401.584</v>
      </c>
      <c r="H3510" t="str">
        <f>VLOOKUP(C3510,[1]products!$A:$B,2,0)</f>
        <v>Sun Bicycles Revolutions 24 - Girl's - 2017</v>
      </c>
      <c r="I3510">
        <f>VLOOKUP(H3510,[1]products!$B:$D,3,0)</f>
        <v>3</v>
      </c>
      <c r="J3510" t="str">
        <f>VLOOKUP(I3510,[2]categories!$A$2:$B$8,2,0)</f>
        <v>Cruisers Bicycles</v>
      </c>
    </row>
    <row r="3511" spans="1:10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 s="1">
        <f t="shared" si="54"/>
        <v>1349.982</v>
      </c>
      <c r="H3511" t="str">
        <f>VLOOKUP(C3511,[1]products!$A:$B,2,0)</f>
        <v>Sun Bicycles Brickell Tandem 7 - 2017</v>
      </c>
      <c r="I3511">
        <f>VLOOKUP(H3511,[1]products!$B:$D,3,0)</f>
        <v>3</v>
      </c>
      <c r="J3511" t="str">
        <f>VLOOKUP(I3511,[2]categories!$A$2:$B$8,2,0)</f>
        <v>Cruisers Bicycles</v>
      </c>
    </row>
    <row r="3512" spans="1:10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0.07</v>
      </c>
      <c r="G3512" s="1">
        <f t="shared" si="54"/>
        <v>2881.14</v>
      </c>
      <c r="H3512" t="str">
        <f>VLOOKUP(C3512,[1]products!$A:$B,2,0)</f>
        <v>Surly Straggler - 2016</v>
      </c>
      <c r="I3512">
        <f>VLOOKUP(H3512,[1]products!$B:$D,3,0)</f>
        <v>4</v>
      </c>
      <c r="J3512" t="str">
        <f>VLOOKUP(I3512,[2]categories!$A$2:$B$8,2,0)</f>
        <v>Cyclocross Bicycles</v>
      </c>
    </row>
    <row r="3513" spans="1:10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 s="1">
        <f t="shared" si="54"/>
        <v>881.982</v>
      </c>
      <c r="H3513" t="str">
        <f>VLOOKUP(C3513,[1]products!$A:$B,2,0)</f>
        <v>Electra Townie Original 7D - 2017</v>
      </c>
      <c r="I3513">
        <f>VLOOKUP(H3513,[1]products!$B:$D,3,0)</f>
        <v>3</v>
      </c>
      <c r="J3513" t="str">
        <f>VLOOKUP(I3513,[2]categories!$A$2:$B$8,2,0)</f>
        <v>Cruisers Bicycles</v>
      </c>
    </row>
    <row r="3514" spans="1:10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 s="1">
        <f t="shared" si="54"/>
        <v>3039.9905</v>
      </c>
      <c r="H3514" t="str">
        <f>VLOOKUP(C3514,[1]products!$A:$B,2,0)</f>
        <v>Trek Domane SL Disc Frameset - 2017</v>
      </c>
      <c r="I3514">
        <f>VLOOKUP(H3514,[1]products!$B:$D,3,0)</f>
        <v>7</v>
      </c>
      <c r="J3514" t="str">
        <f>VLOOKUP(I3514,[2]categories!$A$2:$B$8,2,0)</f>
        <v>Road Bikes</v>
      </c>
    </row>
    <row r="3515" spans="1:10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 s="1">
        <f t="shared" si="54"/>
        <v>359.2</v>
      </c>
      <c r="H3515" t="str">
        <f>VLOOKUP(C3515,[1]products!$A:$B,2,0)</f>
        <v>Pure Cycles William 3-Speed - 2016</v>
      </c>
      <c r="I3515">
        <f>VLOOKUP(H3515,[1]products!$B:$D,3,0)</f>
        <v>3</v>
      </c>
      <c r="J3515" t="str">
        <f>VLOOKUP(I3515,[2]categories!$A$2:$B$8,2,0)</f>
        <v>Cruisers Bicycles</v>
      </c>
    </row>
    <row r="3516" spans="1:10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0.07</v>
      </c>
      <c r="G3516" s="1">
        <f t="shared" si="54"/>
        <v>876.0414</v>
      </c>
      <c r="H3516" t="str">
        <f>VLOOKUP(C3516,[1]products!$A:$B,2,0)</f>
        <v>Sun Bicycles Drifter 7 - 2017</v>
      </c>
      <c r="I3516">
        <f>VLOOKUP(H3516,[1]products!$B:$D,3,0)</f>
        <v>2</v>
      </c>
      <c r="J3516" t="str">
        <f>VLOOKUP(I3516,[2]categories!$A$2:$B$8,2,0)</f>
        <v>Comfort Bicycles</v>
      </c>
    </row>
    <row r="3517" spans="1:10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 s="1">
        <f t="shared" si="54"/>
        <v>4769.991</v>
      </c>
      <c r="H3517" t="str">
        <f>VLOOKUP(C3517,[1]products!$A:$B,2,0)</f>
        <v>Trek Fuel EX 9.8 27.5 Plus - 2017</v>
      </c>
      <c r="I3517">
        <f>VLOOKUP(H3517,[1]products!$B:$D,3,0)</f>
        <v>6</v>
      </c>
      <c r="J3517" t="str">
        <f>VLOOKUP(I3517,[2]categories!$A$2:$B$8,2,0)</f>
        <v>Mountain Bikes</v>
      </c>
    </row>
    <row r="3518" spans="1:10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 s="1">
        <f t="shared" si="54"/>
        <v>712.4905</v>
      </c>
      <c r="H3518" t="str">
        <f>VLOOKUP(C3518,[1]products!$A:$B,2,0)</f>
        <v>Sun Bicycles Brickell Tandem 7 - 2017</v>
      </c>
      <c r="I3518">
        <f>VLOOKUP(H3518,[1]products!$B:$D,3,0)</f>
        <v>3</v>
      </c>
      <c r="J3518" t="str">
        <f>VLOOKUP(I3518,[2]categories!$A$2:$B$8,2,0)</f>
        <v>Cruisers Bicycles</v>
      </c>
    </row>
    <row r="3519" spans="1:10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 s="1">
        <f t="shared" si="54"/>
        <v>854.981</v>
      </c>
      <c r="H3519" t="str">
        <f>VLOOKUP(C3519,[1]products!$A:$B,2,0)</f>
        <v>Sun Bicycles Cruz 3 - 2017</v>
      </c>
      <c r="I3519">
        <f>VLOOKUP(H3519,[1]products!$B:$D,3,0)</f>
        <v>3</v>
      </c>
      <c r="J3519" t="str">
        <f>VLOOKUP(I3519,[2]categories!$A$2:$B$8,2,0)</f>
        <v>Cruisers Bicycles</v>
      </c>
    </row>
    <row r="3520" spans="1:10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0.07</v>
      </c>
      <c r="G3520" s="1">
        <f t="shared" si="54"/>
        <v>437.0907</v>
      </c>
      <c r="H3520" t="str">
        <f>VLOOKUP(C3520,[1]products!$A:$B,2,0)</f>
        <v>Trek Farley Alloy Frameset - 2017</v>
      </c>
      <c r="I3520">
        <f>VLOOKUP(H3520,[1]products!$B:$D,3,0)</f>
        <v>6</v>
      </c>
      <c r="J3520" t="str">
        <f>VLOOKUP(I3520,[2]categories!$A$2:$B$8,2,0)</f>
        <v>Mountain Bikes</v>
      </c>
    </row>
    <row r="3521" spans="1:10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 s="1">
        <f t="shared" si="54"/>
        <v>930.981</v>
      </c>
      <c r="H3521" t="str">
        <f>VLOOKUP(C3521,[1]products!$A:$B,2,0)</f>
        <v>Electra Townie Original 7D - 2017</v>
      </c>
      <c r="I3521">
        <f>VLOOKUP(H3521,[1]products!$B:$D,3,0)</f>
        <v>3</v>
      </c>
      <c r="J3521" t="str">
        <f>VLOOKUP(I3521,[2]categories!$A$2:$B$8,2,0)</f>
        <v>Cruisers Bicycles</v>
      </c>
    </row>
    <row r="3522" spans="1:10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0.07</v>
      </c>
      <c r="G3522" s="1">
        <f t="shared" ref="G3522:G3585" si="55">D3522*E3522*(1-F3522)</f>
        <v>797.94</v>
      </c>
      <c r="H3522" t="str">
        <f>VLOOKUP(C3522,[1]products!$A:$B,2,0)</f>
        <v>Pure Cycles Vine 8-Speed - 2016</v>
      </c>
      <c r="I3522">
        <f>VLOOKUP(H3522,[1]products!$B:$D,3,0)</f>
        <v>3</v>
      </c>
      <c r="J3522" t="str">
        <f>VLOOKUP(I3522,[2]categories!$A$2:$B$8,2,0)</f>
        <v>Cruisers Bicycles</v>
      </c>
    </row>
    <row r="3523" spans="1:10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 s="1">
        <f t="shared" si="55"/>
        <v>6299.982</v>
      </c>
      <c r="H3523" t="str">
        <f>VLOOKUP(C3523,[1]products!$A:$B,2,0)</f>
        <v>Trek Boone 7 - 2017</v>
      </c>
      <c r="I3523">
        <f>VLOOKUP(H3523,[1]products!$B:$D,3,0)</f>
        <v>4</v>
      </c>
      <c r="J3523" t="str">
        <f>VLOOKUP(I3523,[2]categories!$A$2:$B$8,2,0)</f>
        <v>Cyclocross Bicycles</v>
      </c>
    </row>
    <row r="3524" spans="1:10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 s="1">
        <f t="shared" si="55"/>
        <v>7999.984</v>
      </c>
      <c r="H3524" t="str">
        <f>VLOOKUP(C3524,[1]products!$A:$B,2,0)</f>
        <v>Trek Fuel EX 9.8 29 - 2017</v>
      </c>
      <c r="I3524">
        <f>VLOOKUP(H3524,[1]products!$B:$D,3,0)</f>
        <v>6</v>
      </c>
      <c r="J3524" t="str">
        <f>VLOOKUP(I3524,[2]categories!$A$2:$B$8,2,0)</f>
        <v>Mountain Bikes</v>
      </c>
    </row>
    <row r="3525" spans="1:10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 s="1">
        <f t="shared" si="55"/>
        <v>9539.982</v>
      </c>
      <c r="H3525" t="str">
        <f>VLOOKUP(C3525,[1]products!$A:$B,2,0)</f>
        <v>Trek Remedy 9.8 - 2017</v>
      </c>
      <c r="I3525">
        <f>VLOOKUP(H3525,[1]products!$B:$D,3,0)</f>
        <v>6</v>
      </c>
      <c r="J3525" t="str">
        <f>VLOOKUP(I3525,[2]categories!$A$2:$B$8,2,0)</f>
        <v>Mountain Bikes</v>
      </c>
    </row>
    <row r="3526" spans="1:10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 s="1">
        <f t="shared" si="55"/>
        <v>2799.992</v>
      </c>
      <c r="H3526" t="str">
        <f>VLOOKUP(C3526,[1]products!$A:$B,2,0)</f>
        <v>Trek Domane SL 6 - 2017</v>
      </c>
      <c r="I3526">
        <f>VLOOKUP(H3526,[1]products!$B:$D,3,0)</f>
        <v>7</v>
      </c>
      <c r="J3526" t="str">
        <f>VLOOKUP(I3526,[2]categories!$A$2:$B$8,2,0)</f>
        <v>Road Bikes</v>
      </c>
    </row>
    <row r="3527" spans="1:10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 s="1">
        <f t="shared" si="55"/>
        <v>527.984</v>
      </c>
      <c r="H3527" t="str">
        <f>VLOOKUP(C3527,[1]products!$A:$B,2,0)</f>
        <v>Haro Downtown 16 - 2017</v>
      </c>
      <c r="I3527">
        <f>VLOOKUP(H3527,[1]products!$B:$D,3,0)</f>
        <v>1</v>
      </c>
      <c r="J3527" t="str">
        <f>VLOOKUP(I3527,[2]categories!$A$2:$B$8,2,0)</f>
        <v>Children Bicycles</v>
      </c>
    </row>
    <row r="3528" spans="1:10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 s="1">
        <f t="shared" si="55"/>
        <v>465.4905</v>
      </c>
      <c r="H3528" t="str">
        <f>VLOOKUP(C3528,[1]products!$A:$B,2,0)</f>
        <v>Electra Townie 3i EQ (20-inch) - Boys' - 2017</v>
      </c>
      <c r="I3528">
        <f>VLOOKUP(H3528,[1]products!$B:$D,3,0)</f>
        <v>1</v>
      </c>
      <c r="J3528" t="str">
        <f>VLOOKUP(I3528,[2]categories!$A$2:$B$8,2,0)</f>
        <v>Children Bicycles</v>
      </c>
    </row>
    <row r="3529" spans="1:10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 s="1">
        <f t="shared" si="55"/>
        <v>2089.981</v>
      </c>
      <c r="H3529" t="str">
        <f>VLOOKUP(C3529,[1]products!$A:$B,2,0)</f>
        <v>Electra Amsterdam Fashion 7i Ladies' - 2017</v>
      </c>
      <c r="I3529">
        <f>VLOOKUP(H3529,[1]products!$B:$D,3,0)</f>
        <v>3</v>
      </c>
      <c r="J3529" t="str">
        <f>VLOOKUP(I3529,[2]categories!$A$2:$B$8,2,0)</f>
        <v>Cruisers Bicycles</v>
      </c>
    </row>
    <row r="3530" spans="1:10">
      <c r="A3530">
        <v>1221</v>
      </c>
      <c r="B3530">
        <v>3</v>
      </c>
      <c r="C3530">
        <v>42</v>
      </c>
      <c r="D3530">
        <v>2</v>
      </c>
      <c r="E3530">
        <v>2299.99</v>
      </c>
      <c r="F3530">
        <v>0.1</v>
      </c>
      <c r="G3530" s="1">
        <f t="shared" si="55"/>
        <v>4139.982</v>
      </c>
      <c r="H3530" t="str">
        <f>VLOOKUP(C3530,[1]products!$A:$B,2,0)</f>
        <v>Trek Fuel EX 5 27.5 Plus - 2017</v>
      </c>
      <c r="I3530">
        <f>VLOOKUP(H3530,[1]products!$B:$D,3,0)</f>
        <v>6</v>
      </c>
      <c r="J3530" t="str">
        <f>VLOOKUP(I3530,[2]categories!$A$2:$B$8,2,0)</f>
        <v>Mountain Bikes</v>
      </c>
    </row>
    <row r="3531" spans="1:10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 s="1">
        <f t="shared" si="55"/>
        <v>989.982</v>
      </c>
      <c r="H3531" t="str">
        <f>VLOOKUP(C3531,[1]products!$A:$B,2,0)</f>
        <v>Haro Flightline Two 26 Plus - 2017</v>
      </c>
      <c r="I3531">
        <f>VLOOKUP(H3531,[1]products!$B:$D,3,0)</f>
        <v>6</v>
      </c>
      <c r="J3531" t="str">
        <f>VLOOKUP(I3531,[2]categories!$A$2:$B$8,2,0)</f>
        <v>Mountain Bikes</v>
      </c>
    </row>
    <row r="3532" spans="1:10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0.07</v>
      </c>
      <c r="G3532" s="1">
        <f t="shared" si="55"/>
        <v>650.9814</v>
      </c>
      <c r="H3532" t="str">
        <f>VLOOKUP(C3532,[1]products!$A:$B,2,0)</f>
        <v>Electra Savannah 3i (20-inch) - Girl's - 2017</v>
      </c>
      <c r="I3532">
        <f>VLOOKUP(H3532,[1]products!$B:$D,3,0)</f>
        <v>1</v>
      </c>
      <c r="J3532" t="str">
        <f>VLOOKUP(I3532,[2]categories!$A$2:$B$8,2,0)</f>
        <v>Children Bicycles</v>
      </c>
    </row>
    <row r="3533" spans="1:10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 s="1">
        <f t="shared" si="55"/>
        <v>279.992</v>
      </c>
      <c r="H3533" t="str">
        <f>VLOOKUP(C3533,[1]products!$A:$B,2,0)</f>
        <v>Electra Savannah 3i (20-inch) - Girl's - 2017</v>
      </c>
      <c r="I3533">
        <f>VLOOKUP(H3533,[1]products!$B:$D,3,0)</f>
        <v>1</v>
      </c>
      <c r="J3533" t="str">
        <f>VLOOKUP(I3533,[2]categories!$A$2:$B$8,2,0)</f>
        <v>Children Bicycles</v>
      </c>
    </row>
    <row r="3534" spans="1:10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 s="1">
        <f t="shared" si="55"/>
        <v>524.3905</v>
      </c>
      <c r="H3534" t="str">
        <f>VLOOKUP(C3534,[1]products!$A:$B,2,0)</f>
        <v>Sun Bicycles Streamway 3 - 2017</v>
      </c>
      <c r="I3534">
        <f>VLOOKUP(H3534,[1]products!$B:$D,3,0)</f>
        <v>2</v>
      </c>
      <c r="J3534" t="str">
        <f>VLOOKUP(I3534,[2]categories!$A$2:$B$8,2,0)</f>
        <v>Comfort Bicycles</v>
      </c>
    </row>
    <row r="3535" spans="1:10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0.07</v>
      </c>
      <c r="G3535" s="1">
        <f t="shared" si="55"/>
        <v>3254.9907</v>
      </c>
      <c r="H3535" t="str">
        <f>VLOOKUP(C3535,[1]products!$A:$B,2,0)</f>
        <v>Trek Boone 7 - 2017</v>
      </c>
      <c r="I3535">
        <f>VLOOKUP(H3535,[1]products!$B:$D,3,0)</f>
        <v>4</v>
      </c>
      <c r="J3535" t="str">
        <f>VLOOKUP(I3535,[2]categories!$A$2:$B$8,2,0)</f>
        <v>Cyclocross Bicycles</v>
      </c>
    </row>
    <row r="3536" spans="1:10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 s="1">
        <f t="shared" si="55"/>
        <v>5849.991</v>
      </c>
      <c r="H3536" t="str">
        <f>VLOOKUP(C3536,[1]products!$A:$B,2,0)</f>
        <v>Trek Silque SLR 8 Women's - 2017</v>
      </c>
      <c r="I3536">
        <f>VLOOKUP(H3536,[1]products!$B:$D,3,0)</f>
        <v>7</v>
      </c>
      <c r="J3536" t="str">
        <f>VLOOKUP(I3536,[2]categories!$A$2:$B$8,2,0)</f>
        <v>Road Bikes</v>
      </c>
    </row>
    <row r="3537" spans="1:10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 s="1">
        <f t="shared" si="55"/>
        <v>427.4905</v>
      </c>
      <c r="H3537" t="str">
        <f>VLOOKUP(C3537,[1]products!$A:$B,2,0)</f>
        <v>Sun Bicycles Cruz 3 - Women's - 2017</v>
      </c>
      <c r="I3537">
        <f>VLOOKUP(H3537,[1]products!$B:$D,3,0)</f>
        <v>2</v>
      </c>
      <c r="J3537" t="str">
        <f>VLOOKUP(I3537,[2]categories!$A$2:$B$8,2,0)</f>
        <v>Comfort Bicycles</v>
      </c>
    </row>
    <row r="3538" spans="1:10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 s="1">
        <f t="shared" si="55"/>
        <v>375.992</v>
      </c>
      <c r="H3538" t="str">
        <f>VLOOKUP(C3538,[1]products!$A:$B,2,0)</f>
        <v>Trek Farley Alloy Frameset - 2017</v>
      </c>
      <c r="I3538">
        <f>VLOOKUP(H3538,[1]products!$B:$D,3,0)</f>
        <v>6</v>
      </c>
      <c r="J3538" t="str">
        <f>VLOOKUP(I3538,[2]categories!$A$2:$B$8,2,0)</f>
        <v>Mountain Bikes</v>
      </c>
    </row>
    <row r="3539" spans="1:10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 s="1">
        <f t="shared" si="55"/>
        <v>989.991</v>
      </c>
      <c r="H3539" t="str">
        <f>VLOOKUP(C3539,[1]products!$A:$B,2,0)</f>
        <v>Electra Amsterdam Fashion 7i Ladies' - 2017</v>
      </c>
      <c r="I3539">
        <f>VLOOKUP(H3539,[1]products!$B:$D,3,0)</f>
        <v>3</v>
      </c>
      <c r="J3539" t="str">
        <f>VLOOKUP(I3539,[2]categories!$A$2:$B$8,2,0)</f>
        <v>Cruisers Bicycles</v>
      </c>
    </row>
    <row r="3540" spans="1:10">
      <c r="A3540">
        <v>1225</v>
      </c>
      <c r="B3540">
        <v>2</v>
      </c>
      <c r="C3540">
        <v>59</v>
      </c>
      <c r="D3540">
        <v>2</v>
      </c>
      <c r="E3540">
        <v>2599.99</v>
      </c>
      <c r="F3540">
        <v>0.1</v>
      </c>
      <c r="G3540" s="1">
        <f t="shared" si="55"/>
        <v>4679.982</v>
      </c>
      <c r="H3540" t="str">
        <f>VLOOKUP(C3540,[1]products!$A:$B,2,0)</f>
        <v>Trek Domane S 5 Disc - 2017</v>
      </c>
      <c r="I3540">
        <f>VLOOKUP(H3540,[1]products!$B:$D,3,0)</f>
        <v>7</v>
      </c>
      <c r="J3540" t="str">
        <f>VLOOKUP(I3540,[2]categories!$A$2:$B$8,2,0)</f>
        <v>Road Bikes</v>
      </c>
    </row>
    <row r="3541" spans="1:10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 s="1">
        <f t="shared" si="55"/>
        <v>845.982</v>
      </c>
      <c r="H3541" t="str">
        <f>VLOOKUP(C3541,[1]products!$A:$B,2,0)</f>
        <v>Surly Ice Cream Truck Frameset - 2016</v>
      </c>
      <c r="I3541">
        <f>VLOOKUP(H3541,[1]products!$B:$D,3,0)</f>
        <v>6</v>
      </c>
      <c r="J3541" t="str">
        <f>VLOOKUP(I3541,[2]categories!$A$2:$B$8,2,0)</f>
        <v>Mountain Bikes</v>
      </c>
    </row>
    <row r="3542" spans="1:10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 s="1">
        <f t="shared" si="55"/>
        <v>1519.981</v>
      </c>
      <c r="H3542" t="str">
        <f>VLOOKUP(C3542,[1]products!$A:$B,2,0)</f>
        <v>Electra Glam Punk 3i Ladies' - 2017</v>
      </c>
      <c r="I3542">
        <f>VLOOKUP(H3542,[1]products!$B:$D,3,0)</f>
        <v>3</v>
      </c>
      <c r="J3542" t="str">
        <f>VLOOKUP(I3542,[2]categories!$A$2:$B$8,2,0)</f>
        <v>Cruisers Bicycles</v>
      </c>
    </row>
    <row r="3543" spans="1:10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 s="1">
        <f t="shared" si="55"/>
        <v>271.992</v>
      </c>
      <c r="H3543" t="str">
        <f>VLOOKUP(C3543,[1]products!$A:$B,2,0)</f>
        <v>Electra Townie 7D (20-inch) - Boys' - 2017</v>
      </c>
      <c r="I3543">
        <f>VLOOKUP(H3543,[1]products!$B:$D,3,0)</f>
        <v>1</v>
      </c>
      <c r="J3543" t="str">
        <f>VLOOKUP(I3543,[2]categories!$A$2:$B$8,2,0)</f>
        <v>Children Bicycles</v>
      </c>
    </row>
    <row r="3544" spans="1:10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0.07</v>
      </c>
      <c r="G3544" s="1">
        <f t="shared" si="55"/>
        <v>3126.6414</v>
      </c>
      <c r="H3544" t="str">
        <f>VLOOKUP(C3544,[1]products!$A:$B,2,0)</f>
        <v>Surly Straggler 650b - 2016</v>
      </c>
      <c r="I3544">
        <f>VLOOKUP(H3544,[1]products!$B:$D,3,0)</f>
        <v>4</v>
      </c>
      <c r="J3544" t="str">
        <f>VLOOKUP(I3544,[2]categories!$A$2:$B$8,2,0)</f>
        <v>Cyclocross Bicycles</v>
      </c>
    </row>
    <row r="3545" spans="1:10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0.07</v>
      </c>
      <c r="G3545" s="1">
        <f t="shared" si="55"/>
        <v>6044.9907</v>
      </c>
      <c r="H3545" t="str">
        <f>VLOOKUP(C3545,[1]products!$A:$B,2,0)</f>
        <v>Trek Silque SLR 8 Women's - 2017</v>
      </c>
      <c r="I3545">
        <f>VLOOKUP(H3545,[1]products!$B:$D,3,0)</f>
        <v>7</v>
      </c>
      <c r="J3545" t="str">
        <f>VLOOKUP(I3545,[2]categories!$A$2:$B$8,2,0)</f>
        <v>Road Bikes</v>
      </c>
    </row>
    <row r="3546" spans="1:10">
      <c r="A3546">
        <v>1226</v>
      </c>
      <c r="B3546">
        <v>5</v>
      </c>
      <c r="C3546">
        <v>42</v>
      </c>
      <c r="D3546">
        <v>1</v>
      </c>
      <c r="E3546">
        <v>2299.99</v>
      </c>
      <c r="F3546">
        <v>0.1</v>
      </c>
      <c r="G3546" s="1">
        <f t="shared" si="55"/>
        <v>2069.991</v>
      </c>
      <c r="H3546" t="str">
        <f>VLOOKUP(C3546,[1]products!$A:$B,2,0)</f>
        <v>Trek Fuel EX 5 27.5 Plus - 2017</v>
      </c>
      <c r="I3546">
        <f>VLOOKUP(H3546,[1]products!$B:$D,3,0)</f>
        <v>6</v>
      </c>
      <c r="J3546" t="str">
        <f>VLOOKUP(I3546,[2]categories!$A$2:$B$8,2,0)</f>
        <v>Mountain Bikes</v>
      </c>
    </row>
    <row r="3547" spans="1:10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 s="1">
        <f t="shared" si="55"/>
        <v>335.984</v>
      </c>
      <c r="H3547" t="str">
        <f>VLOOKUP(C3547,[1]products!$A:$B,2,0)</f>
        <v>Trek Precaliber 16 Girls - 2017</v>
      </c>
      <c r="I3547">
        <f>VLOOKUP(H3547,[1]products!$B:$D,3,0)</f>
        <v>1</v>
      </c>
      <c r="J3547" t="str">
        <f>VLOOKUP(I3547,[2]categories!$A$2:$B$8,2,0)</f>
        <v>Children Bicycles</v>
      </c>
    </row>
    <row r="3548" spans="1:10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0.07</v>
      </c>
      <c r="G3548" s="1">
        <f t="shared" si="55"/>
        <v>502.1907</v>
      </c>
      <c r="H3548" t="str">
        <f>VLOOKUP(C3548,[1]products!$A:$B,2,0)</f>
        <v>Haro SR 1.1 - 2017</v>
      </c>
      <c r="I3548">
        <f>VLOOKUP(H3548,[1]products!$B:$D,3,0)</f>
        <v>6</v>
      </c>
      <c r="J3548" t="str">
        <f>VLOOKUP(I3548,[2]categories!$A$2:$B$8,2,0)</f>
        <v>Mountain Bikes</v>
      </c>
    </row>
    <row r="3549" spans="1:10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 s="1">
        <f t="shared" si="55"/>
        <v>569.9905</v>
      </c>
      <c r="H3549" t="str">
        <f>VLOOKUP(C3549,[1]products!$A:$B,2,0)</f>
        <v>Electra Townie Original 7D EQ - 2016</v>
      </c>
      <c r="I3549">
        <f>VLOOKUP(H3549,[1]products!$B:$D,3,0)</f>
        <v>3</v>
      </c>
      <c r="J3549" t="str">
        <f>VLOOKUP(I3549,[2]categories!$A$2:$B$8,2,0)</f>
        <v>Cruisers Bicycles</v>
      </c>
    </row>
    <row r="3550" spans="1:10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0.07</v>
      </c>
      <c r="G3550" s="1">
        <f t="shared" si="55"/>
        <v>1673.9907</v>
      </c>
      <c r="H3550" t="str">
        <f>VLOOKUP(C3550,[1]products!$A:$B,2,0)</f>
        <v>Trek Remedy 29 Carbon Frameset - 2016</v>
      </c>
      <c r="I3550">
        <f>VLOOKUP(H3550,[1]products!$B:$D,3,0)</f>
        <v>6</v>
      </c>
      <c r="J3550" t="str">
        <f>VLOOKUP(I3550,[2]categories!$A$2:$B$8,2,0)</f>
        <v>Mountain Bikes</v>
      </c>
    </row>
    <row r="3551" spans="1:10">
      <c r="A3551">
        <v>1227</v>
      </c>
      <c r="B3551">
        <v>5</v>
      </c>
      <c r="C3551">
        <v>42</v>
      </c>
      <c r="D3551">
        <v>2</v>
      </c>
      <c r="E3551">
        <v>2299.99</v>
      </c>
      <c r="F3551">
        <v>0.2</v>
      </c>
      <c r="G3551" s="1">
        <f t="shared" si="55"/>
        <v>3679.984</v>
      </c>
      <c r="H3551" t="str">
        <f>VLOOKUP(C3551,[1]products!$A:$B,2,0)</f>
        <v>Trek Fuel EX 5 27.5 Plus - 2017</v>
      </c>
      <c r="I3551">
        <f>VLOOKUP(H3551,[1]products!$B:$D,3,0)</f>
        <v>6</v>
      </c>
      <c r="J3551" t="str">
        <f>VLOOKUP(I3551,[2]categories!$A$2:$B$8,2,0)</f>
        <v>Mountain Bikes</v>
      </c>
    </row>
    <row r="3552" spans="1:10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 s="1">
        <f t="shared" si="55"/>
        <v>167.992</v>
      </c>
      <c r="H3552" t="str">
        <f>VLOOKUP(C3552,[1]products!$A:$B,2,0)</f>
        <v>Haro Shredder 20 - 2017</v>
      </c>
      <c r="I3552">
        <f>VLOOKUP(H3552,[1]products!$B:$D,3,0)</f>
        <v>1</v>
      </c>
      <c r="J3552" t="str">
        <f>VLOOKUP(I3552,[2]categories!$A$2:$B$8,2,0)</f>
        <v>Children Bicycles</v>
      </c>
    </row>
    <row r="3553" spans="1:10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 s="1">
        <f t="shared" si="55"/>
        <v>4319.984</v>
      </c>
      <c r="H3553" t="str">
        <f>VLOOKUP(C3553,[1]products!$A:$B,2,0)</f>
        <v>Trek Domane S 6 - 2017</v>
      </c>
      <c r="I3553">
        <f>VLOOKUP(H3553,[1]products!$B:$D,3,0)</f>
        <v>7</v>
      </c>
      <c r="J3553" t="str">
        <f>VLOOKUP(I3553,[2]categories!$A$2:$B$8,2,0)</f>
        <v>Road Bikes</v>
      </c>
    </row>
    <row r="3554" spans="1:10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 s="1">
        <f t="shared" si="55"/>
        <v>1139.981</v>
      </c>
      <c r="H3554" t="str">
        <f>VLOOKUP(C3554,[1]products!$A:$B,2,0)</f>
        <v>Electra Townie Original 7D EQ - Women's - 2016</v>
      </c>
      <c r="I3554">
        <f>VLOOKUP(H3554,[1]products!$B:$D,3,0)</f>
        <v>3</v>
      </c>
      <c r="J3554" t="str">
        <f>VLOOKUP(I3554,[2]categories!$A$2:$B$8,2,0)</f>
        <v>Cruisers Bicycles</v>
      </c>
    </row>
    <row r="3555" spans="1:10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0.07</v>
      </c>
      <c r="G3555" s="1">
        <f t="shared" si="55"/>
        <v>1549.3614</v>
      </c>
      <c r="H3555" t="str">
        <f>VLOOKUP(C3555,[1]products!$A:$B,2,0)</f>
        <v>Surly Troll Frameset - 2017</v>
      </c>
      <c r="I3555">
        <f>VLOOKUP(H3555,[1]products!$B:$D,3,0)</f>
        <v>6</v>
      </c>
      <c r="J3555" t="str">
        <f>VLOOKUP(I3555,[2]categories!$A$2:$B$8,2,0)</f>
        <v>Mountain Bikes</v>
      </c>
    </row>
    <row r="3556" spans="1:10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 s="1">
        <f t="shared" si="55"/>
        <v>8999.982</v>
      </c>
      <c r="H3556" t="str">
        <f>VLOOKUP(C3556,[1]products!$A:$B,2,0)</f>
        <v>Trek Powerfly 8 FS Plus - 2017</v>
      </c>
      <c r="I3556">
        <f>VLOOKUP(H3556,[1]products!$B:$D,3,0)</f>
        <v>5</v>
      </c>
      <c r="J3556" t="str">
        <f>VLOOKUP(I3556,[2]categories!$A$2:$B$8,2,0)</f>
        <v>Electric Bikes</v>
      </c>
    </row>
    <row r="3557" spans="1:10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 s="1">
        <f t="shared" si="55"/>
        <v>845.982</v>
      </c>
      <c r="H3557" t="str">
        <f>VLOOKUP(C3557,[1]products!$A:$B,2,0)</f>
        <v>Trek Farley Alloy Frameset - 2017</v>
      </c>
      <c r="I3557">
        <f>VLOOKUP(H3557,[1]products!$B:$D,3,0)</f>
        <v>6</v>
      </c>
      <c r="J3557" t="str">
        <f>VLOOKUP(I3557,[2]categories!$A$2:$B$8,2,0)</f>
        <v>Mountain Bikes</v>
      </c>
    </row>
    <row r="3558" spans="1:10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0.07</v>
      </c>
      <c r="G3558" s="1">
        <f t="shared" si="55"/>
        <v>1022.9814</v>
      </c>
      <c r="H3558" t="str">
        <f>VLOOKUP(C3558,[1]products!$A:$B,2,0)</f>
        <v>Haro Flightline Two 26 Plus - 2017</v>
      </c>
      <c r="I3558">
        <f>VLOOKUP(H3558,[1]products!$B:$D,3,0)</f>
        <v>6</v>
      </c>
      <c r="J3558" t="str">
        <f>VLOOKUP(I3558,[2]categories!$A$2:$B$8,2,0)</f>
        <v>Mountain Bikes</v>
      </c>
    </row>
    <row r="3559" spans="1:10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 s="1">
        <f t="shared" si="55"/>
        <v>1139.981</v>
      </c>
      <c r="H3559" t="str">
        <f>VLOOKUP(C3559,[1]products!$A:$B,2,0)</f>
        <v>Electra Cruiser Lux Fat Tire 1 Ladies - 2017</v>
      </c>
      <c r="I3559">
        <f>VLOOKUP(H3559,[1]products!$B:$D,3,0)</f>
        <v>3</v>
      </c>
      <c r="J3559" t="str">
        <f>VLOOKUP(I3559,[2]categories!$A$2:$B$8,2,0)</f>
        <v>Cruisers Bicycles</v>
      </c>
    </row>
    <row r="3560" spans="1:10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0.07</v>
      </c>
      <c r="G3560" s="1">
        <f t="shared" si="55"/>
        <v>613.7907</v>
      </c>
      <c r="H3560" t="str">
        <f>VLOOKUP(C3560,[1]products!$A:$B,2,0)</f>
        <v>Electra Amsterdam Original 3i - 2015/2017</v>
      </c>
      <c r="I3560">
        <f>VLOOKUP(H3560,[1]products!$B:$D,3,0)</f>
        <v>3</v>
      </c>
      <c r="J3560" t="str">
        <f>VLOOKUP(I3560,[2]categories!$A$2:$B$8,2,0)</f>
        <v>Cruisers Bicycles</v>
      </c>
    </row>
    <row r="3561" spans="1:10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0.07</v>
      </c>
      <c r="G3561" s="1">
        <f t="shared" si="55"/>
        <v>5393.9814</v>
      </c>
      <c r="H3561" t="str">
        <f>VLOOKUP(C3561,[1]products!$A:$B,2,0)</f>
        <v>Trek Fuel EX 8 29 - 2016</v>
      </c>
      <c r="I3561">
        <f>VLOOKUP(H3561,[1]products!$B:$D,3,0)</f>
        <v>6</v>
      </c>
      <c r="J3561" t="str">
        <f>VLOOKUP(I3561,[2]categories!$A$2:$B$8,2,0)</f>
        <v>Mountain Bikes</v>
      </c>
    </row>
    <row r="3562" spans="1:10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 s="1">
        <f t="shared" si="55"/>
        <v>894.881</v>
      </c>
      <c r="H3562" t="str">
        <f>VLOOKUP(C3562,[1]products!$A:$B,2,0)</f>
        <v>Sun Bicycles Drifter 7 - 2017</v>
      </c>
      <c r="I3562">
        <f>VLOOKUP(H3562,[1]products!$B:$D,3,0)</f>
        <v>2</v>
      </c>
      <c r="J3562" t="str">
        <f>VLOOKUP(I3562,[2]categories!$A$2:$B$8,2,0)</f>
        <v>Comfort Bicycles</v>
      </c>
    </row>
    <row r="3563" spans="1:10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 s="1">
        <f t="shared" si="55"/>
        <v>751.984</v>
      </c>
      <c r="H3563" t="str">
        <f>VLOOKUP(C3563,[1]products!$A:$B,2,0)</f>
        <v>Surly Ice Cream Truck Frameset - 2016</v>
      </c>
      <c r="I3563">
        <f>VLOOKUP(H3563,[1]products!$B:$D,3,0)</f>
        <v>6</v>
      </c>
      <c r="J3563" t="str">
        <f>VLOOKUP(I3563,[2]categories!$A$2:$B$8,2,0)</f>
        <v>Mountain Bikes</v>
      </c>
    </row>
    <row r="3564" spans="1:10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 s="1">
        <f t="shared" si="55"/>
        <v>303.984</v>
      </c>
      <c r="H3564" t="str">
        <f>VLOOKUP(C3564,[1]products!$A:$B,2,0)</f>
        <v>Trek Precaliber 12 Boys - 2017</v>
      </c>
      <c r="I3564">
        <f>VLOOKUP(H3564,[1]products!$B:$D,3,0)</f>
        <v>1</v>
      </c>
      <c r="J3564" t="str">
        <f>VLOOKUP(I3564,[2]categories!$A$2:$B$8,2,0)</f>
        <v>Children Bicycles</v>
      </c>
    </row>
    <row r="3565" spans="1:10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 s="1">
        <f t="shared" si="55"/>
        <v>8999.982</v>
      </c>
      <c r="H3565" t="str">
        <f>VLOOKUP(C3565,[1]products!$A:$B,2,0)</f>
        <v>Trek Powerfly 8 FS Plus - 2017</v>
      </c>
      <c r="I3565">
        <f>VLOOKUP(H3565,[1]products!$B:$D,3,0)</f>
        <v>5</v>
      </c>
      <c r="J3565" t="str">
        <f>VLOOKUP(I3565,[2]categories!$A$2:$B$8,2,0)</f>
        <v>Electric Bikes</v>
      </c>
    </row>
    <row r="3566" spans="1:10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 s="1">
        <f t="shared" si="55"/>
        <v>2159.992</v>
      </c>
      <c r="H3566" t="str">
        <f>VLOOKUP(C3566,[1]products!$A:$B,2,0)</f>
        <v>Trek Domane S 6 - 2017</v>
      </c>
      <c r="I3566">
        <f>VLOOKUP(H3566,[1]products!$B:$D,3,0)</f>
        <v>7</v>
      </c>
      <c r="J3566" t="str">
        <f>VLOOKUP(I3566,[2]categories!$A$2:$B$8,2,0)</f>
        <v>Road Bikes</v>
      </c>
    </row>
    <row r="3567" spans="1:10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0.07</v>
      </c>
      <c r="G3567" s="1">
        <f t="shared" si="55"/>
        <v>10229.9814</v>
      </c>
      <c r="H3567" t="str">
        <f>VLOOKUP(C3567,[1]products!$A:$B,2,0)</f>
        <v>Trek Domane SLR 6 Disc - 2017</v>
      </c>
      <c r="I3567">
        <f>VLOOKUP(H3567,[1]products!$B:$D,3,0)</f>
        <v>7</v>
      </c>
      <c r="J3567" t="str">
        <f>VLOOKUP(I3567,[2]categories!$A$2:$B$8,2,0)</f>
        <v>Road Bikes</v>
      </c>
    </row>
    <row r="3568" spans="1:10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0.07</v>
      </c>
      <c r="G3568" s="1">
        <f t="shared" si="55"/>
        <v>775.6014</v>
      </c>
      <c r="H3568" t="str">
        <f>VLOOKUP(C3568,[1]products!$A:$B,2,0)</f>
        <v>Sun Bicycles Atlas X-Type - 2017</v>
      </c>
      <c r="I3568">
        <f>VLOOKUP(H3568,[1]products!$B:$D,3,0)</f>
        <v>3</v>
      </c>
      <c r="J3568" t="str">
        <f>VLOOKUP(I3568,[2]categories!$A$2:$B$8,2,0)</f>
        <v>Cruisers Bicycles</v>
      </c>
    </row>
    <row r="3569" spans="1:10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 s="1">
        <f t="shared" si="55"/>
        <v>3599.991</v>
      </c>
      <c r="H3569" t="str">
        <f>VLOOKUP(C3569,[1]products!$A:$B,2,0)</f>
        <v>Trek Slash 8 27.5 - 2016</v>
      </c>
      <c r="I3569">
        <f>VLOOKUP(H3569,[1]products!$B:$D,3,0)</f>
        <v>6</v>
      </c>
      <c r="J3569" t="str">
        <f>VLOOKUP(I3569,[2]categories!$A$2:$B$8,2,0)</f>
        <v>Mountain Bikes</v>
      </c>
    </row>
    <row r="3570" spans="1:10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0.07</v>
      </c>
      <c r="G3570" s="1">
        <f t="shared" si="55"/>
        <v>1450.7907</v>
      </c>
      <c r="H3570" t="str">
        <f>VLOOKUP(C3570,[1]products!$A:$B,2,0)</f>
        <v>Sun Bicycles ElectroLite - 2017</v>
      </c>
      <c r="I3570">
        <f>VLOOKUP(H3570,[1]products!$B:$D,3,0)</f>
        <v>5</v>
      </c>
      <c r="J3570" t="str">
        <f>VLOOKUP(I3570,[2]categories!$A$2:$B$8,2,0)</f>
        <v>Electric Bikes</v>
      </c>
    </row>
    <row r="3571" spans="1:10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 s="1">
        <f t="shared" si="55"/>
        <v>892.981</v>
      </c>
      <c r="H3571" t="str">
        <f>VLOOKUP(C3571,[1]products!$A:$B,2,0)</f>
        <v>Trek Farley Alloy Frameset - 2017</v>
      </c>
      <c r="I3571">
        <f>VLOOKUP(H3571,[1]products!$B:$D,3,0)</f>
        <v>6</v>
      </c>
      <c r="J3571" t="str">
        <f>VLOOKUP(I3571,[2]categories!$A$2:$B$8,2,0)</f>
        <v>Mountain Bikes</v>
      </c>
    </row>
    <row r="3572" spans="1:10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 s="1">
        <f t="shared" si="55"/>
        <v>314.991</v>
      </c>
      <c r="H3572" t="str">
        <f>VLOOKUP(C3572,[1]products!$A:$B,2,0)</f>
        <v>Trek Precaliber 24 (21-Speed) - Girls - 2017</v>
      </c>
      <c r="I3572">
        <f>VLOOKUP(H3572,[1]products!$B:$D,3,0)</f>
        <v>1</v>
      </c>
      <c r="J3572" t="str">
        <f>VLOOKUP(I3572,[2]categories!$A$2:$B$8,2,0)</f>
        <v>Children Bicycles</v>
      </c>
    </row>
    <row r="3573" spans="1:10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 s="1">
        <f t="shared" si="55"/>
        <v>269.991</v>
      </c>
      <c r="H3573" t="str">
        <f>VLOOKUP(C3573,[1]products!$A:$B,2,0)</f>
        <v>Electra Girl's Hawaii 1 (20-inch) - 2015/2016</v>
      </c>
      <c r="I3573">
        <f>VLOOKUP(H3573,[1]products!$B:$D,3,0)</f>
        <v>1</v>
      </c>
      <c r="J3573" t="str">
        <f>VLOOKUP(I3573,[2]categories!$A$2:$B$8,2,0)</f>
        <v>Children Bicycles</v>
      </c>
    </row>
    <row r="3574" spans="1:10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 s="1">
        <f t="shared" si="55"/>
        <v>341.982</v>
      </c>
      <c r="H3574" t="str">
        <f>VLOOKUP(C3574,[1]products!$A:$B,2,0)</f>
        <v>Trek Precaliber 12 Boys - 2017</v>
      </c>
      <c r="I3574">
        <f>VLOOKUP(H3574,[1]products!$B:$D,3,0)</f>
        <v>1</v>
      </c>
      <c r="J3574" t="str">
        <f>VLOOKUP(I3574,[2]categories!$A$2:$B$8,2,0)</f>
        <v>Children Bicycles</v>
      </c>
    </row>
    <row r="3575" spans="1:10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 s="1">
        <f t="shared" si="55"/>
        <v>479.984</v>
      </c>
      <c r="H3575" t="str">
        <f>VLOOKUP(C3575,[1]products!$A:$B,2,0)</f>
        <v>Electra Girl's Hawaii 1 16" - 2017</v>
      </c>
      <c r="I3575">
        <f>VLOOKUP(H3575,[1]products!$B:$D,3,0)</f>
        <v>3</v>
      </c>
      <c r="J3575" t="str">
        <f>VLOOKUP(I3575,[2]categories!$A$2:$B$8,2,0)</f>
        <v>Cruisers Bicycles</v>
      </c>
    </row>
    <row r="3576" spans="1:10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0.07</v>
      </c>
      <c r="G3576" s="1">
        <f t="shared" si="55"/>
        <v>5021.9814</v>
      </c>
      <c r="H3576" t="str">
        <f>VLOOKUP(C3576,[1]products!$A:$B,2,0)</f>
        <v>Trek Domane S 6 - 2017</v>
      </c>
      <c r="I3576">
        <f>VLOOKUP(H3576,[1]products!$B:$D,3,0)</f>
        <v>7</v>
      </c>
      <c r="J3576" t="str">
        <f>VLOOKUP(I3576,[2]categories!$A$2:$B$8,2,0)</f>
        <v>Road Bikes</v>
      </c>
    </row>
    <row r="3577" spans="1:10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0.07</v>
      </c>
      <c r="G3577" s="1">
        <f t="shared" si="55"/>
        <v>464.9907</v>
      </c>
      <c r="H3577" t="str">
        <f>VLOOKUP(C3577,[1]products!$A:$B,2,0)</f>
        <v>Electra Townie Original 7D - 2015/2016</v>
      </c>
      <c r="I3577">
        <f>VLOOKUP(H3577,[1]products!$B:$D,3,0)</f>
        <v>2</v>
      </c>
      <c r="J3577" t="str">
        <f>VLOOKUP(I3577,[2]categories!$A$2:$B$8,2,0)</f>
        <v>Comfort Bicycles</v>
      </c>
    </row>
    <row r="3578" spans="1:10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 s="1">
        <f t="shared" si="55"/>
        <v>4499.991</v>
      </c>
      <c r="H3578" t="str">
        <f>VLOOKUP(C3578,[1]products!$A:$B,2,0)</f>
        <v>Trek Fuel EX 9.8 29 - 2017</v>
      </c>
      <c r="I3578">
        <f>VLOOKUP(H3578,[1]products!$B:$D,3,0)</f>
        <v>6</v>
      </c>
      <c r="J3578" t="str">
        <f>VLOOKUP(I3578,[2]categories!$A$2:$B$8,2,0)</f>
        <v>Mountain Bikes</v>
      </c>
    </row>
    <row r="3579" spans="1:10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 s="1">
        <f t="shared" si="55"/>
        <v>242.991</v>
      </c>
      <c r="H3579" t="str">
        <f>VLOOKUP(C3579,[1]products!$A:$B,2,0)</f>
        <v>Electra Girl's Hawaii 1 (16-inch) - 2015/2016</v>
      </c>
      <c r="I3579">
        <f>VLOOKUP(H3579,[1]products!$B:$D,3,0)</f>
        <v>3</v>
      </c>
      <c r="J3579" t="str">
        <f>VLOOKUP(I3579,[2]categories!$A$2:$B$8,2,0)</f>
        <v>Cruisers Bicycles</v>
      </c>
    </row>
    <row r="3580" spans="1:10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 s="1">
        <f t="shared" si="55"/>
        <v>479.984</v>
      </c>
      <c r="H3580" t="str">
        <f>VLOOKUP(C3580,[1]products!$A:$B,2,0)</f>
        <v>Electra Sugar Skulls 1 (20-inch) - Girl's - 2017</v>
      </c>
      <c r="I3580">
        <f>VLOOKUP(H3580,[1]products!$B:$D,3,0)</f>
        <v>1</v>
      </c>
      <c r="J3580" t="str">
        <f>VLOOKUP(I3580,[2]categories!$A$2:$B$8,2,0)</f>
        <v>Children Bicycles</v>
      </c>
    </row>
    <row r="3581" spans="1:10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 s="1">
        <f t="shared" si="55"/>
        <v>305.991</v>
      </c>
      <c r="H3581" t="str">
        <f>VLOOKUP(C3581,[1]products!$A:$B,2,0)</f>
        <v>Electra Townie 7D (20-inch) - Boys' - 2017</v>
      </c>
      <c r="I3581">
        <f>VLOOKUP(H3581,[1]products!$B:$D,3,0)</f>
        <v>1</v>
      </c>
      <c r="J3581" t="str">
        <f>VLOOKUP(I3581,[2]categories!$A$2:$B$8,2,0)</f>
        <v>Children Bicycles</v>
      </c>
    </row>
    <row r="3582" spans="1:10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 s="1">
        <f t="shared" si="55"/>
        <v>847.984</v>
      </c>
      <c r="H3582" t="str">
        <f>VLOOKUP(C3582,[1]products!$A:$B,2,0)</f>
        <v>Electra Moto 1 - 2016</v>
      </c>
      <c r="I3582">
        <f>VLOOKUP(H3582,[1]products!$B:$D,3,0)</f>
        <v>3</v>
      </c>
      <c r="J3582" t="str">
        <f>VLOOKUP(I3582,[2]categories!$A$2:$B$8,2,0)</f>
        <v>Cruisers Bicycles</v>
      </c>
    </row>
    <row r="3583" spans="1:10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 s="1">
        <f t="shared" si="55"/>
        <v>314.991</v>
      </c>
      <c r="H3583" t="str">
        <f>VLOOKUP(C3583,[1]products!$A:$B,2,0)</f>
        <v>Trek Precaliber 24 (21-Speed) - Girls - 2017</v>
      </c>
      <c r="I3583">
        <f>VLOOKUP(H3583,[1]products!$B:$D,3,0)</f>
        <v>1</v>
      </c>
      <c r="J3583" t="str">
        <f>VLOOKUP(I3583,[2]categories!$A$2:$B$8,2,0)</f>
        <v>Children Bicycles</v>
      </c>
    </row>
    <row r="3584" spans="1:10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 s="1">
        <f t="shared" si="55"/>
        <v>845.982</v>
      </c>
      <c r="H3584" t="str">
        <f>VLOOKUP(C3584,[1]products!$A:$B,2,0)</f>
        <v>Trek Session DH 27.5 Carbon Frameset - 2017</v>
      </c>
      <c r="I3584">
        <f>VLOOKUP(H3584,[1]products!$B:$D,3,0)</f>
        <v>6</v>
      </c>
      <c r="J3584" t="str">
        <f>VLOOKUP(I3584,[2]categories!$A$2:$B$8,2,0)</f>
        <v>Mountain Bikes</v>
      </c>
    </row>
    <row r="3585" spans="1:10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 s="1">
        <f t="shared" si="55"/>
        <v>791.3405</v>
      </c>
      <c r="H3585" t="str">
        <f>VLOOKUP(C3585,[1]products!$A:$B,2,0)</f>
        <v>Surly Troll Frameset - 2017</v>
      </c>
      <c r="I3585">
        <f>VLOOKUP(H3585,[1]products!$B:$D,3,0)</f>
        <v>6</v>
      </c>
      <c r="J3585" t="str">
        <f>VLOOKUP(I3585,[2]categories!$A$2:$B$8,2,0)</f>
        <v>Mountain Bikes</v>
      </c>
    </row>
    <row r="3586" spans="1:10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 s="1">
        <f t="shared" ref="G3586:G3649" si="56">D3586*E3586*(1-F3586)</f>
        <v>750.582</v>
      </c>
      <c r="H3586" t="str">
        <f>VLOOKUP(C3586,[1]products!$A:$B,2,0)</f>
        <v>Sun Bicycles Cruz 7 - 2017</v>
      </c>
      <c r="I3586">
        <f>VLOOKUP(H3586,[1]products!$B:$D,3,0)</f>
        <v>3</v>
      </c>
      <c r="J3586" t="str">
        <f>VLOOKUP(I3586,[2]categories!$A$2:$B$8,2,0)</f>
        <v>Cruisers Bicycles</v>
      </c>
    </row>
    <row r="3587" spans="1:10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 s="1">
        <f t="shared" si="56"/>
        <v>569.981</v>
      </c>
      <c r="H3587" t="str">
        <f>VLOOKUP(C3587,[1]products!$A:$B,2,0)</f>
        <v>Electra Girl's Hawaii 1 (20-inch) - 2015/2016</v>
      </c>
      <c r="I3587">
        <f>VLOOKUP(H3587,[1]products!$B:$D,3,0)</f>
        <v>1</v>
      </c>
      <c r="J3587" t="str">
        <f>VLOOKUP(I3587,[2]categories!$A$2:$B$8,2,0)</f>
        <v>Children Bicycles</v>
      </c>
    </row>
    <row r="3588" spans="1:10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 s="1">
        <f t="shared" si="56"/>
        <v>847.984</v>
      </c>
      <c r="H3588" t="str">
        <f>VLOOKUP(C3588,[1]products!$A:$B,2,0)</f>
        <v>Electra Moto 1 - 2016</v>
      </c>
      <c r="I3588">
        <f>VLOOKUP(H3588,[1]products!$B:$D,3,0)</f>
        <v>3</v>
      </c>
      <c r="J3588" t="str">
        <f>VLOOKUP(I3588,[2]categories!$A$2:$B$8,2,0)</f>
        <v>Cruisers Bicycles</v>
      </c>
    </row>
    <row r="3589" spans="1:10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 s="1">
        <f t="shared" si="56"/>
        <v>1519.981</v>
      </c>
      <c r="H3589" t="str">
        <f>VLOOKUP(C3589,[1]products!$A:$B,2,0)</f>
        <v>Electra Glam Punk 3i Ladies' - 2017</v>
      </c>
      <c r="I3589">
        <f>VLOOKUP(H3589,[1]products!$B:$D,3,0)</f>
        <v>3</v>
      </c>
      <c r="J3589" t="str">
        <f>VLOOKUP(I3589,[2]categories!$A$2:$B$8,2,0)</f>
        <v>Cruisers Bicycles</v>
      </c>
    </row>
    <row r="3590" spans="1:10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 s="1">
        <f t="shared" si="56"/>
        <v>1899.9905</v>
      </c>
      <c r="H3590" t="str">
        <f>VLOOKUP(C3590,[1]products!$A:$B,2,0)</f>
        <v>Trek Emonda S 5 - 2017</v>
      </c>
      <c r="I3590">
        <f>VLOOKUP(H3590,[1]products!$B:$D,3,0)</f>
        <v>7</v>
      </c>
      <c r="J3590" t="str">
        <f>VLOOKUP(I3590,[2]categories!$A$2:$B$8,2,0)</f>
        <v>Road Bikes</v>
      </c>
    </row>
    <row r="3591" spans="1:10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 s="1">
        <f t="shared" si="56"/>
        <v>417.9905</v>
      </c>
      <c r="H3591" t="str">
        <f>VLOOKUP(C3591,[1]products!$A:$B,2,0)</f>
        <v>Electra Cruiser Lux 1 - 2017</v>
      </c>
      <c r="I3591">
        <f>VLOOKUP(H3591,[1]products!$B:$D,3,0)</f>
        <v>3</v>
      </c>
      <c r="J3591" t="str">
        <f>VLOOKUP(I3591,[2]categories!$A$2:$B$8,2,0)</f>
        <v>Cruisers Bicycles</v>
      </c>
    </row>
    <row r="3592" spans="1:10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 s="1">
        <f t="shared" si="56"/>
        <v>792.281</v>
      </c>
      <c r="H3592" t="str">
        <f>VLOOKUP(C3592,[1]products!$A:$B,2,0)</f>
        <v>Sun Bicycles Atlas X-Type - 2017</v>
      </c>
      <c r="I3592">
        <f>VLOOKUP(H3592,[1]products!$B:$D,3,0)</f>
        <v>3</v>
      </c>
      <c r="J3592" t="str">
        <f>VLOOKUP(I3592,[2]categories!$A$2:$B$8,2,0)</f>
        <v>Cruisers Bicycles</v>
      </c>
    </row>
    <row r="3593" spans="1:10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 s="1">
        <f t="shared" si="56"/>
        <v>237.4905</v>
      </c>
      <c r="H3593" t="str">
        <f>VLOOKUP(C3593,[1]products!$A:$B,2,0)</f>
        <v>Haro Shredder Pro 20 - 2017</v>
      </c>
      <c r="I3593">
        <f>VLOOKUP(H3593,[1]products!$B:$D,3,0)</f>
        <v>1</v>
      </c>
      <c r="J3593" t="str">
        <f>VLOOKUP(I3593,[2]categories!$A$2:$B$8,2,0)</f>
        <v>Children Bicycles</v>
      </c>
    </row>
    <row r="3594" spans="1:10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0.07</v>
      </c>
      <c r="G3594" s="1">
        <f t="shared" si="56"/>
        <v>929.9907</v>
      </c>
      <c r="H3594" t="str">
        <f>VLOOKUP(C3594,[1]products!$A:$B,2,0)</f>
        <v>Surly Big Dummy Frameset - 2017</v>
      </c>
      <c r="I3594">
        <f>VLOOKUP(H3594,[1]products!$B:$D,3,0)</f>
        <v>6</v>
      </c>
      <c r="J3594" t="str">
        <f>VLOOKUP(I3594,[2]categories!$A$2:$B$8,2,0)</f>
        <v>Mountain Bikes</v>
      </c>
    </row>
    <row r="3595" spans="1:10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0.07</v>
      </c>
      <c r="G3595" s="1">
        <f t="shared" si="56"/>
        <v>1440.57</v>
      </c>
      <c r="H3595" t="str">
        <f>VLOOKUP(C3595,[1]products!$A:$B,2,0)</f>
        <v>Surly Straggler - 2016</v>
      </c>
      <c r="I3595">
        <f>VLOOKUP(H3595,[1]products!$B:$D,3,0)</f>
        <v>4</v>
      </c>
      <c r="J3595" t="str">
        <f>VLOOKUP(I3595,[2]categories!$A$2:$B$8,2,0)</f>
        <v>Cyclocross Bicycles</v>
      </c>
    </row>
    <row r="3596" spans="1:10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 s="1">
        <f t="shared" si="56"/>
        <v>527.992</v>
      </c>
      <c r="H3596" t="str">
        <f>VLOOKUP(C3596,[1]products!$A:$B,2,0)</f>
        <v>Electra Amsterdam Original 3i - 2015/2017</v>
      </c>
      <c r="I3596">
        <f>VLOOKUP(H3596,[1]products!$B:$D,3,0)</f>
        <v>3</v>
      </c>
      <c r="J3596" t="str">
        <f>VLOOKUP(I3596,[2]categories!$A$2:$B$8,2,0)</f>
        <v>Cruisers Bicycles</v>
      </c>
    </row>
    <row r="3597" spans="1:10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0.07</v>
      </c>
      <c r="G3597" s="1">
        <f t="shared" si="56"/>
        <v>502.1907</v>
      </c>
      <c r="H3597" t="str">
        <f>VLOOKUP(C3597,[1]products!$A:$B,2,0)</f>
        <v>Haro SR 1.1 - 2017</v>
      </c>
      <c r="I3597">
        <f>VLOOKUP(H3597,[1]products!$B:$D,3,0)</f>
        <v>6</v>
      </c>
      <c r="J3597" t="str">
        <f>VLOOKUP(I3597,[2]categories!$A$2:$B$8,2,0)</f>
        <v>Mountain Bikes</v>
      </c>
    </row>
    <row r="3598" spans="1:10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 s="1">
        <f t="shared" si="56"/>
        <v>695.992</v>
      </c>
      <c r="H3598" t="str">
        <f>VLOOKUP(C3598,[1]products!$A:$B,2,0)</f>
        <v>Haro SR 1.2 - 2017</v>
      </c>
      <c r="I3598">
        <f>VLOOKUP(H3598,[1]products!$B:$D,3,0)</f>
        <v>6</v>
      </c>
      <c r="J3598" t="str">
        <f>VLOOKUP(I3598,[2]categories!$A$2:$B$8,2,0)</f>
        <v>Mountain Bikes</v>
      </c>
    </row>
    <row r="3599" spans="1:10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0.07</v>
      </c>
      <c r="G3599" s="1">
        <f t="shared" si="56"/>
        <v>1022.9814</v>
      </c>
      <c r="H3599" t="str">
        <f>VLOOKUP(C3599,[1]products!$A:$B,2,0)</f>
        <v>Haro Flightline Two 26 Plus - 2017</v>
      </c>
      <c r="I3599">
        <f>VLOOKUP(H3599,[1]products!$B:$D,3,0)</f>
        <v>6</v>
      </c>
      <c r="J3599" t="str">
        <f>VLOOKUP(I3599,[2]categories!$A$2:$B$8,2,0)</f>
        <v>Mountain Bikes</v>
      </c>
    </row>
    <row r="3600" spans="1:10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0.07</v>
      </c>
      <c r="G3600" s="1">
        <f t="shared" si="56"/>
        <v>437.0907</v>
      </c>
      <c r="H3600" t="str">
        <f>VLOOKUP(C3600,[1]products!$A:$B,2,0)</f>
        <v>Surly Wednesday Frameset - 2017</v>
      </c>
      <c r="I3600">
        <f>VLOOKUP(H3600,[1]products!$B:$D,3,0)</f>
        <v>6</v>
      </c>
      <c r="J3600" t="str">
        <f>VLOOKUP(I3600,[2]categories!$A$2:$B$8,2,0)</f>
        <v>Mountain Bikes</v>
      </c>
    </row>
    <row r="3601" spans="1:10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 s="1">
        <f t="shared" si="56"/>
        <v>683.982</v>
      </c>
      <c r="H3601" t="str">
        <f>VLOOKUP(C3601,[1]products!$A:$B,2,0)</f>
        <v>Haro Flightline One ST - 2017</v>
      </c>
      <c r="I3601">
        <f>VLOOKUP(H3601,[1]products!$B:$D,3,0)</f>
        <v>6</v>
      </c>
      <c r="J3601" t="str">
        <f>VLOOKUP(I3601,[2]categories!$A$2:$B$8,2,0)</f>
        <v>Mountain Bikes</v>
      </c>
    </row>
    <row r="3602" spans="1:10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 s="1">
        <f t="shared" si="56"/>
        <v>242.991</v>
      </c>
      <c r="H3602" t="str">
        <f>VLOOKUP(C3602,[1]products!$A:$B,2,0)</f>
        <v>Electra Cruiser 1 (24-Inch) - 2016</v>
      </c>
      <c r="I3602">
        <f>VLOOKUP(H3602,[1]products!$B:$D,3,0)</f>
        <v>3</v>
      </c>
      <c r="J3602" t="str">
        <f>VLOOKUP(I3602,[2]categories!$A$2:$B$8,2,0)</f>
        <v>Cruisers Bicycles</v>
      </c>
    </row>
    <row r="3603" spans="1:10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 s="1">
        <f t="shared" si="56"/>
        <v>1036.784</v>
      </c>
      <c r="H3603" t="str">
        <f>VLOOKUP(C3603,[1]products!$A:$B,2,0)</f>
        <v>Sun Bicycles Biscayne Tandem CB - 2017</v>
      </c>
      <c r="I3603">
        <f>VLOOKUP(H3603,[1]products!$B:$D,3,0)</f>
        <v>3</v>
      </c>
      <c r="J3603" t="str">
        <f>VLOOKUP(I3603,[2]categories!$A$2:$B$8,2,0)</f>
        <v>Cruisers Bicycles</v>
      </c>
    </row>
    <row r="3604" spans="1:10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 s="1">
        <f t="shared" si="56"/>
        <v>1339.4905</v>
      </c>
      <c r="H3604" t="str">
        <f>VLOOKUP(C3604,[1]products!$A:$B,2,0)</f>
        <v>Haro SR 1.3 - 2017</v>
      </c>
      <c r="I3604">
        <f>VLOOKUP(H3604,[1]products!$B:$D,3,0)</f>
        <v>6</v>
      </c>
      <c r="J3604" t="str">
        <f>VLOOKUP(I3604,[2]categories!$A$2:$B$8,2,0)</f>
        <v>Mountain Bikes</v>
      </c>
    </row>
    <row r="3605" spans="1:10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0.07</v>
      </c>
      <c r="G3605" s="1">
        <f t="shared" si="56"/>
        <v>1618.1814</v>
      </c>
      <c r="H3605" t="str">
        <f>VLOOKUP(C3605,[1]products!$A:$B,2,0)</f>
        <v>Haro SR 1.2 - 2017</v>
      </c>
      <c r="I3605">
        <f>VLOOKUP(H3605,[1]products!$B:$D,3,0)</f>
        <v>6</v>
      </c>
      <c r="J3605" t="str">
        <f>VLOOKUP(I3605,[2]categories!$A$2:$B$8,2,0)</f>
        <v>Mountain Bikes</v>
      </c>
    </row>
    <row r="3606" spans="1:10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 s="1">
        <f t="shared" si="56"/>
        <v>953.982</v>
      </c>
      <c r="H3606" t="str">
        <f>VLOOKUP(C3606,[1]products!$A:$B,2,0)</f>
        <v>Electra Moto 1 - 2016</v>
      </c>
      <c r="I3606">
        <f>VLOOKUP(H3606,[1]products!$B:$D,3,0)</f>
        <v>3</v>
      </c>
      <c r="J3606" t="str">
        <f>VLOOKUP(I3606,[2]categories!$A$2:$B$8,2,0)</f>
        <v>Cruisers Bicycles</v>
      </c>
    </row>
    <row r="3607" spans="1:10">
      <c r="A3607">
        <v>1247</v>
      </c>
      <c r="B3607">
        <v>2</v>
      </c>
      <c r="C3607">
        <v>28</v>
      </c>
      <c r="D3607">
        <v>2</v>
      </c>
      <c r="E3607">
        <v>2499.99</v>
      </c>
      <c r="F3607">
        <v>0.1</v>
      </c>
      <c r="G3607" s="1">
        <f t="shared" si="56"/>
        <v>4499.982</v>
      </c>
      <c r="H3607" t="str">
        <f>VLOOKUP(C3607,[1]products!$A:$B,2,0)</f>
        <v>Surly Karate Monkey 27.5+ Frameset - 2017</v>
      </c>
      <c r="I3607">
        <f>VLOOKUP(H3607,[1]products!$B:$D,3,0)</f>
        <v>6</v>
      </c>
      <c r="J3607" t="str">
        <f>VLOOKUP(I3607,[2]categories!$A$2:$B$8,2,0)</f>
        <v>Mountain Bikes</v>
      </c>
    </row>
    <row r="3608" spans="1:10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 s="1">
        <f t="shared" si="56"/>
        <v>569.9905</v>
      </c>
      <c r="H3608" t="str">
        <f>VLOOKUP(C3608,[1]products!$A:$B,2,0)</f>
        <v>Electra Townie Original 7D EQ - 2016</v>
      </c>
      <c r="I3608">
        <f>VLOOKUP(H3608,[1]products!$B:$D,3,0)</f>
        <v>3</v>
      </c>
      <c r="J3608" t="str">
        <f>VLOOKUP(I3608,[2]categories!$A$2:$B$8,2,0)</f>
        <v>Cruisers Bicycles</v>
      </c>
    </row>
    <row r="3609" spans="1:10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 s="1">
        <f t="shared" si="56"/>
        <v>474.981</v>
      </c>
      <c r="H3609" t="str">
        <f>VLOOKUP(C3609,[1]products!$A:$B,2,0)</f>
        <v>Haro Shredder Pro 20 - 2017</v>
      </c>
      <c r="I3609">
        <f>VLOOKUP(H3609,[1]products!$B:$D,3,0)</f>
        <v>1</v>
      </c>
      <c r="J3609" t="str">
        <f>VLOOKUP(I3609,[2]categories!$A$2:$B$8,2,0)</f>
        <v>Children Bicycles</v>
      </c>
    </row>
    <row r="3610" spans="1:10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 s="1">
        <f t="shared" si="56"/>
        <v>845.982</v>
      </c>
      <c r="H3610" t="str">
        <f>VLOOKUP(C3610,[1]products!$A:$B,2,0)</f>
        <v>Surly Wednesday Frameset - 2017</v>
      </c>
      <c r="I3610">
        <f>VLOOKUP(H3610,[1]products!$B:$D,3,0)</f>
        <v>6</v>
      </c>
      <c r="J3610" t="str">
        <f>VLOOKUP(I3610,[2]categories!$A$2:$B$8,2,0)</f>
        <v>Mountain Bikes</v>
      </c>
    </row>
    <row r="3611" spans="1:10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 s="1">
        <f t="shared" si="56"/>
        <v>188.991</v>
      </c>
      <c r="H3611" t="str">
        <f>VLOOKUP(C3611,[1]products!$A:$B,2,0)</f>
        <v>Haro Shredder 20 - 2017</v>
      </c>
      <c r="I3611">
        <f>VLOOKUP(H3611,[1]products!$B:$D,3,0)</f>
        <v>1</v>
      </c>
      <c r="J3611" t="str">
        <f>VLOOKUP(I3611,[2]categories!$A$2:$B$8,2,0)</f>
        <v>Children Bicycles</v>
      </c>
    </row>
    <row r="3612" spans="1:10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 s="1">
        <f t="shared" si="56"/>
        <v>522.4905</v>
      </c>
      <c r="H3612" t="str">
        <f>VLOOKUP(C3612,[1]products!$A:$B,2,0)</f>
        <v>Electra Townie Original 21D - 2016</v>
      </c>
      <c r="I3612">
        <f>VLOOKUP(H3612,[1]products!$B:$D,3,0)</f>
        <v>3</v>
      </c>
      <c r="J3612" t="str">
        <f>VLOOKUP(I3612,[2]categories!$A$2:$B$8,2,0)</f>
        <v>Cruisers Bicycles</v>
      </c>
    </row>
    <row r="3613" spans="1:10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 s="1">
        <f t="shared" si="56"/>
        <v>3324.9905</v>
      </c>
      <c r="H3613" t="str">
        <f>VLOOKUP(C3613,[1]products!$A:$B,2,0)</f>
        <v>Trek Boone 7 - 2017</v>
      </c>
      <c r="I3613">
        <f>VLOOKUP(H3613,[1]products!$B:$D,3,0)</f>
        <v>4</v>
      </c>
      <c r="J3613" t="str">
        <f>VLOOKUP(I3613,[2]categories!$A$2:$B$8,2,0)</f>
        <v>Cyclocross Bicycles</v>
      </c>
    </row>
    <row r="3614" spans="1:10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 s="1">
        <f t="shared" si="56"/>
        <v>457.8905</v>
      </c>
      <c r="H3614" t="str">
        <f>VLOOKUP(C3614,[1]products!$A:$B,2,0)</f>
        <v>Sun Bicycles Streamway - 2017</v>
      </c>
      <c r="I3614">
        <f>VLOOKUP(H3614,[1]products!$B:$D,3,0)</f>
        <v>2</v>
      </c>
      <c r="J3614" t="str">
        <f>VLOOKUP(I3614,[2]categories!$A$2:$B$8,2,0)</f>
        <v>Comfort Bicycles</v>
      </c>
    </row>
    <row r="3615" spans="1:10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 s="1">
        <f t="shared" si="56"/>
        <v>3999.992</v>
      </c>
      <c r="H3615" t="str">
        <f>VLOOKUP(C3615,[1]products!$A:$B,2,0)</f>
        <v>Trek Powerfly 8 FS Plus - 2017</v>
      </c>
      <c r="I3615">
        <f>VLOOKUP(H3615,[1]products!$B:$D,3,0)</f>
        <v>5</v>
      </c>
      <c r="J3615" t="str">
        <f>VLOOKUP(I3615,[2]categories!$A$2:$B$8,2,0)</f>
        <v>Electric Bikes</v>
      </c>
    </row>
    <row r="3616" spans="1:10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 s="1">
        <f t="shared" si="56"/>
        <v>1231.181</v>
      </c>
      <c r="H3616" t="str">
        <f>VLOOKUP(C3616,[1]products!$A:$B,2,0)</f>
        <v>Sun Bicycles Biscayne Tandem CB - 2017</v>
      </c>
      <c r="I3616">
        <f>VLOOKUP(H3616,[1]products!$B:$D,3,0)</f>
        <v>3</v>
      </c>
      <c r="J3616" t="str">
        <f>VLOOKUP(I3616,[2]categories!$A$2:$B$8,2,0)</f>
        <v>Cruisers Bicycles</v>
      </c>
    </row>
    <row r="3617" spans="1:10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 s="1">
        <f t="shared" si="56"/>
        <v>451.782</v>
      </c>
      <c r="H3617" t="str">
        <f>VLOOKUP(C3617,[1]products!$A:$B,2,0)</f>
        <v>Sun Bicycles Revolutions 24 - 2017</v>
      </c>
      <c r="I3617">
        <f>VLOOKUP(H3617,[1]products!$B:$D,3,0)</f>
        <v>3</v>
      </c>
      <c r="J3617" t="str">
        <f>VLOOKUP(I3617,[2]categories!$A$2:$B$8,2,0)</f>
        <v>Cruisers Bicycles</v>
      </c>
    </row>
    <row r="3618" spans="1:10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 s="1">
        <f t="shared" si="56"/>
        <v>1139.981</v>
      </c>
      <c r="H3618" t="str">
        <f>VLOOKUP(C3618,[1]products!$A:$B,2,0)</f>
        <v>Electra Townie Original 7D EQ - Women's - 2016</v>
      </c>
      <c r="I3618">
        <f>VLOOKUP(H3618,[1]products!$B:$D,3,0)</f>
        <v>3</v>
      </c>
      <c r="J3618" t="str">
        <f>VLOOKUP(I3618,[2]categories!$A$2:$B$8,2,0)</f>
        <v>Cruisers Bicycles</v>
      </c>
    </row>
    <row r="3619" spans="1:10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 s="1">
        <f t="shared" si="56"/>
        <v>845.982</v>
      </c>
      <c r="H3619" t="str">
        <f>VLOOKUP(C3619,[1]products!$A:$B,2,0)</f>
        <v>Surly Ice Cream Truck Frameset - 2016</v>
      </c>
      <c r="I3619">
        <f>VLOOKUP(H3619,[1]products!$B:$D,3,0)</f>
        <v>6</v>
      </c>
      <c r="J3619" t="str">
        <f>VLOOKUP(I3619,[2]categories!$A$2:$B$8,2,0)</f>
        <v>Mountain Bikes</v>
      </c>
    </row>
    <row r="3620" spans="1:10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 s="1">
        <f t="shared" si="56"/>
        <v>8999.982</v>
      </c>
      <c r="H3620" t="str">
        <f>VLOOKUP(C3620,[1]products!$A:$B,2,0)</f>
        <v>Trek Fuel EX 9.8 29 - 2017</v>
      </c>
      <c r="I3620">
        <f>VLOOKUP(H3620,[1]products!$B:$D,3,0)</f>
        <v>6</v>
      </c>
      <c r="J3620" t="str">
        <f>VLOOKUP(I3620,[2]categories!$A$2:$B$8,2,0)</f>
        <v>Mountain Bikes</v>
      </c>
    </row>
    <row r="3621" spans="1:10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0.07</v>
      </c>
      <c r="G3621" s="1">
        <f t="shared" si="56"/>
        <v>5114.9907</v>
      </c>
      <c r="H3621" t="str">
        <f>VLOOKUP(C3621,[1]products!$A:$B,2,0)</f>
        <v>Trek Domane SLR 6 Disc - 2017</v>
      </c>
      <c r="I3621">
        <f>VLOOKUP(H3621,[1]products!$B:$D,3,0)</f>
        <v>7</v>
      </c>
      <c r="J3621" t="str">
        <f>VLOOKUP(I3621,[2]categories!$A$2:$B$8,2,0)</f>
        <v>Road Bikes</v>
      </c>
    </row>
    <row r="3622" spans="1:10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0.07</v>
      </c>
      <c r="G3622" s="1">
        <f t="shared" si="56"/>
        <v>3719.9907</v>
      </c>
      <c r="H3622" t="str">
        <f>VLOOKUP(C3622,[1]products!$A:$B,2,0)</f>
        <v>Trek Slash 8 27.5 - 2016</v>
      </c>
      <c r="I3622">
        <f>VLOOKUP(H3622,[1]products!$B:$D,3,0)</f>
        <v>6</v>
      </c>
      <c r="J3622" t="str">
        <f>VLOOKUP(I3622,[2]categories!$A$2:$B$8,2,0)</f>
        <v>Mountain Bikes</v>
      </c>
    </row>
    <row r="3623" spans="1:10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 s="1">
        <f t="shared" si="56"/>
        <v>322.392</v>
      </c>
      <c r="H3623" t="str">
        <f>VLOOKUP(C3623,[1]products!$A:$B,2,0)</f>
        <v>Sun Bicycles Boardwalk (24-inch Wheels) - 2017</v>
      </c>
      <c r="I3623">
        <f>VLOOKUP(H3623,[1]products!$B:$D,3,0)</f>
        <v>3</v>
      </c>
      <c r="J3623" t="str">
        <f>VLOOKUP(I3623,[2]categories!$A$2:$B$8,2,0)</f>
        <v>Cruisers Bicycles</v>
      </c>
    </row>
    <row r="3624" spans="1:10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 s="1">
        <f t="shared" si="56"/>
        <v>87.992</v>
      </c>
      <c r="H3624" t="str">
        <f>VLOOKUP(C3624,[1]products!$A:$B,2,0)</f>
        <v>Sun Bicycles Lil Kitt'n - 2017</v>
      </c>
      <c r="I3624">
        <f>VLOOKUP(H3624,[1]products!$B:$D,3,0)</f>
        <v>1</v>
      </c>
      <c r="J3624" t="str">
        <f>VLOOKUP(I3624,[2]categories!$A$2:$B$8,2,0)</f>
        <v>Children Bicycles</v>
      </c>
    </row>
    <row r="3625" spans="1:10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 s="1">
        <f t="shared" si="56"/>
        <v>3799.981</v>
      </c>
      <c r="H3625" t="str">
        <f>VLOOKUP(C3625,[1]products!$A:$B,2,0)</f>
        <v>Trek Emonda S 5 - 2017</v>
      </c>
      <c r="I3625">
        <f>VLOOKUP(H3625,[1]products!$B:$D,3,0)</f>
        <v>7</v>
      </c>
      <c r="J3625" t="str">
        <f>VLOOKUP(I3625,[2]categories!$A$2:$B$8,2,0)</f>
        <v>Road Bikes</v>
      </c>
    </row>
    <row r="3626" spans="1:10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 s="1">
        <f t="shared" si="56"/>
        <v>899.982</v>
      </c>
      <c r="H3626" t="str">
        <f>VLOOKUP(C3626,[1]products!$A:$B,2,0)</f>
        <v>Electra Townie Original 7D - 2015/2016</v>
      </c>
      <c r="I3626">
        <f>VLOOKUP(H3626,[1]products!$B:$D,3,0)</f>
        <v>2</v>
      </c>
      <c r="J3626" t="str">
        <f>VLOOKUP(I3626,[2]categories!$A$2:$B$8,2,0)</f>
        <v>Comfort Bicycles</v>
      </c>
    </row>
    <row r="3627" spans="1:10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0.07</v>
      </c>
      <c r="G3627" s="1">
        <f t="shared" si="56"/>
        <v>251.0907</v>
      </c>
      <c r="H3627" t="str">
        <f>VLOOKUP(C3627,[1]products!$A:$B,2,0)</f>
        <v>Electra Cruiser 1 (24-Inch) - 2016</v>
      </c>
      <c r="I3627">
        <f>VLOOKUP(H3627,[1]products!$B:$D,3,0)</f>
        <v>3</v>
      </c>
      <c r="J3627" t="str">
        <f>VLOOKUP(I3627,[2]categories!$A$2:$B$8,2,0)</f>
        <v>Cruisers Bicycles</v>
      </c>
    </row>
    <row r="3628" spans="1:10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 s="1">
        <f t="shared" si="56"/>
        <v>151.992</v>
      </c>
      <c r="H3628" t="str">
        <f>VLOOKUP(C3628,[1]products!$A:$B,2,0)</f>
        <v>Trek Precaliber 12 Girls - 2017</v>
      </c>
      <c r="I3628">
        <f>VLOOKUP(H3628,[1]products!$B:$D,3,0)</f>
        <v>1</v>
      </c>
      <c r="J3628" t="str">
        <f>VLOOKUP(I3628,[2]categories!$A$2:$B$8,2,0)</f>
        <v>Children Bicycles</v>
      </c>
    </row>
    <row r="3629" spans="1:10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 s="1">
        <f t="shared" si="56"/>
        <v>609.592</v>
      </c>
      <c r="H3629" t="str">
        <f>VLOOKUP(C3629,[1]products!$A:$B,2,0)</f>
        <v>Sun Bicycles Brickell Tandem CB - 2017</v>
      </c>
      <c r="I3629">
        <f>VLOOKUP(H3629,[1]products!$B:$D,3,0)</f>
        <v>3</v>
      </c>
      <c r="J3629" t="str">
        <f>VLOOKUP(I3629,[2]categories!$A$2:$B$8,2,0)</f>
        <v>Cruisers Bicycles</v>
      </c>
    </row>
    <row r="3630" spans="1:10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 s="1">
        <f t="shared" si="56"/>
        <v>279.992</v>
      </c>
      <c r="H3630" t="str">
        <f>VLOOKUP(C3630,[1]products!$A:$B,2,0)</f>
        <v>Trek Precaliber 24 (21-Speed) - Girls - 2017</v>
      </c>
      <c r="I3630">
        <f>VLOOKUP(H3630,[1]products!$B:$D,3,0)</f>
        <v>1</v>
      </c>
      <c r="J3630" t="str">
        <f>VLOOKUP(I3630,[2]categories!$A$2:$B$8,2,0)</f>
        <v>Children Bicycles</v>
      </c>
    </row>
    <row r="3631" spans="1:10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 s="1">
        <f t="shared" si="56"/>
        <v>8479.984</v>
      </c>
      <c r="H3631" t="str">
        <f>VLOOKUP(C3631,[1]products!$A:$B,2,0)</f>
        <v>Trek Fuel EX 9.8 27.5 Plus - 2017</v>
      </c>
      <c r="I3631">
        <f>VLOOKUP(H3631,[1]products!$B:$D,3,0)</f>
        <v>6</v>
      </c>
      <c r="J3631" t="str">
        <f>VLOOKUP(I3631,[2]categories!$A$2:$B$8,2,0)</f>
        <v>Mountain Bikes</v>
      </c>
    </row>
    <row r="3632" spans="1:10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 s="1">
        <f t="shared" si="56"/>
        <v>712.4905</v>
      </c>
      <c r="H3632" t="str">
        <f>VLOOKUP(C3632,[1]products!$A:$B,2,0)</f>
        <v>Surly Ogre Frameset - 2017</v>
      </c>
      <c r="I3632">
        <f>VLOOKUP(H3632,[1]products!$B:$D,3,0)</f>
        <v>7</v>
      </c>
      <c r="J3632" t="str">
        <f>VLOOKUP(I3632,[2]categories!$A$2:$B$8,2,0)</f>
        <v>Road Bikes</v>
      </c>
    </row>
    <row r="3633" spans="1:10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 s="1">
        <f t="shared" si="56"/>
        <v>431.984</v>
      </c>
      <c r="H3633" t="str">
        <f>VLOOKUP(C3633,[1]products!$A:$B,2,0)</f>
        <v>Electra Girl's Hawaii 1 (16-inch) - 2015/2016</v>
      </c>
      <c r="I3633">
        <f>VLOOKUP(H3633,[1]products!$B:$D,3,0)</f>
        <v>3</v>
      </c>
      <c r="J3633" t="str">
        <f>VLOOKUP(I3633,[2]categories!$A$2:$B$8,2,0)</f>
        <v>Cruisers Bicycles</v>
      </c>
    </row>
    <row r="3634" spans="1:10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 s="1">
        <f t="shared" si="56"/>
        <v>1139.981</v>
      </c>
      <c r="H3634" t="str">
        <f>VLOOKUP(C3634,[1]products!$A:$B,2,0)</f>
        <v>Electra Townie Original 7D EQ - 2016</v>
      </c>
      <c r="I3634">
        <f>VLOOKUP(H3634,[1]products!$B:$D,3,0)</f>
        <v>3</v>
      </c>
      <c r="J3634" t="str">
        <f>VLOOKUP(I3634,[2]categories!$A$2:$B$8,2,0)</f>
        <v>Cruisers Bicycles</v>
      </c>
    </row>
    <row r="3635" spans="1:10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 s="1">
        <f t="shared" si="56"/>
        <v>626.9905</v>
      </c>
      <c r="H3635" t="str">
        <f>VLOOKUP(C3635,[1]products!$A:$B,2,0)</f>
        <v>Electra Amsterdam Original 3i Ladies' - 2017</v>
      </c>
      <c r="I3635">
        <f>VLOOKUP(H3635,[1]products!$B:$D,3,0)</f>
        <v>3</v>
      </c>
      <c r="J3635" t="str">
        <f>VLOOKUP(I3635,[2]categories!$A$2:$B$8,2,0)</f>
        <v>Cruisers Bicycles</v>
      </c>
    </row>
    <row r="3636" spans="1:10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 s="1">
        <f t="shared" si="56"/>
        <v>863.984</v>
      </c>
      <c r="H3636" t="str">
        <f>VLOOKUP(C3636,[1]products!$A:$B,2,0)</f>
        <v>Haro SR 1.1 - 2017</v>
      </c>
      <c r="I3636">
        <f>VLOOKUP(H3636,[1]products!$B:$D,3,0)</f>
        <v>6</v>
      </c>
      <c r="J3636" t="str">
        <f>VLOOKUP(I3636,[2]categories!$A$2:$B$8,2,0)</f>
        <v>Mountain Bikes</v>
      </c>
    </row>
    <row r="3637" spans="1:10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 s="1">
        <f t="shared" si="56"/>
        <v>440.991</v>
      </c>
      <c r="H3637" t="str">
        <f>VLOOKUP(C3637,[1]products!$A:$B,2,0)</f>
        <v>Electra Townie 3i EQ (20-inch) - Boys' - 2017</v>
      </c>
      <c r="I3637">
        <f>VLOOKUP(H3637,[1]products!$B:$D,3,0)</f>
        <v>1</v>
      </c>
      <c r="J3637" t="str">
        <f>VLOOKUP(I3637,[2]categories!$A$2:$B$8,2,0)</f>
        <v>Children Bicycles</v>
      </c>
    </row>
    <row r="3638" spans="1:10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 s="1">
        <f t="shared" si="56"/>
        <v>1899.981</v>
      </c>
      <c r="H3638" t="str">
        <f>VLOOKUP(C3638,[1]products!$A:$B,2,0)</f>
        <v>Surly Ice Cream Truck Frameset - 2017</v>
      </c>
      <c r="I3638">
        <f>VLOOKUP(H3638,[1]products!$B:$D,3,0)</f>
        <v>6</v>
      </c>
      <c r="J3638" t="str">
        <f>VLOOKUP(I3638,[2]categories!$A$2:$B$8,2,0)</f>
        <v>Mountain Bikes</v>
      </c>
    </row>
    <row r="3639" spans="1:10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 s="1">
        <f t="shared" si="56"/>
        <v>4749.9905</v>
      </c>
      <c r="H3639" t="str">
        <f>VLOOKUP(C3639,[1]products!$A:$B,2,0)</f>
        <v>Trek Powerfly 8 FS Plus - 2017</v>
      </c>
      <c r="I3639">
        <f>VLOOKUP(H3639,[1]products!$B:$D,3,0)</f>
        <v>5</v>
      </c>
      <c r="J3639" t="str">
        <f>VLOOKUP(I3639,[2]categories!$A$2:$B$8,2,0)</f>
        <v>Electric Bikes</v>
      </c>
    </row>
    <row r="3640" spans="1:10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 s="1">
        <f t="shared" si="56"/>
        <v>772.2</v>
      </c>
      <c r="H3640" t="str">
        <f>VLOOKUP(C3640,[1]products!$A:$B,2,0)</f>
        <v>Pure Cycles Vine 8-Speed - 2016</v>
      </c>
      <c r="I3640">
        <f>VLOOKUP(H3640,[1]products!$B:$D,3,0)</f>
        <v>3</v>
      </c>
      <c r="J3640" t="str">
        <f>VLOOKUP(I3640,[2]categories!$A$2:$B$8,2,0)</f>
        <v>Cruisers Bicycles</v>
      </c>
    </row>
    <row r="3641" spans="1:10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 s="1">
        <f t="shared" si="56"/>
        <v>1396.4905</v>
      </c>
      <c r="H3641" t="str">
        <f>VLOOKUP(C3641,[1]products!$A:$B,2,0)</f>
        <v>Haro Shift R3 - 2017</v>
      </c>
      <c r="I3641">
        <f>VLOOKUP(H3641,[1]products!$B:$D,3,0)</f>
        <v>6</v>
      </c>
      <c r="J3641" t="str">
        <f>VLOOKUP(I3641,[2]categories!$A$2:$B$8,2,0)</f>
        <v>Mountain Bikes</v>
      </c>
    </row>
    <row r="3642" spans="1:10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 s="1">
        <f t="shared" si="56"/>
        <v>2609.991</v>
      </c>
      <c r="H3642" t="str">
        <f>VLOOKUP(C3642,[1]products!$A:$B,2,0)</f>
        <v>Trek Fuel EX 8 29 - 2016</v>
      </c>
      <c r="I3642">
        <f>VLOOKUP(H3642,[1]products!$B:$D,3,0)</f>
        <v>6</v>
      </c>
      <c r="J3642" t="str">
        <f>VLOOKUP(I3642,[2]categories!$A$2:$B$8,2,0)</f>
        <v>Mountain Bikes</v>
      </c>
    </row>
    <row r="3643" spans="1:10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 s="1">
        <f t="shared" si="56"/>
        <v>449.982</v>
      </c>
      <c r="H3643" t="str">
        <f>VLOOKUP(C3643,[1]products!$A:$B,2,0)</f>
        <v>Haro Shredder Pro 20 - 2017</v>
      </c>
      <c r="I3643">
        <f>VLOOKUP(H3643,[1]products!$B:$D,3,0)</f>
        <v>1</v>
      </c>
      <c r="J3643" t="str">
        <f>VLOOKUP(I3643,[2]categories!$A$2:$B$8,2,0)</f>
        <v>Children Bicycles</v>
      </c>
    </row>
    <row r="3644" spans="1:10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 s="1">
        <f t="shared" si="56"/>
        <v>569.981</v>
      </c>
      <c r="H3644" t="str">
        <f>VLOOKUP(C3644,[1]products!$A:$B,2,0)</f>
        <v>Electra Sugar Skulls 1 (20-inch) - Girl's - 2017</v>
      </c>
      <c r="I3644">
        <f>VLOOKUP(H3644,[1]products!$B:$D,3,0)</f>
        <v>1</v>
      </c>
      <c r="J3644" t="str">
        <f>VLOOKUP(I3644,[2]categories!$A$2:$B$8,2,0)</f>
        <v>Children Bicycles</v>
      </c>
    </row>
    <row r="3645" spans="1:10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 s="1">
        <f t="shared" si="56"/>
        <v>1403.991</v>
      </c>
      <c r="H3645" t="str">
        <f>VLOOKUP(C3645,[1]products!$A:$B,2,0)</f>
        <v>Sun Bicycles ElectroLite - 2017</v>
      </c>
      <c r="I3645">
        <f>VLOOKUP(H3645,[1]products!$B:$D,3,0)</f>
        <v>5</v>
      </c>
      <c r="J3645" t="str">
        <f>VLOOKUP(I3645,[2]categories!$A$2:$B$8,2,0)</f>
        <v>Electric Bikes</v>
      </c>
    </row>
    <row r="3646" spans="1:10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 s="1">
        <f t="shared" si="56"/>
        <v>359.2</v>
      </c>
      <c r="H3646" t="str">
        <f>VLOOKUP(C3646,[1]products!$A:$B,2,0)</f>
        <v>Pure Cycles William 3-Speed - 2016</v>
      </c>
      <c r="I3646">
        <f>VLOOKUP(H3646,[1]products!$B:$D,3,0)</f>
        <v>3</v>
      </c>
      <c r="J3646" t="str">
        <f>VLOOKUP(I3646,[2]categories!$A$2:$B$8,2,0)</f>
        <v>Cruisers Bicycles</v>
      </c>
    </row>
    <row r="3647" spans="1:10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 s="1">
        <f t="shared" si="56"/>
        <v>1619.991</v>
      </c>
      <c r="H3647" t="str">
        <f>VLOOKUP(C3647,[1]products!$A:$B,2,0)</f>
        <v>Trek Remedy 29 Carbon Frameset - 2016</v>
      </c>
      <c r="I3647">
        <f>VLOOKUP(H3647,[1]products!$B:$D,3,0)</f>
        <v>6</v>
      </c>
      <c r="J3647" t="str">
        <f>VLOOKUP(I3647,[2]categories!$A$2:$B$8,2,0)</f>
        <v>Mountain Bikes</v>
      </c>
    </row>
    <row r="3648" spans="1:10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 s="1">
        <f t="shared" si="56"/>
        <v>225.891</v>
      </c>
      <c r="H3648" t="str">
        <f>VLOOKUP(C3648,[1]products!$A:$B,2,0)</f>
        <v>Sun Bicycles Revolutions 24 - 2017</v>
      </c>
      <c r="I3648">
        <f>VLOOKUP(H3648,[1]products!$B:$D,3,0)</f>
        <v>3</v>
      </c>
      <c r="J3648" t="str">
        <f>VLOOKUP(I3648,[2]categories!$A$2:$B$8,2,0)</f>
        <v>Cruisers Bicycles</v>
      </c>
    </row>
    <row r="3649" spans="1:10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 s="1">
        <f t="shared" si="56"/>
        <v>599.992</v>
      </c>
      <c r="H3649" t="str">
        <f>VLOOKUP(C3649,[1]products!$A:$B,2,0)</f>
        <v>Sun Bicycles Brickell Tandem 7 - 2017</v>
      </c>
      <c r="I3649">
        <f>VLOOKUP(H3649,[1]products!$B:$D,3,0)</f>
        <v>3</v>
      </c>
      <c r="J3649" t="str">
        <f>VLOOKUP(I3649,[2]categories!$A$2:$B$8,2,0)</f>
        <v>Cruisers Bicycles</v>
      </c>
    </row>
    <row r="3650" spans="1:10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 s="1">
        <f t="shared" ref="G3650:G3713" si="57">D3650*E3650*(1-F3650)</f>
        <v>303.984</v>
      </c>
      <c r="H3650" t="str">
        <f>VLOOKUP(C3650,[1]products!$A:$B,2,0)</f>
        <v>Trek Precaliber 12 Girls - 2017</v>
      </c>
      <c r="I3650">
        <f>VLOOKUP(H3650,[1]products!$B:$D,3,0)</f>
        <v>1</v>
      </c>
      <c r="J3650" t="str">
        <f>VLOOKUP(I3650,[2]categories!$A$2:$B$8,2,0)</f>
        <v>Children Bicycles</v>
      </c>
    </row>
    <row r="3651" spans="1:10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 s="1">
        <f t="shared" si="57"/>
        <v>465.4905</v>
      </c>
      <c r="H3651" t="str">
        <f>VLOOKUP(C3651,[1]products!$A:$B,2,0)</f>
        <v>Electra Townie 3i EQ (20-inch) - Boys' - 2017</v>
      </c>
      <c r="I3651">
        <f>VLOOKUP(H3651,[1]products!$B:$D,3,0)</f>
        <v>1</v>
      </c>
      <c r="J3651" t="str">
        <f>VLOOKUP(I3651,[2]categories!$A$2:$B$8,2,0)</f>
        <v>Children Bicycles</v>
      </c>
    </row>
    <row r="3652" spans="1:10">
      <c r="A3652">
        <v>1261</v>
      </c>
      <c r="B3652">
        <v>4</v>
      </c>
      <c r="C3652">
        <v>42</v>
      </c>
      <c r="D3652">
        <v>1</v>
      </c>
      <c r="E3652">
        <v>2299.99</v>
      </c>
      <c r="F3652">
        <v>0.1</v>
      </c>
      <c r="G3652" s="1">
        <f t="shared" si="57"/>
        <v>2069.991</v>
      </c>
      <c r="H3652" t="str">
        <f>VLOOKUP(C3652,[1]products!$A:$B,2,0)</f>
        <v>Trek Fuel EX 5 27.5 Plus - 2017</v>
      </c>
      <c r="I3652">
        <f>VLOOKUP(H3652,[1]products!$B:$D,3,0)</f>
        <v>6</v>
      </c>
      <c r="J3652" t="str">
        <f>VLOOKUP(I3652,[2]categories!$A$2:$B$8,2,0)</f>
        <v>Mountain Bikes</v>
      </c>
    </row>
    <row r="3653" spans="1:10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0.07</v>
      </c>
      <c r="G3653" s="1">
        <f t="shared" si="57"/>
        <v>353.3907</v>
      </c>
      <c r="H3653" t="str">
        <f>VLOOKUP(C3653,[1]products!$A:$B,2,0)</f>
        <v>Haro Flightline One ST - 2017</v>
      </c>
      <c r="I3653">
        <f>VLOOKUP(H3653,[1]products!$B:$D,3,0)</f>
        <v>6</v>
      </c>
      <c r="J3653" t="str">
        <f>VLOOKUP(I3653,[2]categories!$A$2:$B$8,2,0)</f>
        <v>Mountain Bikes</v>
      </c>
    </row>
    <row r="3654" spans="1:10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 s="1">
        <f t="shared" si="57"/>
        <v>832.1905</v>
      </c>
      <c r="H3654" t="str">
        <f>VLOOKUP(C3654,[1]products!$A:$B,2,0)</f>
        <v>Surly Steamroller - 2017</v>
      </c>
      <c r="I3654">
        <f>VLOOKUP(H3654,[1]products!$B:$D,3,0)</f>
        <v>7</v>
      </c>
      <c r="J3654" t="str">
        <f>VLOOKUP(I3654,[2]categories!$A$2:$B$8,2,0)</f>
        <v>Road Bikes</v>
      </c>
    </row>
    <row r="3655" spans="1:10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0.07</v>
      </c>
      <c r="G3655" s="1">
        <f t="shared" si="57"/>
        <v>9857.9814</v>
      </c>
      <c r="H3655" t="str">
        <f>VLOOKUP(C3655,[1]products!$A:$B,2,0)</f>
        <v>Trek Fuel EX 9.8 27.5 Plus - 2017</v>
      </c>
      <c r="I3655">
        <f>VLOOKUP(H3655,[1]products!$B:$D,3,0)</f>
        <v>6</v>
      </c>
      <c r="J3655" t="str">
        <f>VLOOKUP(I3655,[2]categories!$A$2:$B$8,2,0)</f>
        <v>Mountain Bikes</v>
      </c>
    </row>
    <row r="3656" spans="1:10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0.07</v>
      </c>
      <c r="G3656" s="1">
        <f t="shared" si="57"/>
        <v>743.9907</v>
      </c>
      <c r="H3656" t="str">
        <f>VLOOKUP(C3656,[1]products!$A:$B,2,0)</f>
        <v>Electra Glam Punk 3i Ladies' - 2017</v>
      </c>
      <c r="I3656">
        <f>VLOOKUP(H3656,[1]products!$B:$D,3,0)</f>
        <v>3</v>
      </c>
      <c r="J3656" t="str">
        <f>VLOOKUP(I3656,[2]categories!$A$2:$B$8,2,0)</f>
        <v>Cruisers Bicycles</v>
      </c>
    </row>
    <row r="3657" spans="1:10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 s="1">
        <f t="shared" si="57"/>
        <v>695.992</v>
      </c>
      <c r="H3657" t="str">
        <f>VLOOKUP(C3657,[1]products!$A:$B,2,0)</f>
        <v>Haro SR 1.2 - 2017</v>
      </c>
      <c r="I3657">
        <f>VLOOKUP(H3657,[1]products!$B:$D,3,0)</f>
        <v>6</v>
      </c>
      <c r="J3657" t="str">
        <f>VLOOKUP(I3657,[2]categories!$A$2:$B$8,2,0)</f>
        <v>Mountain Bikes</v>
      </c>
    </row>
    <row r="3658" spans="1:10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 s="1">
        <f t="shared" si="57"/>
        <v>3324.9905</v>
      </c>
      <c r="H3658" t="str">
        <f>VLOOKUP(C3658,[1]products!$A:$B,2,0)</f>
        <v>Trek Boone 7 - 2017</v>
      </c>
      <c r="I3658">
        <f>VLOOKUP(H3658,[1]products!$B:$D,3,0)</f>
        <v>4</v>
      </c>
      <c r="J3658" t="str">
        <f>VLOOKUP(I3658,[2]categories!$A$2:$B$8,2,0)</f>
        <v>Cyclocross Bicycles</v>
      </c>
    </row>
    <row r="3659" spans="1:10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 s="1">
        <f t="shared" si="57"/>
        <v>808.2</v>
      </c>
      <c r="H3659" t="str">
        <f>VLOOKUP(C3659,[1]products!$A:$B,2,0)</f>
        <v>Pure Cycles William 3-Speed - 2016</v>
      </c>
      <c r="I3659">
        <f>VLOOKUP(H3659,[1]products!$B:$D,3,0)</f>
        <v>3</v>
      </c>
      <c r="J3659" t="str">
        <f>VLOOKUP(I3659,[2]categories!$A$2:$B$8,2,0)</f>
        <v>Cruisers Bicycles</v>
      </c>
    </row>
    <row r="3660" spans="1:10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0.07</v>
      </c>
      <c r="G3660" s="1">
        <f t="shared" si="57"/>
        <v>316.1907</v>
      </c>
      <c r="H3660" t="str">
        <f>VLOOKUP(C3660,[1]products!$A:$B,2,0)</f>
        <v>Electra Townie 7D (20-inch) - Boys' - 2017</v>
      </c>
      <c r="I3660">
        <f>VLOOKUP(H3660,[1]products!$B:$D,3,0)</f>
        <v>1</v>
      </c>
      <c r="J3660" t="str">
        <f>VLOOKUP(I3660,[2]categories!$A$2:$B$8,2,0)</f>
        <v>Children Bicycles</v>
      </c>
    </row>
    <row r="3661" spans="1:10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0.07</v>
      </c>
      <c r="G3661" s="1">
        <f t="shared" si="57"/>
        <v>1487.9814</v>
      </c>
      <c r="H3661" t="str">
        <f>VLOOKUP(C3661,[1]products!$A:$B,2,0)</f>
        <v>Electra Glam Punk 3i Ladies' - 2017</v>
      </c>
      <c r="I3661">
        <f>VLOOKUP(H3661,[1]products!$B:$D,3,0)</f>
        <v>3</v>
      </c>
      <c r="J3661" t="str">
        <f>VLOOKUP(I3661,[2]categories!$A$2:$B$8,2,0)</f>
        <v>Cruisers Bicycles</v>
      </c>
    </row>
    <row r="3662" spans="1:10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 s="1">
        <f t="shared" si="57"/>
        <v>1599.984</v>
      </c>
      <c r="H3662" t="str">
        <f>VLOOKUP(C3662,[1]products!$A:$B,2,0)</f>
        <v>Trek X-Caliber 8 - 2017</v>
      </c>
      <c r="I3662">
        <f>VLOOKUP(H3662,[1]products!$B:$D,3,0)</f>
        <v>6</v>
      </c>
      <c r="J3662" t="str">
        <f>VLOOKUP(I3662,[2]categories!$A$2:$B$8,2,0)</f>
        <v>Mountain Bikes</v>
      </c>
    </row>
    <row r="3663" spans="1:10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 s="1">
        <f t="shared" si="57"/>
        <v>832.1905</v>
      </c>
      <c r="H3663" t="str">
        <f>VLOOKUP(C3663,[1]products!$A:$B,2,0)</f>
        <v>Surly Steamroller - 2017</v>
      </c>
      <c r="I3663">
        <f>VLOOKUP(H3663,[1]products!$B:$D,3,0)</f>
        <v>7</v>
      </c>
      <c r="J3663" t="str">
        <f>VLOOKUP(I3663,[2]categories!$A$2:$B$8,2,0)</f>
        <v>Road Bikes</v>
      </c>
    </row>
    <row r="3664" spans="1:10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 s="1">
        <f t="shared" si="57"/>
        <v>2645.982</v>
      </c>
      <c r="H3664" t="str">
        <f>VLOOKUP(C3664,[1]products!$A:$B,2,0)</f>
        <v>Haro Shift R3 - 2017</v>
      </c>
      <c r="I3664">
        <f>VLOOKUP(H3664,[1]products!$B:$D,3,0)</f>
        <v>6</v>
      </c>
      <c r="J3664" t="str">
        <f>VLOOKUP(I3664,[2]categories!$A$2:$B$8,2,0)</f>
        <v>Mountain Bikes</v>
      </c>
    </row>
    <row r="3665" spans="1:10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0.07</v>
      </c>
      <c r="G3665" s="1">
        <f t="shared" si="57"/>
        <v>1153.1814</v>
      </c>
      <c r="H3665" t="str">
        <f>VLOOKUP(C3665,[1]products!$A:$B,2,0)</f>
        <v>Sun Bicycles Biscayne Tandem 7 - 2017</v>
      </c>
      <c r="I3665">
        <f>VLOOKUP(H3665,[1]products!$B:$D,3,0)</f>
        <v>3</v>
      </c>
      <c r="J3665" t="str">
        <f>VLOOKUP(I3665,[2]categories!$A$2:$B$8,2,0)</f>
        <v>Cruisers Bicycles</v>
      </c>
    </row>
    <row r="3666" spans="1:10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 s="1">
        <f t="shared" si="57"/>
        <v>167.992</v>
      </c>
      <c r="H3666" t="str">
        <f>VLOOKUP(C3666,[1]products!$A:$B,2,0)</f>
        <v>Trek Precaliber 16 Girls - 2017</v>
      </c>
      <c r="I3666">
        <f>VLOOKUP(H3666,[1]products!$B:$D,3,0)</f>
        <v>1</v>
      </c>
      <c r="J3666" t="str">
        <f>VLOOKUP(I3666,[2]categories!$A$2:$B$8,2,0)</f>
        <v>Children Bicycles</v>
      </c>
    </row>
    <row r="3667" spans="1:10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 s="1">
        <f t="shared" si="57"/>
        <v>1199.992</v>
      </c>
      <c r="H3667" t="str">
        <f>VLOOKUP(C3667,[1]products!$A:$B,2,0)</f>
        <v>Trek Emonda S 4 - 2017</v>
      </c>
      <c r="I3667">
        <f>VLOOKUP(H3667,[1]products!$B:$D,3,0)</f>
        <v>7</v>
      </c>
      <c r="J3667" t="str">
        <f>VLOOKUP(I3667,[2]categories!$A$2:$B$8,2,0)</f>
        <v>Road Bikes</v>
      </c>
    </row>
    <row r="3668" spans="1:10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 s="1">
        <f t="shared" si="57"/>
        <v>782.991</v>
      </c>
      <c r="H3668" t="str">
        <f>VLOOKUP(C3668,[1]products!$A:$B,2,0)</f>
        <v>Haro SR 1.2 - 2017</v>
      </c>
      <c r="I3668">
        <f>VLOOKUP(H3668,[1]products!$B:$D,3,0)</f>
        <v>6</v>
      </c>
      <c r="J3668" t="str">
        <f>VLOOKUP(I3668,[2]categories!$A$2:$B$8,2,0)</f>
        <v>Mountain Bikes</v>
      </c>
    </row>
    <row r="3669" spans="1:10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0.07</v>
      </c>
      <c r="G3669" s="1">
        <f t="shared" si="57"/>
        <v>929.9907</v>
      </c>
      <c r="H3669" t="str">
        <f>VLOOKUP(C3669,[1]products!$A:$B,2,0)</f>
        <v>Surly Big Dummy Frameset - 2017</v>
      </c>
      <c r="I3669">
        <f>VLOOKUP(H3669,[1]products!$B:$D,3,0)</f>
        <v>6</v>
      </c>
      <c r="J3669" t="str">
        <f>VLOOKUP(I3669,[2]categories!$A$2:$B$8,2,0)</f>
        <v>Mountain Bikes</v>
      </c>
    </row>
    <row r="3670" spans="1:10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 s="1">
        <f t="shared" si="57"/>
        <v>359.992</v>
      </c>
      <c r="H3670" t="str">
        <f>VLOOKUP(C3670,[1]products!$A:$B,2,0)</f>
        <v>Sun Bicycles Cruz 3 - Women's - 2017</v>
      </c>
      <c r="I3670">
        <f>VLOOKUP(H3670,[1]products!$B:$D,3,0)</f>
        <v>2</v>
      </c>
      <c r="J3670" t="str">
        <f>VLOOKUP(I3670,[2]categories!$A$2:$B$8,2,0)</f>
        <v>Comfort Bicycles</v>
      </c>
    </row>
    <row r="3671" spans="1:10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 s="1">
        <f t="shared" si="57"/>
        <v>284.9905</v>
      </c>
      <c r="H3671" t="str">
        <f>VLOOKUP(C3671,[1]products!$A:$B,2,0)</f>
        <v>Electra Girl's Hawaii 1 16" - 2017</v>
      </c>
      <c r="I3671">
        <f>VLOOKUP(H3671,[1]products!$B:$D,3,0)</f>
        <v>3</v>
      </c>
      <c r="J3671" t="str">
        <f>VLOOKUP(I3671,[2]categories!$A$2:$B$8,2,0)</f>
        <v>Cruisers Bicycles</v>
      </c>
    </row>
    <row r="3672" spans="1:10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0.07</v>
      </c>
      <c r="G3672" s="1">
        <f t="shared" si="57"/>
        <v>836.9814</v>
      </c>
      <c r="H3672" t="str">
        <f>VLOOKUP(C3672,[1]products!$A:$B,2,0)</f>
        <v>Sun Bicycles Cruz 3 - 2017</v>
      </c>
      <c r="I3672">
        <f>VLOOKUP(H3672,[1]products!$B:$D,3,0)</f>
        <v>3</v>
      </c>
      <c r="J3672" t="str">
        <f>VLOOKUP(I3672,[2]categories!$A$2:$B$8,2,0)</f>
        <v>Cruisers Bicycles</v>
      </c>
    </row>
    <row r="3673" spans="1:10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0.07</v>
      </c>
      <c r="G3673" s="1">
        <f t="shared" si="57"/>
        <v>353.3814</v>
      </c>
      <c r="H3673" t="str">
        <f>VLOOKUP(C3673,[1]products!$A:$B,2,0)</f>
        <v>Trek Precaliber 12 Boys - 2017</v>
      </c>
      <c r="I3673">
        <f>VLOOKUP(H3673,[1]products!$B:$D,3,0)</f>
        <v>1</v>
      </c>
      <c r="J3673" t="str">
        <f>VLOOKUP(I3673,[2]categories!$A$2:$B$8,2,0)</f>
        <v>Children Bicycles</v>
      </c>
    </row>
    <row r="3674" spans="1:10">
      <c r="A3674">
        <v>1268</v>
      </c>
      <c r="B3674">
        <v>3</v>
      </c>
      <c r="C3674">
        <v>59</v>
      </c>
      <c r="D3674">
        <v>2</v>
      </c>
      <c r="E3674">
        <v>2599.99</v>
      </c>
      <c r="F3674">
        <v>0.2</v>
      </c>
      <c r="G3674" s="1">
        <f t="shared" si="57"/>
        <v>4159.984</v>
      </c>
      <c r="H3674" t="str">
        <f>VLOOKUP(C3674,[1]products!$A:$B,2,0)</f>
        <v>Trek Domane S 5 Disc - 2017</v>
      </c>
      <c r="I3674">
        <f>VLOOKUP(H3674,[1]products!$B:$D,3,0)</f>
        <v>7</v>
      </c>
      <c r="J3674" t="str">
        <f>VLOOKUP(I3674,[2]categories!$A$2:$B$8,2,0)</f>
        <v>Road Bikes</v>
      </c>
    </row>
    <row r="3675" spans="1:10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0.07</v>
      </c>
      <c r="G3675" s="1">
        <f t="shared" si="57"/>
        <v>455.6907</v>
      </c>
      <c r="H3675" t="str">
        <f>VLOOKUP(C3675,[1]products!$A:$B,2,0)</f>
        <v>Electra Townie 3i EQ (20-inch) - Boys' - 2017</v>
      </c>
      <c r="I3675">
        <f>VLOOKUP(H3675,[1]products!$B:$D,3,0)</f>
        <v>1</v>
      </c>
      <c r="J3675" t="str">
        <f>VLOOKUP(I3675,[2]categories!$A$2:$B$8,2,0)</f>
        <v>Children Bicycles</v>
      </c>
    </row>
    <row r="3676" spans="1:10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 s="1">
        <f t="shared" si="57"/>
        <v>4639.984</v>
      </c>
      <c r="H3676" t="str">
        <f>VLOOKUP(C3676,[1]products!$A:$B,2,0)</f>
        <v>Trek Fuel EX 8 29 - 2016</v>
      </c>
      <c r="I3676">
        <f>VLOOKUP(H3676,[1]products!$B:$D,3,0)</f>
        <v>6</v>
      </c>
      <c r="J3676" t="str">
        <f>VLOOKUP(I3676,[2]categories!$A$2:$B$8,2,0)</f>
        <v>Mountain Bikes</v>
      </c>
    </row>
    <row r="3677" spans="1:10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 s="1">
        <f t="shared" si="57"/>
        <v>3199.992</v>
      </c>
      <c r="H3677" t="str">
        <f>VLOOKUP(C3677,[1]products!$A:$B,2,0)</f>
        <v>Trek Slash 8 27.5 - 2016</v>
      </c>
      <c r="I3677">
        <f>VLOOKUP(H3677,[1]products!$B:$D,3,0)</f>
        <v>6</v>
      </c>
      <c r="J3677" t="str">
        <f>VLOOKUP(I3677,[2]categories!$A$2:$B$8,2,0)</f>
        <v>Mountain Bikes</v>
      </c>
    </row>
    <row r="3678" spans="1:10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 s="1">
        <f t="shared" si="57"/>
        <v>423.891</v>
      </c>
      <c r="H3678" t="str">
        <f>VLOOKUP(C3678,[1]products!$A:$B,2,0)</f>
        <v>Sun Bicycles Drifter 7 - Women's - 2017</v>
      </c>
      <c r="I3678">
        <f>VLOOKUP(H3678,[1]products!$B:$D,3,0)</f>
        <v>2</v>
      </c>
      <c r="J3678" t="str">
        <f>VLOOKUP(I3678,[2]categories!$A$2:$B$8,2,0)</f>
        <v>Comfort Bicycles</v>
      </c>
    </row>
    <row r="3679" spans="1:10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 s="1">
        <f t="shared" si="57"/>
        <v>2559.992</v>
      </c>
      <c r="H3679" t="str">
        <f>VLOOKUP(C3679,[1]products!$A:$B,2,0)</f>
        <v>Trek Domane SL Disc Frameset - 2017</v>
      </c>
      <c r="I3679">
        <f>VLOOKUP(H3679,[1]products!$B:$D,3,0)</f>
        <v>7</v>
      </c>
      <c r="J3679" t="str">
        <f>VLOOKUP(I3679,[2]categories!$A$2:$B$8,2,0)</f>
        <v>Road Bikes</v>
      </c>
    </row>
    <row r="3680" spans="1:10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 s="1">
        <f t="shared" si="57"/>
        <v>899.982</v>
      </c>
      <c r="H3680" t="str">
        <f>VLOOKUP(C3680,[1]products!$A:$B,2,0)</f>
        <v>Electra Townie Original 7D - 2015/2016</v>
      </c>
      <c r="I3680">
        <f>VLOOKUP(H3680,[1]products!$B:$D,3,0)</f>
        <v>2</v>
      </c>
      <c r="J3680" t="str">
        <f>VLOOKUP(I3680,[2]categories!$A$2:$B$8,2,0)</f>
        <v>Comfort Bicycles</v>
      </c>
    </row>
    <row r="3681" spans="1:10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0.07</v>
      </c>
      <c r="G3681" s="1">
        <f t="shared" si="57"/>
        <v>11159.9814</v>
      </c>
      <c r="H3681" t="str">
        <f>VLOOKUP(C3681,[1]products!$A:$B,2,0)</f>
        <v>Trek Silque SLR 7 Women's - 2017</v>
      </c>
      <c r="I3681">
        <f>VLOOKUP(H3681,[1]products!$B:$D,3,0)</f>
        <v>7</v>
      </c>
      <c r="J3681" t="str">
        <f>VLOOKUP(I3681,[2]categories!$A$2:$B$8,2,0)</f>
        <v>Road Bikes</v>
      </c>
    </row>
    <row r="3682" spans="1:10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0.07</v>
      </c>
      <c r="G3682" s="1">
        <f t="shared" si="57"/>
        <v>353.3814</v>
      </c>
      <c r="H3682" t="str">
        <f>VLOOKUP(C3682,[1]products!$A:$B,2,0)</f>
        <v>Trek Precaliber 12 Boys - 2017</v>
      </c>
      <c r="I3682">
        <f>VLOOKUP(H3682,[1]products!$B:$D,3,0)</f>
        <v>1</v>
      </c>
      <c r="J3682" t="str">
        <f>VLOOKUP(I3682,[2]categories!$A$2:$B$8,2,0)</f>
        <v>Children Bicycles</v>
      </c>
    </row>
    <row r="3683" spans="1:10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0.07</v>
      </c>
      <c r="G3683" s="1">
        <f t="shared" si="57"/>
        <v>874.1814</v>
      </c>
      <c r="H3683" t="str">
        <f>VLOOKUP(C3683,[1]products!$A:$B,2,0)</f>
        <v>Trek Farley Alloy Frameset - 2017</v>
      </c>
      <c r="I3683">
        <f>VLOOKUP(H3683,[1]products!$B:$D,3,0)</f>
        <v>6</v>
      </c>
      <c r="J3683" t="str">
        <f>VLOOKUP(I3683,[2]categories!$A$2:$B$8,2,0)</f>
        <v>Mountain Bikes</v>
      </c>
    </row>
    <row r="3684" spans="1:10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 s="1">
        <f t="shared" si="57"/>
        <v>959.984</v>
      </c>
      <c r="H3684" t="str">
        <f>VLOOKUP(C3684,[1]products!$A:$B,2,0)</f>
        <v>Electra Townie Original 7D EQ - 2016</v>
      </c>
      <c r="I3684">
        <f>VLOOKUP(H3684,[1]products!$B:$D,3,0)</f>
        <v>3</v>
      </c>
      <c r="J3684" t="str">
        <f>VLOOKUP(I3684,[2]categories!$A$2:$B$8,2,0)</f>
        <v>Cruisers Bicycles</v>
      </c>
    </row>
    <row r="3685" spans="1:10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 s="1">
        <f t="shared" si="57"/>
        <v>750.582</v>
      </c>
      <c r="H3685" t="str">
        <f>VLOOKUP(C3685,[1]products!$A:$B,2,0)</f>
        <v>Sun Bicycles Atlas X-Type - 2017</v>
      </c>
      <c r="I3685">
        <f>VLOOKUP(H3685,[1]products!$B:$D,3,0)</f>
        <v>3</v>
      </c>
      <c r="J3685" t="str">
        <f>VLOOKUP(I3685,[2]categories!$A$2:$B$8,2,0)</f>
        <v>Cruisers Bicycles</v>
      </c>
    </row>
    <row r="3686" spans="1:10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0.07</v>
      </c>
      <c r="G3686" s="1">
        <f t="shared" si="57"/>
        <v>139.4907</v>
      </c>
      <c r="H3686" t="str">
        <f>VLOOKUP(C3686,[1]products!$A:$B,2,0)</f>
        <v>Trek Girl's Kickster - 2017</v>
      </c>
      <c r="I3686">
        <f>VLOOKUP(H3686,[1]products!$B:$D,3,0)</f>
        <v>1</v>
      </c>
      <c r="J3686" t="str">
        <f>VLOOKUP(I3686,[2]categories!$A$2:$B$8,2,0)</f>
        <v>Children Bicycles</v>
      </c>
    </row>
    <row r="3687" spans="1:10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0.07</v>
      </c>
      <c r="G3687" s="1">
        <f t="shared" si="57"/>
        <v>557.9814</v>
      </c>
      <c r="H3687" t="str">
        <f>VLOOKUP(C3687,[1]products!$A:$B,2,0)</f>
        <v>Electra Girl's Hawaii 1 16" - 2017</v>
      </c>
      <c r="I3687">
        <f>VLOOKUP(H3687,[1]products!$B:$D,3,0)</f>
        <v>3</v>
      </c>
      <c r="J3687" t="str">
        <f>VLOOKUP(I3687,[2]categories!$A$2:$B$8,2,0)</f>
        <v>Cruisers Bicycles</v>
      </c>
    </row>
    <row r="3688" spans="1:10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0.07</v>
      </c>
      <c r="G3688" s="1">
        <f t="shared" si="57"/>
        <v>557.9907</v>
      </c>
      <c r="H3688" t="str">
        <f>VLOOKUP(C3688,[1]products!$A:$B,2,0)</f>
        <v>Electra Townie Original 7D EQ - Women's - 2016</v>
      </c>
      <c r="I3688">
        <f>VLOOKUP(H3688,[1]products!$B:$D,3,0)</f>
        <v>3</v>
      </c>
      <c r="J3688" t="str">
        <f>VLOOKUP(I3688,[2]categories!$A$2:$B$8,2,0)</f>
        <v>Cruisers Bicycles</v>
      </c>
    </row>
    <row r="3689" spans="1:10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 s="1">
        <f t="shared" si="57"/>
        <v>3999.992</v>
      </c>
      <c r="H3689" t="str">
        <f>VLOOKUP(C3689,[1]products!$A:$B,2,0)</f>
        <v>Trek Madone 9.2 - 2017</v>
      </c>
      <c r="I3689">
        <f>VLOOKUP(H3689,[1]products!$B:$D,3,0)</f>
        <v>7</v>
      </c>
      <c r="J3689" t="str">
        <f>VLOOKUP(I3689,[2]categories!$A$2:$B$8,2,0)</f>
        <v>Road Bikes</v>
      </c>
    </row>
    <row r="3690" spans="1:10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 s="1">
        <f t="shared" si="57"/>
        <v>989.991</v>
      </c>
      <c r="H3690" t="str">
        <f>VLOOKUP(C3690,[1]products!$A:$B,2,0)</f>
        <v>Electra Amsterdam Fashion 7i Ladies' - 2017</v>
      </c>
      <c r="I3690">
        <f>VLOOKUP(H3690,[1]products!$B:$D,3,0)</f>
        <v>3</v>
      </c>
      <c r="J3690" t="str">
        <f>VLOOKUP(I3690,[2]categories!$A$2:$B$8,2,0)</f>
        <v>Cruisers Bicycles</v>
      </c>
    </row>
    <row r="3691" spans="1:10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0.07</v>
      </c>
      <c r="G3691" s="1">
        <f t="shared" si="57"/>
        <v>4649.9907</v>
      </c>
      <c r="H3691" t="str">
        <f>VLOOKUP(C3691,[1]products!$A:$B,2,0)</f>
        <v>Trek Madone 9.2 - 2017</v>
      </c>
      <c r="I3691">
        <f>VLOOKUP(H3691,[1]products!$B:$D,3,0)</f>
        <v>7</v>
      </c>
      <c r="J3691" t="str">
        <f>VLOOKUP(I3691,[2]categories!$A$2:$B$8,2,0)</f>
        <v>Road Bikes</v>
      </c>
    </row>
    <row r="3692" spans="1:10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 s="1">
        <f t="shared" si="57"/>
        <v>899.991</v>
      </c>
      <c r="H3692" t="str">
        <f>VLOOKUP(C3692,[1]products!$A:$B,2,0)</f>
        <v>Surly Ice Cream Truck Frameset - 2017</v>
      </c>
      <c r="I3692">
        <f>VLOOKUP(H3692,[1]products!$B:$D,3,0)</f>
        <v>6</v>
      </c>
      <c r="J3692" t="str">
        <f>VLOOKUP(I3692,[2]categories!$A$2:$B$8,2,0)</f>
        <v>Mountain Bikes</v>
      </c>
    </row>
    <row r="3693" spans="1:10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 s="1">
        <f t="shared" si="57"/>
        <v>718.4</v>
      </c>
      <c r="H3693" t="str">
        <f>VLOOKUP(C3693,[1]products!$A:$B,2,0)</f>
        <v>Pure Cycles Western 3-Speed - Women's - 2015/2016</v>
      </c>
      <c r="I3693">
        <f>VLOOKUP(H3693,[1]products!$B:$D,3,0)</f>
        <v>3</v>
      </c>
      <c r="J3693" t="str">
        <f>VLOOKUP(I3693,[2]categories!$A$2:$B$8,2,0)</f>
        <v>Cruisers Bicycles</v>
      </c>
    </row>
    <row r="3694" spans="1:10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 s="1">
        <f t="shared" si="57"/>
        <v>3999.992</v>
      </c>
      <c r="H3694" t="str">
        <f>VLOOKUP(C3694,[1]products!$A:$B,2,0)</f>
        <v>Trek Madone 9.2 - 2017</v>
      </c>
      <c r="I3694">
        <f>VLOOKUP(H3694,[1]products!$B:$D,3,0)</f>
        <v>7</v>
      </c>
      <c r="J3694" t="str">
        <f>VLOOKUP(I3694,[2]categories!$A$2:$B$8,2,0)</f>
        <v>Road Bikes</v>
      </c>
    </row>
    <row r="3695" spans="1:10">
      <c r="A3695">
        <v>1276</v>
      </c>
      <c r="B3695">
        <v>3</v>
      </c>
      <c r="C3695">
        <v>42</v>
      </c>
      <c r="D3695">
        <v>1</v>
      </c>
      <c r="E3695">
        <v>2299.99</v>
      </c>
      <c r="F3695">
        <v>0.05</v>
      </c>
      <c r="G3695" s="1">
        <f t="shared" si="57"/>
        <v>2184.9905</v>
      </c>
      <c r="H3695" t="str">
        <f>VLOOKUP(C3695,[1]products!$A:$B,2,0)</f>
        <v>Trek Fuel EX 5 27.5 Plus - 2017</v>
      </c>
      <c r="I3695">
        <f>VLOOKUP(H3695,[1]products!$B:$D,3,0)</f>
        <v>6</v>
      </c>
      <c r="J3695" t="str">
        <f>VLOOKUP(I3695,[2]categories!$A$2:$B$8,2,0)</f>
        <v>Mountain Bikes</v>
      </c>
    </row>
    <row r="3696" spans="1:10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 s="1">
        <f t="shared" si="57"/>
        <v>879.984</v>
      </c>
      <c r="H3696" t="str">
        <f>VLOOKUP(C3696,[1]products!$A:$B,2,0)</f>
        <v>Electra Townie Original 21D - 2016</v>
      </c>
      <c r="I3696">
        <f>VLOOKUP(H3696,[1]products!$B:$D,3,0)</f>
        <v>3</v>
      </c>
      <c r="J3696" t="str">
        <f>VLOOKUP(I3696,[2]categories!$A$2:$B$8,2,0)</f>
        <v>Cruisers Bicycles</v>
      </c>
    </row>
    <row r="3697" spans="1:10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 s="1">
        <f t="shared" si="57"/>
        <v>1036.784</v>
      </c>
      <c r="H3697" t="str">
        <f>VLOOKUP(C3697,[1]products!$A:$B,2,0)</f>
        <v>Sun Bicycles Biscayne Tandem CB - 2017</v>
      </c>
      <c r="I3697">
        <f>VLOOKUP(H3697,[1]products!$B:$D,3,0)</f>
        <v>3</v>
      </c>
      <c r="J3697" t="str">
        <f>VLOOKUP(I3697,[2]categories!$A$2:$B$8,2,0)</f>
        <v>Cruisers Bicycles</v>
      </c>
    </row>
    <row r="3698" spans="1:10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 s="1">
        <f t="shared" si="57"/>
        <v>8799.984</v>
      </c>
      <c r="H3698" t="str">
        <f>VLOOKUP(C3698,[1]products!$A:$B,2,0)</f>
        <v>Trek Domane SLR 6 Disc - 2017</v>
      </c>
      <c r="I3698">
        <f>VLOOKUP(H3698,[1]products!$B:$D,3,0)</f>
        <v>7</v>
      </c>
      <c r="J3698" t="str">
        <f>VLOOKUP(I3698,[2]categories!$A$2:$B$8,2,0)</f>
        <v>Road Bikes</v>
      </c>
    </row>
    <row r="3699" spans="1:10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 s="1">
        <f t="shared" si="57"/>
        <v>398.981</v>
      </c>
      <c r="H3699" t="str">
        <f>VLOOKUP(C3699,[1]products!$A:$B,2,0)</f>
        <v>Haro Shredder 20 Girls - 2017</v>
      </c>
      <c r="I3699">
        <f>VLOOKUP(H3699,[1]products!$B:$D,3,0)</f>
        <v>1</v>
      </c>
      <c r="J3699" t="str">
        <f>VLOOKUP(I3699,[2]categories!$A$2:$B$8,2,0)</f>
        <v>Children Bicycles</v>
      </c>
    </row>
    <row r="3700" spans="1:10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 s="1">
        <f t="shared" si="57"/>
        <v>5399.982</v>
      </c>
      <c r="H3700" t="str">
        <f>VLOOKUP(C3700,[1]products!$A:$B,2,0)</f>
        <v>Trek Conduit+ - 2016</v>
      </c>
      <c r="I3700">
        <f>VLOOKUP(H3700,[1]products!$B:$D,3,0)</f>
        <v>5</v>
      </c>
      <c r="J3700" t="str">
        <f>VLOOKUP(I3700,[2]categories!$A$2:$B$8,2,0)</f>
        <v>Electric Bikes</v>
      </c>
    </row>
    <row r="3701" spans="1:10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 s="1">
        <f t="shared" si="57"/>
        <v>2609.991</v>
      </c>
      <c r="H3701" t="str">
        <f>VLOOKUP(C3701,[1]products!$A:$B,2,0)</f>
        <v>Trek Fuel EX 8 29 - 2016</v>
      </c>
      <c r="I3701">
        <f>VLOOKUP(H3701,[1]products!$B:$D,3,0)</f>
        <v>6</v>
      </c>
      <c r="J3701" t="str">
        <f>VLOOKUP(I3701,[2]categories!$A$2:$B$8,2,0)</f>
        <v>Mountain Bikes</v>
      </c>
    </row>
    <row r="3702" spans="1:10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 s="1">
        <f t="shared" si="57"/>
        <v>1344.792</v>
      </c>
      <c r="H3702" t="str">
        <f>VLOOKUP(C3702,[1]products!$A:$B,2,0)</f>
        <v>Surly Straggler 650b - 2016</v>
      </c>
      <c r="I3702">
        <f>VLOOKUP(H3702,[1]products!$B:$D,3,0)</f>
        <v>4</v>
      </c>
      <c r="J3702" t="str">
        <f>VLOOKUP(I3702,[2]categories!$A$2:$B$8,2,0)</f>
        <v>Cyclocross Bicycles</v>
      </c>
    </row>
    <row r="3703" spans="1:10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 s="1">
        <f t="shared" si="57"/>
        <v>993.582</v>
      </c>
      <c r="H3703" t="str">
        <f>VLOOKUP(C3703,[1]products!$A:$B,2,0)</f>
        <v>Sun Bicycles Streamway 3 - 2017</v>
      </c>
      <c r="I3703">
        <f>VLOOKUP(H3703,[1]products!$B:$D,3,0)</f>
        <v>2</v>
      </c>
      <c r="J3703" t="str">
        <f>VLOOKUP(I3703,[2]categories!$A$2:$B$8,2,0)</f>
        <v>Comfort Bicycles</v>
      </c>
    </row>
    <row r="3704" spans="1:10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 s="1">
        <f t="shared" si="57"/>
        <v>422.991</v>
      </c>
      <c r="H3704" t="str">
        <f>VLOOKUP(C3704,[1]products!$A:$B,2,0)</f>
        <v>Trek Farley Alloy Frameset - 2017</v>
      </c>
      <c r="I3704">
        <f>VLOOKUP(H3704,[1]products!$B:$D,3,0)</f>
        <v>6</v>
      </c>
      <c r="J3704" t="str">
        <f>VLOOKUP(I3704,[2]categories!$A$2:$B$8,2,0)</f>
        <v>Mountain Bikes</v>
      </c>
    </row>
    <row r="3705" spans="1:10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 s="1">
        <f t="shared" si="57"/>
        <v>5699.981</v>
      </c>
      <c r="H3705" t="str">
        <f>VLOOKUP(C3705,[1]products!$A:$B,2,0)</f>
        <v>Trek Conduit+ - 2016</v>
      </c>
      <c r="I3705">
        <f>VLOOKUP(H3705,[1]products!$B:$D,3,0)</f>
        <v>5</v>
      </c>
      <c r="J3705" t="str">
        <f>VLOOKUP(I3705,[2]categories!$A$2:$B$8,2,0)</f>
        <v>Electric Bikes</v>
      </c>
    </row>
    <row r="3706" spans="1:10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0.07</v>
      </c>
      <c r="G3706" s="1">
        <f t="shared" si="57"/>
        <v>1153.1814</v>
      </c>
      <c r="H3706" t="str">
        <f>VLOOKUP(C3706,[1]products!$A:$B,2,0)</f>
        <v>Sun Bicycles Biscayne Tandem 7 - 2017</v>
      </c>
      <c r="I3706">
        <f>VLOOKUP(H3706,[1]products!$B:$D,3,0)</f>
        <v>3</v>
      </c>
      <c r="J3706" t="str">
        <f>VLOOKUP(I3706,[2]categories!$A$2:$B$8,2,0)</f>
        <v>Cruisers Bicycles</v>
      </c>
    </row>
    <row r="3707" spans="1:10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 s="1">
        <f t="shared" si="57"/>
        <v>417.9905</v>
      </c>
      <c r="H3707" t="str">
        <f>VLOOKUP(C3707,[1]products!$A:$B,2,0)</f>
        <v>Electra Cruiser Lux 1 - 2017</v>
      </c>
      <c r="I3707">
        <f>VLOOKUP(H3707,[1]products!$B:$D,3,0)</f>
        <v>3</v>
      </c>
      <c r="J3707" t="str">
        <f>VLOOKUP(I3707,[2]categories!$A$2:$B$8,2,0)</f>
        <v>Cruisers Bicycles</v>
      </c>
    </row>
    <row r="3708" spans="1:10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0.07</v>
      </c>
      <c r="G3708" s="1">
        <f t="shared" si="57"/>
        <v>814.6707</v>
      </c>
      <c r="H3708" t="str">
        <f>VLOOKUP(C3708,[1]products!$A:$B,2,0)</f>
        <v>Surly Steamroller - 2017</v>
      </c>
      <c r="I3708">
        <f>VLOOKUP(H3708,[1]products!$B:$D,3,0)</f>
        <v>7</v>
      </c>
      <c r="J3708" t="str">
        <f>VLOOKUP(I3708,[2]categories!$A$2:$B$8,2,0)</f>
        <v>Road Bikes</v>
      </c>
    </row>
    <row r="3709" spans="1:10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 s="1">
        <f t="shared" si="57"/>
        <v>2799.992</v>
      </c>
      <c r="H3709" t="str">
        <f>VLOOKUP(C3709,[1]products!$A:$B,2,0)</f>
        <v>Trek Boone Race Shop Limited - 2017</v>
      </c>
      <c r="I3709">
        <f>VLOOKUP(H3709,[1]products!$B:$D,3,0)</f>
        <v>4</v>
      </c>
      <c r="J3709" t="str">
        <f>VLOOKUP(I3709,[2]categories!$A$2:$B$8,2,0)</f>
        <v>Cyclocross Bicycles</v>
      </c>
    </row>
    <row r="3710" spans="1:10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 s="1">
        <f t="shared" si="57"/>
        <v>791.3405</v>
      </c>
      <c r="H3710" t="str">
        <f>VLOOKUP(C3710,[1]products!$A:$B,2,0)</f>
        <v>Surly Troll Frameset - 2017</v>
      </c>
      <c r="I3710">
        <f>VLOOKUP(H3710,[1]products!$B:$D,3,0)</f>
        <v>6</v>
      </c>
      <c r="J3710" t="str">
        <f>VLOOKUP(I3710,[2]categories!$A$2:$B$8,2,0)</f>
        <v>Mountain Bikes</v>
      </c>
    </row>
    <row r="3711" spans="1:10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 s="1">
        <f t="shared" si="57"/>
        <v>6649.981</v>
      </c>
      <c r="H3711" t="str">
        <f>VLOOKUP(C3711,[1]products!$A:$B,2,0)</f>
        <v>Trek Domane SL 6 - 2017</v>
      </c>
      <c r="I3711">
        <f>VLOOKUP(H3711,[1]products!$B:$D,3,0)</f>
        <v>7</v>
      </c>
      <c r="J3711" t="str">
        <f>VLOOKUP(I3711,[2]categories!$A$2:$B$8,2,0)</f>
        <v>Road Bikes</v>
      </c>
    </row>
    <row r="3712" spans="1:10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 s="1">
        <f t="shared" si="57"/>
        <v>569.9905</v>
      </c>
      <c r="H3712" t="str">
        <f>VLOOKUP(C3712,[1]products!$A:$B,2,0)</f>
        <v>Electra Cruiser Lux Fat Tire 1 Ladies - 2017</v>
      </c>
      <c r="I3712">
        <f>VLOOKUP(H3712,[1]products!$B:$D,3,0)</f>
        <v>3</v>
      </c>
      <c r="J3712" t="str">
        <f>VLOOKUP(I3712,[2]categories!$A$2:$B$8,2,0)</f>
        <v>Cruisers Bicycles</v>
      </c>
    </row>
    <row r="3713" spans="1:10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 s="1">
        <f t="shared" si="57"/>
        <v>447.4405</v>
      </c>
      <c r="H3713" t="str">
        <f>VLOOKUP(C3713,[1]products!$A:$B,2,0)</f>
        <v>Sun Bicycles Drifter 7 - Women's - 2017</v>
      </c>
      <c r="I3713">
        <f>VLOOKUP(H3713,[1]products!$B:$D,3,0)</f>
        <v>2</v>
      </c>
      <c r="J3713" t="str">
        <f>VLOOKUP(I3713,[2]categories!$A$2:$B$8,2,0)</f>
        <v>Comfort Bicycles</v>
      </c>
    </row>
    <row r="3714" spans="1:10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 s="1">
        <f t="shared" ref="G3714:G3777" si="58">D3714*E3714*(1-F3714)</f>
        <v>9599.984</v>
      </c>
      <c r="H3714" t="str">
        <f>VLOOKUP(C3714,[1]products!$A:$B,2,0)</f>
        <v>Trek Silque SLR 7 Women's - 2017</v>
      </c>
      <c r="I3714">
        <f>VLOOKUP(H3714,[1]products!$B:$D,3,0)</f>
        <v>7</v>
      </c>
      <c r="J3714" t="str">
        <f>VLOOKUP(I3714,[2]categories!$A$2:$B$8,2,0)</f>
        <v>Road Bikes</v>
      </c>
    </row>
    <row r="3715" spans="1:10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 s="1">
        <f t="shared" si="58"/>
        <v>9499.981</v>
      </c>
      <c r="H3715" t="str">
        <f>VLOOKUP(C3715,[1]products!$A:$B,2,0)</f>
        <v>Trek Powerfly 8 FS Plus - 2017</v>
      </c>
      <c r="I3715">
        <f>VLOOKUP(H3715,[1]products!$B:$D,3,0)</f>
        <v>5</v>
      </c>
      <c r="J3715" t="str">
        <f>VLOOKUP(I3715,[2]categories!$A$2:$B$8,2,0)</f>
        <v>Electric Bikes</v>
      </c>
    </row>
    <row r="3716" spans="1:10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 s="1">
        <f t="shared" si="58"/>
        <v>879.992</v>
      </c>
      <c r="H3716" t="str">
        <f>VLOOKUP(C3716,[1]products!$A:$B,2,0)</f>
        <v>Electra Amsterdam Fashion 7i Ladies' - 2017</v>
      </c>
      <c r="I3716">
        <f>VLOOKUP(H3716,[1]products!$B:$D,3,0)</f>
        <v>3</v>
      </c>
      <c r="J3716" t="str">
        <f>VLOOKUP(I3716,[2]categories!$A$2:$B$8,2,0)</f>
        <v>Cruisers Bicycles</v>
      </c>
    </row>
    <row r="3717" spans="1:10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 s="1">
        <f t="shared" si="58"/>
        <v>3599.991</v>
      </c>
      <c r="H3717" t="str">
        <f>VLOOKUP(C3717,[1]products!$A:$B,2,0)</f>
        <v>Trek Slash 8 27.5 - 2016</v>
      </c>
      <c r="I3717">
        <f>VLOOKUP(H3717,[1]products!$B:$D,3,0)</f>
        <v>6</v>
      </c>
      <c r="J3717" t="str">
        <f>VLOOKUP(I3717,[2]categories!$A$2:$B$8,2,0)</f>
        <v>Mountain Bikes</v>
      </c>
    </row>
    <row r="3718" spans="1:10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 s="1">
        <f t="shared" si="58"/>
        <v>422.991</v>
      </c>
      <c r="H3718" t="str">
        <f>VLOOKUP(C3718,[1]products!$A:$B,2,0)</f>
        <v>Trek Farley Alloy Frameset - 2017</v>
      </c>
      <c r="I3718">
        <f>VLOOKUP(H3718,[1]products!$B:$D,3,0)</f>
        <v>6</v>
      </c>
      <c r="J3718" t="str">
        <f>VLOOKUP(I3718,[2]categories!$A$2:$B$8,2,0)</f>
        <v>Mountain Bikes</v>
      </c>
    </row>
    <row r="3719" spans="1:10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 s="1">
        <f t="shared" si="58"/>
        <v>1344.792</v>
      </c>
      <c r="H3719" t="str">
        <f>VLOOKUP(C3719,[1]products!$A:$B,2,0)</f>
        <v>Surly Straggler 650b - 2016</v>
      </c>
      <c r="I3719">
        <f>VLOOKUP(H3719,[1]products!$B:$D,3,0)</f>
        <v>4</v>
      </c>
      <c r="J3719" t="str">
        <f>VLOOKUP(I3719,[2]categories!$A$2:$B$8,2,0)</f>
        <v>Cyclocross Bicycles</v>
      </c>
    </row>
    <row r="3720" spans="1:10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0.07</v>
      </c>
      <c r="G3720" s="1">
        <f t="shared" si="58"/>
        <v>316.1907</v>
      </c>
      <c r="H3720" t="str">
        <f>VLOOKUP(C3720,[1]products!$A:$B,2,0)</f>
        <v>Electra Townie 7D (20-inch) - Boys' - 2017</v>
      </c>
      <c r="I3720">
        <f>VLOOKUP(H3720,[1]products!$B:$D,3,0)</f>
        <v>1</v>
      </c>
      <c r="J3720" t="str">
        <f>VLOOKUP(I3720,[2]categories!$A$2:$B$8,2,0)</f>
        <v>Children Bicycles</v>
      </c>
    </row>
    <row r="3721" spans="1:10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 s="1">
        <f t="shared" si="58"/>
        <v>1709.9905</v>
      </c>
      <c r="H3721" t="str">
        <f>VLOOKUP(C3721,[1]products!$A:$B,2,0)</f>
        <v>Trek Remedy 29 Carbon Frameset - 2016</v>
      </c>
      <c r="I3721">
        <f>VLOOKUP(H3721,[1]products!$B:$D,3,0)</f>
        <v>6</v>
      </c>
      <c r="J3721" t="str">
        <f>VLOOKUP(I3721,[2]categories!$A$2:$B$8,2,0)</f>
        <v>Mountain Bikes</v>
      </c>
    </row>
    <row r="3722" spans="1:10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 s="1">
        <f t="shared" si="58"/>
        <v>5509.981</v>
      </c>
      <c r="H3722" t="str">
        <f>VLOOKUP(C3722,[1]products!$A:$B,2,0)</f>
        <v>Trek Fuel EX 8 29 - 2016</v>
      </c>
      <c r="I3722">
        <f>VLOOKUP(H3722,[1]products!$B:$D,3,0)</f>
        <v>6</v>
      </c>
      <c r="J3722" t="str">
        <f>VLOOKUP(I3722,[2]categories!$A$2:$B$8,2,0)</f>
        <v>Mountain Bikes</v>
      </c>
    </row>
    <row r="3723" spans="1:10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0.07</v>
      </c>
      <c r="G3723" s="1">
        <f t="shared" si="58"/>
        <v>1205.2614</v>
      </c>
      <c r="H3723" t="str">
        <f>VLOOKUP(C3723,[1]products!$A:$B,2,0)</f>
        <v>Sun Bicycles Biscayne Tandem CB - 2017</v>
      </c>
      <c r="I3723">
        <f>VLOOKUP(H3723,[1]products!$B:$D,3,0)</f>
        <v>3</v>
      </c>
      <c r="J3723" t="str">
        <f>VLOOKUP(I3723,[2]categories!$A$2:$B$8,2,0)</f>
        <v>Cruisers Bicycles</v>
      </c>
    </row>
    <row r="3724" spans="1:10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 s="1">
        <f t="shared" si="58"/>
        <v>188.991</v>
      </c>
      <c r="H3724" t="str">
        <f>VLOOKUP(C3724,[1]products!$A:$B,2,0)</f>
        <v>Haro Shredder 20 Girls - 2017</v>
      </c>
      <c r="I3724">
        <f>VLOOKUP(H3724,[1]products!$B:$D,3,0)</f>
        <v>1</v>
      </c>
      <c r="J3724" t="str">
        <f>VLOOKUP(I3724,[2]categories!$A$2:$B$8,2,0)</f>
        <v>Children Bicycles</v>
      </c>
    </row>
    <row r="3725" spans="1:10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 s="1">
        <f t="shared" si="58"/>
        <v>667.184</v>
      </c>
      <c r="H3725" t="str">
        <f>VLOOKUP(C3725,[1]products!$A:$B,2,0)</f>
        <v>Sun Bicycles Cruz 7 - 2017</v>
      </c>
      <c r="I3725">
        <f>VLOOKUP(H3725,[1]products!$B:$D,3,0)</f>
        <v>3</v>
      </c>
      <c r="J3725" t="str">
        <f>VLOOKUP(I3725,[2]categories!$A$2:$B$8,2,0)</f>
        <v>Cruisers Bicycles</v>
      </c>
    </row>
    <row r="3726" spans="1:10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 s="1">
        <f t="shared" si="58"/>
        <v>422.991</v>
      </c>
      <c r="H3726" t="str">
        <f>VLOOKUP(C3726,[1]products!$A:$B,2,0)</f>
        <v>Surly Ice Cream Truck Frameset - 2016</v>
      </c>
      <c r="I3726">
        <f>VLOOKUP(H3726,[1]products!$B:$D,3,0)</f>
        <v>6</v>
      </c>
      <c r="J3726" t="str">
        <f>VLOOKUP(I3726,[2]categories!$A$2:$B$8,2,0)</f>
        <v>Mountain Bikes</v>
      </c>
    </row>
    <row r="3727" spans="1:10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 s="1">
        <f t="shared" si="58"/>
        <v>667.184</v>
      </c>
      <c r="H3727" t="str">
        <f>VLOOKUP(C3727,[1]products!$A:$B,2,0)</f>
        <v>Sun Bicycles Cruz 7 - Women's - 2017</v>
      </c>
      <c r="I3727">
        <f>VLOOKUP(H3727,[1]products!$B:$D,3,0)</f>
        <v>2</v>
      </c>
      <c r="J3727" t="str">
        <f>VLOOKUP(I3727,[2]categories!$A$2:$B$8,2,0)</f>
        <v>Comfort Bicycles</v>
      </c>
    </row>
    <row r="3728" spans="1:10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0.07</v>
      </c>
      <c r="G3728" s="1">
        <f t="shared" si="58"/>
        <v>2045.9814</v>
      </c>
      <c r="H3728" t="str">
        <f>VLOOKUP(C3728,[1]products!$A:$B,2,0)</f>
        <v>Electra Amsterdam Fashion 7i Ladies' - 2017</v>
      </c>
      <c r="I3728">
        <f>VLOOKUP(H3728,[1]products!$B:$D,3,0)</f>
        <v>3</v>
      </c>
      <c r="J3728" t="str">
        <f>VLOOKUP(I3728,[2]categories!$A$2:$B$8,2,0)</f>
        <v>Cruisers Bicycles</v>
      </c>
    </row>
    <row r="3729" spans="1:10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0.07</v>
      </c>
      <c r="G3729" s="1">
        <f t="shared" si="58"/>
        <v>176.6907</v>
      </c>
      <c r="H3729" t="str">
        <f>VLOOKUP(C3729,[1]products!$A:$B,2,0)</f>
        <v>Trek Precaliber 12 Boys - 2017</v>
      </c>
      <c r="I3729">
        <f>VLOOKUP(H3729,[1]products!$B:$D,3,0)</f>
        <v>1</v>
      </c>
      <c r="J3729" t="str">
        <f>VLOOKUP(I3729,[2]categories!$A$2:$B$8,2,0)</f>
        <v>Children Bicycles</v>
      </c>
    </row>
    <row r="3730" spans="1:10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 s="1">
        <f t="shared" si="58"/>
        <v>1599.984</v>
      </c>
      <c r="H3730" t="str">
        <f>VLOOKUP(C3730,[1]products!$A:$B,2,0)</f>
        <v>Surly Big Dummy Frameset - 2017</v>
      </c>
      <c r="I3730">
        <f>VLOOKUP(H3730,[1]products!$B:$D,3,0)</f>
        <v>6</v>
      </c>
      <c r="J3730" t="str">
        <f>VLOOKUP(I3730,[2]categories!$A$2:$B$8,2,0)</f>
        <v>Mountain Bikes</v>
      </c>
    </row>
    <row r="3731" spans="1:10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 s="1">
        <f t="shared" si="58"/>
        <v>6299.982</v>
      </c>
      <c r="H3731" t="str">
        <f>VLOOKUP(C3731,[1]products!$A:$B,2,0)</f>
        <v>Trek Boone 7 - 2017</v>
      </c>
      <c r="I3731">
        <f>VLOOKUP(H3731,[1]products!$B:$D,3,0)</f>
        <v>4</v>
      </c>
      <c r="J3731" t="str">
        <f>VLOOKUP(I3731,[2]categories!$A$2:$B$8,2,0)</f>
        <v>Cyclocross Bicycles</v>
      </c>
    </row>
    <row r="3732" spans="1:10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 s="1">
        <f t="shared" si="58"/>
        <v>496.791</v>
      </c>
      <c r="H3732" t="str">
        <f>VLOOKUP(C3732,[1]products!$A:$B,2,0)</f>
        <v>Sun Bicycles Streamway 3 - 2017</v>
      </c>
      <c r="I3732">
        <f>VLOOKUP(H3732,[1]products!$B:$D,3,0)</f>
        <v>2</v>
      </c>
      <c r="J3732" t="str">
        <f>VLOOKUP(I3732,[2]categories!$A$2:$B$8,2,0)</f>
        <v>Comfort Bicycles</v>
      </c>
    </row>
    <row r="3733" spans="1:10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 s="1">
        <f t="shared" si="58"/>
        <v>930.981</v>
      </c>
      <c r="H3733" t="str">
        <f>VLOOKUP(C3733,[1]products!$A:$B,2,0)</f>
        <v>Electra Townie 3i EQ (20-inch) - Boys' - 2017</v>
      </c>
      <c r="I3733">
        <f>VLOOKUP(H3733,[1]products!$B:$D,3,0)</f>
        <v>1</v>
      </c>
      <c r="J3733" t="str">
        <f>VLOOKUP(I3733,[2]categories!$A$2:$B$8,2,0)</f>
        <v>Children Bicycles</v>
      </c>
    </row>
    <row r="3734" spans="1:10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 s="1">
        <f t="shared" si="58"/>
        <v>599.992</v>
      </c>
      <c r="H3734" t="str">
        <f>VLOOKUP(C3734,[1]products!$A:$B,2,0)</f>
        <v>Sun Bicycles Brickell Tandem 7 - 2017</v>
      </c>
      <c r="I3734">
        <f>VLOOKUP(H3734,[1]products!$B:$D,3,0)</f>
        <v>3</v>
      </c>
      <c r="J3734" t="str">
        <f>VLOOKUP(I3734,[2]categories!$A$2:$B$8,2,0)</f>
        <v>Cruisers Bicycles</v>
      </c>
    </row>
    <row r="3735" spans="1:10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 s="1">
        <f t="shared" si="58"/>
        <v>783.984</v>
      </c>
      <c r="H3735" t="str">
        <f>VLOOKUP(C3735,[1]products!$A:$B,2,0)</f>
        <v>Electra Townie Original 7D - 2017</v>
      </c>
      <c r="I3735">
        <f>VLOOKUP(H3735,[1]products!$B:$D,3,0)</f>
        <v>3</v>
      </c>
      <c r="J3735" t="str">
        <f>VLOOKUP(I3735,[2]categories!$A$2:$B$8,2,0)</f>
        <v>Cruisers Bicycles</v>
      </c>
    </row>
    <row r="3736" spans="1:10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 s="1">
        <f t="shared" si="58"/>
        <v>6299.982</v>
      </c>
      <c r="H3736" t="str">
        <f>VLOOKUP(C3736,[1]products!$A:$B,2,0)</f>
        <v>Trek Boone 7 - 2017</v>
      </c>
      <c r="I3736">
        <f>VLOOKUP(H3736,[1]products!$B:$D,3,0)</f>
        <v>4</v>
      </c>
      <c r="J3736" t="str">
        <f>VLOOKUP(I3736,[2]categories!$A$2:$B$8,2,0)</f>
        <v>Cyclocross Bicycles</v>
      </c>
    </row>
    <row r="3737" spans="1:10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0.07</v>
      </c>
      <c r="G3737" s="1">
        <f t="shared" si="58"/>
        <v>797.94</v>
      </c>
      <c r="H3737" t="str">
        <f>VLOOKUP(C3737,[1]products!$A:$B,2,0)</f>
        <v>Pure Cycles Vine 8-Speed - 2016</v>
      </c>
      <c r="I3737">
        <f>VLOOKUP(H3737,[1]products!$B:$D,3,0)</f>
        <v>3</v>
      </c>
      <c r="J3737" t="str">
        <f>VLOOKUP(I3737,[2]categories!$A$2:$B$8,2,0)</f>
        <v>Cruisers Bicycles</v>
      </c>
    </row>
    <row r="3738" spans="1:10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 s="1">
        <f t="shared" si="58"/>
        <v>199.4905</v>
      </c>
      <c r="H3738" t="str">
        <f>VLOOKUP(C3738,[1]products!$A:$B,2,0)</f>
        <v>Trek Precaliber 16 Boys - 2017</v>
      </c>
      <c r="I3738">
        <f>VLOOKUP(H3738,[1]products!$B:$D,3,0)</f>
        <v>1</v>
      </c>
      <c r="J3738" t="str">
        <f>VLOOKUP(I3738,[2]categories!$A$2:$B$8,2,0)</f>
        <v>Children Bicycles</v>
      </c>
    </row>
    <row r="3739" spans="1:10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 s="1">
        <f t="shared" si="58"/>
        <v>899.991</v>
      </c>
      <c r="H3739" t="str">
        <f>VLOOKUP(C3739,[1]products!$A:$B,2,0)</f>
        <v>Surly Wednesday Frameset - 2016</v>
      </c>
      <c r="I3739">
        <f>VLOOKUP(H3739,[1]products!$B:$D,3,0)</f>
        <v>6</v>
      </c>
      <c r="J3739" t="str">
        <f>VLOOKUP(I3739,[2]categories!$A$2:$B$8,2,0)</f>
        <v>Mountain Bikes</v>
      </c>
    </row>
    <row r="3740" spans="1:10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 s="1">
        <f t="shared" si="58"/>
        <v>1139.981</v>
      </c>
      <c r="H3740" t="str">
        <f>VLOOKUP(C3740,[1]products!$A:$B,2,0)</f>
        <v>Electra Cruiser Lux Fat Tire 1 Ladies - 2017</v>
      </c>
      <c r="I3740">
        <f>VLOOKUP(H3740,[1]products!$B:$D,3,0)</f>
        <v>3</v>
      </c>
      <c r="J3740" t="str">
        <f>VLOOKUP(I3740,[2]categories!$A$2:$B$8,2,0)</f>
        <v>Cruisers Bicycles</v>
      </c>
    </row>
    <row r="3741" spans="1:10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 s="1">
        <f t="shared" si="58"/>
        <v>791.3405</v>
      </c>
      <c r="H3741" t="str">
        <f>VLOOKUP(C3741,[1]products!$A:$B,2,0)</f>
        <v>Surly Troll Frameset - 2017</v>
      </c>
      <c r="I3741">
        <f>VLOOKUP(H3741,[1]products!$B:$D,3,0)</f>
        <v>6</v>
      </c>
      <c r="J3741" t="str">
        <f>VLOOKUP(I3741,[2]categories!$A$2:$B$8,2,0)</f>
        <v>Mountain Bikes</v>
      </c>
    </row>
    <row r="3742" spans="1:10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 s="1">
        <f t="shared" si="58"/>
        <v>377.982</v>
      </c>
      <c r="H3742" t="str">
        <f>VLOOKUP(C3742,[1]products!$A:$B,2,0)</f>
        <v>Haro Shredder 20 - 2017</v>
      </c>
      <c r="I3742">
        <f>VLOOKUP(H3742,[1]products!$B:$D,3,0)</f>
        <v>1</v>
      </c>
      <c r="J3742" t="str">
        <f>VLOOKUP(I3742,[2]categories!$A$2:$B$8,2,0)</f>
        <v>Children Bicycles</v>
      </c>
    </row>
    <row r="3743" spans="1:10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 s="1">
        <f t="shared" si="58"/>
        <v>1799.991</v>
      </c>
      <c r="H3743" t="str">
        <f>VLOOKUP(C3743,[1]products!$A:$B,2,0)</f>
        <v>Trek Emonda S 5 - 2017</v>
      </c>
      <c r="I3743">
        <f>VLOOKUP(H3743,[1]products!$B:$D,3,0)</f>
        <v>7</v>
      </c>
      <c r="J3743" t="str">
        <f>VLOOKUP(I3743,[2]categories!$A$2:$B$8,2,0)</f>
        <v>Road Bikes</v>
      </c>
    </row>
    <row r="3744" spans="1:10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 s="1">
        <f t="shared" si="58"/>
        <v>9499.981</v>
      </c>
      <c r="H3744" t="str">
        <f>VLOOKUP(C3744,[1]products!$A:$B,2,0)</f>
        <v>Trek Madone 9.2 - 2017</v>
      </c>
      <c r="I3744">
        <f>VLOOKUP(H3744,[1]products!$B:$D,3,0)</f>
        <v>7</v>
      </c>
      <c r="J3744" t="str">
        <f>VLOOKUP(I3744,[2]categories!$A$2:$B$8,2,0)</f>
        <v>Road Bikes</v>
      </c>
    </row>
    <row r="3745" spans="1:10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0.07</v>
      </c>
      <c r="G3745" s="1">
        <f t="shared" si="58"/>
        <v>613.7907</v>
      </c>
      <c r="H3745" t="str">
        <f>VLOOKUP(C3745,[1]products!$A:$B,2,0)</f>
        <v>Electra Amsterdam Original 3i - 2015/2017</v>
      </c>
      <c r="I3745">
        <f>VLOOKUP(H3745,[1]products!$B:$D,3,0)</f>
        <v>3</v>
      </c>
      <c r="J3745" t="str">
        <f>VLOOKUP(I3745,[2]categories!$A$2:$B$8,2,0)</f>
        <v>Cruisers Bicycles</v>
      </c>
    </row>
    <row r="3746" spans="1:10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 s="1">
        <f t="shared" si="58"/>
        <v>341.982</v>
      </c>
      <c r="H3746" t="str">
        <f>VLOOKUP(C3746,[1]products!$A:$B,2,0)</f>
        <v>Trek Precaliber 12 Girls - 2017</v>
      </c>
      <c r="I3746">
        <f>VLOOKUP(H3746,[1]products!$B:$D,3,0)</f>
        <v>1</v>
      </c>
      <c r="J3746" t="str">
        <f>VLOOKUP(I3746,[2]categories!$A$2:$B$8,2,0)</f>
        <v>Children Bicycles</v>
      </c>
    </row>
    <row r="3747" spans="1:10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 s="1">
        <f t="shared" si="58"/>
        <v>835.981</v>
      </c>
      <c r="H3747" t="str">
        <f>VLOOKUP(C3747,[1]products!$A:$B,2,0)</f>
        <v>Electra Cruiser Lux 1 - 2017</v>
      </c>
      <c r="I3747">
        <f>VLOOKUP(H3747,[1]products!$B:$D,3,0)</f>
        <v>3</v>
      </c>
      <c r="J3747" t="str">
        <f>VLOOKUP(I3747,[2]categories!$A$2:$B$8,2,0)</f>
        <v>Cruisers Bicycles</v>
      </c>
    </row>
    <row r="3748" spans="1:10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0.07</v>
      </c>
      <c r="G3748" s="1">
        <f t="shared" si="58"/>
        <v>1022.9814</v>
      </c>
      <c r="H3748" t="str">
        <f>VLOOKUP(C3748,[1]products!$A:$B,2,0)</f>
        <v>Haro Flightline Two 26 Plus - 2017</v>
      </c>
      <c r="I3748">
        <f>VLOOKUP(H3748,[1]products!$B:$D,3,0)</f>
        <v>6</v>
      </c>
      <c r="J3748" t="str">
        <f>VLOOKUP(I3748,[2]categories!$A$2:$B$8,2,0)</f>
        <v>Mountain Bikes</v>
      </c>
    </row>
    <row r="3749" spans="1:10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 s="1">
        <f t="shared" si="58"/>
        <v>569.981</v>
      </c>
      <c r="H3749" t="str">
        <f>VLOOKUP(C3749,[1]products!$A:$B,2,0)</f>
        <v>Electra Girl's Hawaii 1 16" - 2017</v>
      </c>
      <c r="I3749">
        <f>VLOOKUP(H3749,[1]products!$B:$D,3,0)</f>
        <v>3</v>
      </c>
      <c r="J3749" t="str">
        <f>VLOOKUP(I3749,[2]categories!$A$2:$B$8,2,0)</f>
        <v>Cruisers Bicycles</v>
      </c>
    </row>
    <row r="3750" spans="1:10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 s="1">
        <f t="shared" si="58"/>
        <v>512.9905</v>
      </c>
      <c r="H3750" t="str">
        <f>VLOOKUP(C3750,[1]products!$A:$B,2,0)</f>
        <v>Haro SR 1.1 - 2017</v>
      </c>
      <c r="I3750">
        <f>VLOOKUP(H3750,[1]products!$B:$D,3,0)</f>
        <v>6</v>
      </c>
      <c r="J3750" t="str">
        <f>VLOOKUP(I3750,[2]categories!$A$2:$B$8,2,0)</f>
        <v>Mountain Bikes</v>
      </c>
    </row>
    <row r="3751" spans="1:10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 s="1">
        <f t="shared" si="58"/>
        <v>2113.584</v>
      </c>
      <c r="H3751" t="str">
        <f>VLOOKUP(C3751,[1]products!$A:$B,2,0)</f>
        <v>Heller Shagamaw Frame - 2016</v>
      </c>
      <c r="I3751">
        <f>VLOOKUP(H3751,[1]products!$B:$D,3,0)</f>
        <v>6</v>
      </c>
      <c r="J3751" t="str">
        <f>VLOOKUP(I3751,[2]categories!$A$2:$B$8,2,0)</f>
        <v>Mountain Bikes</v>
      </c>
    </row>
    <row r="3752" spans="1:10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 s="1">
        <f t="shared" si="58"/>
        <v>3999.992</v>
      </c>
      <c r="H3752" t="str">
        <f>VLOOKUP(C3752,[1]products!$A:$B,2,0)</f>
        <v>Trek Powerfly 8 FS Plus - 2017</v>
      </c>
      <c r="I3752">
        <f>VLOOKUP(H3752,[1]products!$B:$D,3,0)</f>
        <v>5</v>
      </c>
      <c r="J3752" t="str">
        <f>VLOOKUP(I3752,[2]categories!$A$2:$B$8,2,0)</f>
        <v>Electric Bikes</v>
      </c>
    </row>
    <row r="3753" spans="1:10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 s="1">
        <f t="shared" si="58"/>
        <v>832.1905</v>
      </c>
      <c r="H3753" t="str">
        <f>VLOOKUP(C3753,[1]products!$A:$B,2,0)</f>
        <v>Surly Steamroller - 2017</v>
      </c>
      <c r="I3753">
        <f>VLOOKUP(H3753,[1]products!$B:$D,3,0)</f>
        <v>7</v>
      </c>
      <c r="J3753" t="str">
        <f>VLOOKUP(I3753,[2]categories!$A$2:$B$8,2,0)</f>
        <v>Road Bikes</v>
      </c>
    </row>
    <row r="3754" spans="1:10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 s="1">
        <f t="shared" si="58"/>
        <v>949.981</v>
      </c>
      <c r="H3754" t="str">
        <f>VLOOKUP(C3754,[1]products!$A:$B,2,0)</f>
        <v>Electra Townie Original 7D - 2015/2016</v>
      </c>
      <c r="I3754">
        <f>VLOOKUP(H3754,[1]products!$B:$D,3,0)</f>
        <v>2</v>
      </c>
      <c r="J3754" t="str">
        <f>VLOOKUP(I3754,[2]categories!$A$2:$B$8,2,0)</f>
        <v>Comfort Bicycles</v>
      </c>
    </row>
    <row r="3755" spans="1:10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 s="1">
        <f t="shared" si="58"/>
        <v>188.991</v>
      </c>
      <c r="H3755" t="str">
        <f>VLOOKUP(C3755,[1]products!$A:$B,2,0)</f>
        <v>Trek Precaliber 16 Girls - 2017</v>
      </c>
      <c r="I3755">
        <f>VLOOKUP(H3755,[1]products!$B:$D,3,0)</f>
        <v>1</v>
      </c>
      <c r="J3755" t="str">
        <f>VLOOKUP(I3755,[2]categories!$A$2:$B$8,2,0)</f>
        <v>Children Bicycles</v>
      </c>
    </row>
    <row r="3756" spans="1:10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 s="1">
        <f t="shared" si="58"/>
        <v>569.9905</v>
      </c>
      <c r="H3756" t="str">
        <f>VLOOKUP(C3756,[1]products!$A:$B,2,0)</f>
        <v>Electra Townie Original 7D EQ - 2016</v>
      </c>
      <c r="I3756">
        <f>VLOOKUP(H3756,[1]products!$B:$D,3,0)</f>
        <v>3</v>
      </c>
      <c r="J3756" t="str">
        <f>VLOOKUP(I3756,[2]categories!$A$2:$B$8,2,0)</f>
        <v>Cruisers Bicycles</v>
      </c>
    </row>
    <row r="3757" spans="1:10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 s="1">
        <f t="shared" si="58"/>
        <v>1349.982</v>
      </c>
      <c r="H3757" t="str">
        <f>VLOOKUP(C3757,[1]products!$A:$B,2,0)</f>
        <v>Ritchey Timberwolf Frameset - 2016</v>
      </c>
      <c r="I3757">
        <f>VLOOKUP(H3757,[1]products!$B:$D,3,0)</f>
        <v>6</v>
      </c>
      <c r="J3757" t="str">
        <f>VLOOKUP(I3757,[2]categories!$A$2:$B$8,2,0)</f>
        <v>Mountain Bikes</v>
      </c>
    </row>
    <row r="3758" spans="1:10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0.07</v>
      </c>
      <c r="G3758" s="1">
        <f t="shared" si="58"/>
        <v>896.5014</v>
      </c>
      <c r="H3758" t="str">
        <f>VLOOKUP(C3758,[1]products!$A:$B,2,0)</f>
        <v>Sun Bicycles Streamway - 2017</v>
      </c>
      <c r="I3758">
        <f>VLOOKUP(H3758,[1]products!$B:$D,3,0)</f>
        <v>2</v>
      </c>
      <c r="J3758" t="str">
        <f>VLOOKUP(I3758,[2]categories!$A$2:$B$8,2,0)</f>
        <v>Comfort Bicycles</v>
      </c>
    </row>
    <row r="3759" spans="1:10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 s="1">
        <f t="shared" si="58"/>
        <v>5034.9905</v>
      </c>
      <c r="H3759" t="str">
        <f>VLOOKUP(C3759,[1]products!$A:$B,2,0)</f>
        <v>Trek Fuel EX 9.8 27.5 Plus - 2017</v>
      </c>
      <c r="I3759">
        <f>VLOOKUP(H3759,[1]products!$B:$D,3,0)</f>
        <v>6</v>
      </c>
      <c r="J3759" t="str">
        <f>VLOOKUP(I3759,[2]categories!$A$2:$B$8,2,0)</f>
        <v>Mountain Bikes</v>
      </c>
    </row>
    <row r="3760" spans="1:10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 s="1">
        <f t="shared" si="58"/>
        <v>12349.981</v>
      </c>
      <c r="H3760" t="str">
        <f>VLOOKUP(C3760,[1]products!$A:$B,2,0)</f>
        <v>Trek Silque SLR 8 Women's - 2017</v>
      </c>
      <c r="I3760">
        <f>VLOOKUP(H3760,[1]products!$B:$D,3,0)</f>
        <v>7</v>
      </c>
      <c r="J3760" t="str">
        <f>VLOOKUP(I3760,[2]categories!$A$2:$B$8,2,0)</f>
        <v>Road Bikes</v>
      </c>
    </row>
    <row r="3761" spans="1:10">
      <c r="A3761">
        <v>1298</v>
      </c>
      <c r="B3761">
        <v>1</v>
      </c>
      <c r="C3761">
        <v>59</v>
      </c>
      <c r="D3761">
        <v>1</v>
      </c>
      <c r="E3761">
        <v>2599.99</v>
      </c>
      <c r="F3761">
        <v>0.05</v>
      </c>
      <c r="G3761" s="1">
        <f t="shared" si="58"/>
        <v>2469.9905</v>
      </c>
      <c r="H3761" t="str">
        <f>VLOOKUP(C3761,[1]products!$A:$B,2,0)</f>
        <v>Trek Domane S 5 Disc - 2017</v>
      </c>
      <c r="I3761">
        <f>VLOOKUP(H3761,[1]products!$B:$D,3,0)</f>
        <v>7</v>
      </c>
      <c r="J3761" t="str">
        <f>VLOOKUP(I3761,[2]categories!$A$2:$B$8,2,0)</f>
        <v>Road Bikes</v>
      </c>
    </row>
    <row r="3762" spans="1:10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0.07</v>
      </c>
      <c r="G3762" s="1">
        <f t="shared" si="58"/>
        <v>876.0414</v>
      </c>
      <c r="H3762" t="str">
        <f>VLOOKUP(C3762,[1]products!$A:$B,2,0)</f>
        <v>Sun Bicycles Drifter 7 - 2017</v>
      </c>
      <c r="I3762">
        <f>VLOOKUP(H3762,[1]products!$B:$D,3,0)</f>
        <v>2</v>
      </c>
      <c r="J3762" t="str">
        <f>VLOOKUP(I3762,[2]categories!$A$2:$B$8,2,0)</f>
        <v>Comfort Bicycles</v>
      </c>
    </row>
    <row r="3763" spans="1:10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 s="1">
        <f t="shared" si="58"/>
        <v>485.982</v>
      </c>
      <c r="H3763" t="str">
        <f>VLOOKUP(C3763,[1]products!$A:$B,2,0)</f>
        <v>Electra Girl's Hawaii 1 (16-inch) - 2015/2016</v>
      </c>
      <c r="I3763">
        <f>VLOOKUP(H3763,[1]products!$B:$D,3,0)</f>
        <v>3</v>
      </c>
      <c r="J3763" t="str">
        <f>VLOOKUP(I3763,[2]categories!$A$2:$B$8,2,0)</f>
        <v>Cruisers Bicycles</v>
      </c>
    </row>
    <row r="3764" spans="1:10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 s="1">
        <f t="shared" si="58"/>
        <v>322.9905</v>
      </c>
      <c r="H3764" t="str">
        <f>VLOOKUP(C3764,[1]products!$A:$B,2,0)</f>
        <v>Electra Townie 7D (20-inch) - Boys' - 2017</v>
      </c>
      <c r="I3764">
        <f>VLOOKUP(H3764,[1]products!$B:$D,3,0)</f>
        <v>1</v>
      </c>
      <c r="J3764" t="str">
        <f>VLOOKUP(I3764,[2]categories!$A$2:$B$8,2,0)</f>
        <v>Children Bicycles</v>
      </c>
    </row>
    <row r="3765" spans="1:10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 s="1">
        <f t="shared" si="58"/>
        <v>569.9905</v>
      </c>
      <c r="H3765" t="str">
        <f>VLOOKUP(C3765,[1]products!$A:$B,2,0)</f>
        <v>Electra Cruiser Lux Fat Tire 1 Ladies - 2017</v>
      </c>
      <c r="I3765">
        <f>VLOOKUP(H3765,[1]products!$B:$D,3,0)</f>
        <v>3</v>
      </c>
      <c r="J3765" t="str">
        <f>VLOOKUP(I3765,[2]categories!$A$2:$B$8,2,0)</f>
        <v>Cruisers Bicycles</v>
      </c>
    </row>
    <row r="3766" spans="1:10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 s="1">
        <f t="shared" si="58"/>
        <v>1401.584</v>
      </c>
      <c r="H3766" t="str">
        <f>VLOOKUP(C3766,[1]products!$A:$B,2,0)</f>
        <v>Surly Steamroller - 2017</v>
      </c>
      <c r="I3766">
        <f>VLOOKUP(H3766,[1]products!$B:$D,3,0)</f>
        <v>7</v>
      </c>
      <c r="J3766" t="str">
        <f>VLOOKUP(I3766,[2]categories!$A$2:$B$8,2,0)</f>
        <v>Road Bikes</v>
      </c>
    </row>
    <row r="3767" spans="1:10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0.07</v>
      </c>
      <c r="G3767" s="1">
        <f t="shared" si="58"/>
        <v>632.3814</v>
      </c>
      <c r="H3767" t="str">
        <f>VLOOKUP(C3767,[1]products!$A:$B,2,0)</f>
        <v>Electra Townie 7D (20-inch) - Boys' - 2017</v>
      </c>
      <c r="I3767">
        <f>VLOOKUP(H3767,[1]products!$B:$D,3,0)</f>
        <v>1</v>
      </c>
      <c r="J3767" t="str">
        <f>VLOOKUP(I3767,[2]categories!$A$2:$B$8,2,0)</f>
        <v>Children Bicycles</v>
      </c>
    </row>
    <row r="3768" spans="1:10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 s="1">
        <f t="shared" si="58"/>
        <v>9499.981</v>
      </c>
      <c r="H3768" t="str">
        <f>VLOOKUP(C3768,[1]products!$A:$B,2,0)</f>
        <v>Trek Madone 9.2 - 2017</v>
      </c>
      <c r="I3768">
        <f>VLOOKUP(H3768,[1]products!$B:$D,3,0)</f>
        <v>7</v>
      </c>
      <c r="J3768" t="str">
        <f>VLOOKUP(I3768,[2]categories!$A$2:$B$8,2,0)</f>
        <v>Road Bikes</v>
      </c>
    </row>
    <row r="3769" spans="1:10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 s="1">
        <f t="shared" si="58"/>
        <v>1391.984</v>
      </c>
      <c r="H3769" t="str">
        <f>VLOOKUP(C3769,[1]products!$A:$B,2,0)</f>
        <v>Haro SR 1.2 - 2017</v>
      </c>
      <c r="I3769">
        <f>VLOOKUP(H3769,[1]products!$B:$D,3,0)</f>
        <v>6</v>
      </c>
      <c r="J3769" t="str">
        <f>VLOOKUP(I3769,[2]categories!$A$2:$B$8,2,0)</f>
        <v>Mountain Bikes</v>
      </c>
    </row>
    <row r="3770" spans="1:10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 s="1">
        <f t="shared" si="58"/>
        <v>961.182</v>
      </c>
      <c r="H3770" t="str">
        <f>VLOOKUP(C3770,[1]products!$A:$B,2,0)</f>
        <v>Sun Bicycles Streamway 7 - 2017</v>
      </c>
      <c r="I3770">
        <f>VLOOKUP(H3770,[1]products!$B:$D,3,0)</f>
        <v>2</v>
      </c>
      <c r="J3770" t="str">
        <f>VLOOKUP(I3770,[2]categories!$A$2:$B$8,2,0)</f>
        <v>Comfort Bicycles</v>
      </c>
    </row>
    <row r="3771" spans="1:10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 s="1">
        <f t="shared" si="58"/>
        <v>1439.992</v>
      </c>
      <c r="H3771" t="str">
        <f>VLOOKUP(C3771,[1]products!$A:$B,2,0)</f>
        <v>Trek Remedy 29 Carbon Frameset - 2016</v>
      </c>
      <c r="I3771">
        <f>VLOOKUP(H3771,[1]products!$B:$D,3,0)</f>
        <v>6</v>
      </c>
      <c r="J3771" t="str">
        <f>VLOOKUP(I3771,[2]categories!$A$2:$B$8,2,0)</f>
        <v>Mountain Bikes</v>
      </c>
    </row>
    <row r="3772" spans="1:10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 s="1">
        <f t="shared" si="58"/>
        <v>522.4905</v>
      </c>
      <c r="H3772" t="str">
        <f>VLOOKUP(C3772,[1]products!$A:$B,2,0)</f>
        <v>Haro Flightline Two 26 Plus - 2017</v>
      </c>
      <c r="I3772">
        <f>VLOOKUP(H3772,[1]products!$B:$D,3,0)</f>
        <v>6</v>
      </c>
      <c r="J3772" t="str">
        <f>VLOOKUP(I3772,[2]categories!$A$2:$B$8,2,0)</f>
        <v>Mountain Bikes</v>
      </c>
    </row>
    <row r="3773" spans="1:10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 s="1">
        <f t="shared" si="58"/>
        <v>1079.982</v>
      </c>
      <c r="H3773" t="str">
        <f>VLOOKUP(C3773,[1]products!$A:$B,2,0)</f>
        <v>Electra Townie Original 7D EQ - Women's - 2016</v>
      </c>
      <c r="I3773">
        <f>VLOOKUP(H3773,[1]products!$B:$D,3,0)</f>
        <v>3</v>
      </c>
      <c r="J3773" t="str">
        <f>VLOOKUP(I3773,[2]categories!$A$2:$B$8,2,0)</f>
        <v>Cruisers Bicycles</v>
      </c>
    </row>
    <row r="3774" spans="1:10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0.07</v>
      </c>
      <c r="G3774" s="1">
        <f t="shared" si="58"/>
        <v>10229.9814</v>
      </c>
      <c r="H3774" t="str">
        <f>VLOOKUP(C3774,[1]products!$A:$B,2,0)</f>
        <v>Trek Domane SLR 6 Disc - 2017</v>
      </c>
      <c r="I3774">
        <f>VLOOKUP(H3774,[1]products!$B:$D,3,0)</f>
        <v>7</v>
      </c>
      <c r="J3774" t="str">
        <f>VLOOKUP(I3774,[2]categories!$A$2:$B$8,2,0)</f>
        <v>Road Bikes</v>
      </c>
    </row>
    <row r="3775" spans="1:10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 s="1">
        <f t="shared" si="58"/>
        <v>314.991</v>
      </c>
      <c r="H3775" t="str">
        <f>VLOOKUP(C3775,[1]products!$A:$B,2,0)</f>
        <v>Electra Moto 3i (20-inch) - Boy's - 2017</v>
      </c>
      <c r="I3775">
        <f>VLOOKUP(H3775,[1]products!$B:$D,3,0)</f>
        <v>1</v>
      </c>
      <c r="J3775" t="str">
        <f>VLOOKUP(I3775,[2]categories!$A$2:$B$8,2,0)</f>
        <v>Children Bicycles</v>
      </c>
    </row>
    <row r="3776" spans="1:10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 s="1">
        <f t="shared" si="58"/>
        <v>5599.984</v>
      </c>
      <c r="H3776" t="str">
        <f>VLOOKUP(C3776,[1]products!$A:$B,2,0)</f>
        <v>Trek Boone Race Shop Limited - 2017</v>
      </c>
      <c r="I3776">
        <f>VLOOKUP(H3776,[1]products!$B:$D,3,0)</f>
        <v>4</v>
      </c>
      <c r="J3776" t="str">
        <f>VLOOKUP(I3776,[2]categories!$A$2:$B$8,2,0)</f>
        <v>Cyclocross Bicycles</v>
      </c>
    </row>
    <row r="3777" spans="1:10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 s="1">
        <f t="shared" si="58"/>
        <v>404.991</v>
      </c>
      <c r="H3777" t="str">
        <f>VLOOKUP(C3777,[1]products!$A:$B,2,0)</f>
        <v>Sun Bicycles Cruz 3 - Women's - 2017</v>
      </c>
      <c r="I3777">
        <f>VLOOKUP(H3777,[1]products!$B:$D,3,0)</f>
        <v>2</v>
      </c>
      <c r="J3777" t="str">
        <f>VLOOKUP(I3777,[2]categories!$A$2:$B$8,2,0)</f>
        <v>Comfort Bicycles</v>
      </c>
    </row>
    <row r="3778" spans="1:10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 s="1">
        <f t="shared" ref="G3778:G3841" si="59">D3778*E3778*(1-F3778)</f>
        <v>674.991</v>
      </c>
      <c r="H3778" t="str">
        <f>VLOOKUP(C3778,[1]products!$A:$B,2,0)</f>
        <v>Sun Bicycles Brickell Tandem 7 - 2017</v>
      </c>
      <c r="I3778">
        <f>VLOOKUP(H3778,[1]products!$B:$D,3,0)</f>
        <v>3</v>
      </c>
      <c r="J3778" t="str">
        <f>VLOOKUP(I3778,[2]categories!$A$2:$B$8,2,0)</f>
        <v>Cruisers Bicycles</v>
      </c>
    </row>
    <row r="3779" spans="1:10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 s="1">
        <f t="shared" si="59"/>
        <v>989.982</v>
      </c>
      <c r="H3779" t="str">
        <f>VLOOKUP(C3779,[1]products!$A:$B,2,0)</f>
        <v>Electra Townie Original 21D - 2016</v>
      </c>
      <c r="I3779">
        <f>VLOOKUP(H3779,[1]products!$B:$D,3,0)</f>
        <v>3</v>
      </c>
      <c r="J3779" t="str">
        <f>VLOOKUP(I3779,[2]categories!$A$2:$B$8,2,0)</f>
        <v>Cruisers Bicycles</v>
      </c>
    </row>
    <row r="3780" spans="1:10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 s="1">
        <f t="shared" si="59"/>
        <v>723.8905</v>
      </c>
      <c r="H3780" t="str">
        <f>VLOOKUP(C3780,[1]products!$A:$B,2,0)</f>
        <v>Sun Bicycles Brickell Tandem CB - 2017</v>
      </c>
      <c r="I3780">
        <f>VLOOKUP(H3780,[1]products!$B:$D,3,0)</f>
        <v>3</v>
      </c>
      <c r="J3780" t="str">
        <f>VLOOKUP(I3780,[2]categories!$A$2:$B$8,2,0)</f>
        <v>Cruisers Bicycles</v>
      </c>
    </row>
    <row r="3781" spans="1:10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 s="1">
        <f t="shared" si="59"/>
        <v>569.981</v>
      </c>
      <c r="H3781" t="str">
        <f>VLOOKUP(C3781,[1]products!$A:$B,2,0)</f>
        <v>Electra Sugar Skulls 1 (20-inch) - Girl's - 2017</v>
      </c>
      <c r="I3781">
        <f>VLOOKUP(H3781,[1]products!$B:$D,3,0)</f>
        <v>1</v>
      </c>
      <c r="J3781" t="str">
        <f>VLOOKUP(I3781,[2]categories!$A$2:$B$8,2,0)</f>
        <v>Children Bicycles</v>
      </c>
    </row>
    <row r="3782" spans="1:10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 s="1">
        <f t="shared" si="59"/>
        <v>391.992</v>
      </c>
      <c r="H3782" t="str">
        <f>VLOOKUP(C3782,[1]products!$A:$B,2,0)</f>
        <v>Electra Townie Original 7D - 2017</v>
      </c>
      <c r="I3782">
        <f>VLOOKUP(H3782,[1]products!$B:$D,3,0)</f>
        <v>3</v>
      </c>
      <c r="J3782" t="str">
        <f>VLOOKUP(I3782,[2]categories!$A$2:$B$8,2,0)</f>
        <v>Cruisers Bicycles</v>
      </c>
    </row>
    <row r="3783" spans="1:10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 s="1">
        <f t="shared" si="59"/>
        <v>407.55</v>
      </c>
      <c r="H3783" t="str">
        <f>VLOOKUP(C3783,[1]products!$A:$B,2,0)</f>
        <v>Pure Cycles Vine 8-Speed - 2016</v>
      </c>
      <c r="I3783">
        <f>VLOOKUP(H3783,[1]products!$B:$D,3,0)</f>
        <v>3</v>
      </c>
      <c r="J3783" t="str">
        <f>VLOOKUP(I3783,[2]categories!$A$2:$B$8,2,0)</f>
        <v>Cruisers Bicycles</v>
      </c>
    </row>
    <row r="3784" spans="1:10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 s="1">
        <f t="shared" si="59"/>
        <v>263.992</v>
      </c>
      <c r="H3784" t="str">
        <f>VLOOKUP(C3784,[1]products!$A:$B,2,0)</f>
        <v>Haro Downtown 16 - 2017</v>
      </c>
      <c r="I3784">
        <f>VLOOKUP(H3784,[1]products!$B:$D,3,0)</f>
        <v>1</v>
      </c>
      <c r="J3784" t="str">
        <f>VLOOKUP(I3784,[2]categories!$A$2:$B$8,2,0)</f>
        <v>Children Bicycles</v>
      </c>
    </row>
    <row r="3785" spans="1:10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0.07</v>
      </c>
      <c r="G3785" s="1">
        <f t="shared" si="59"/>
        <v>2789.9907</v>
      </c>
      <c r="H3785" t="str">
        <f>VLOOKUP(C3785,[1]products!$A:$B,2,0)</f>
        <v>Trek Conduit+ - 2016</v>
      </c>
      <c r="I3785">
        <f>VLOOKUP(H3785,[1]products!$B:$D,3,0)</f>
        <v>5</v>
      </c>
      <c r="J3785" t="str">
        <f>VLOOKUP(I3785,[2]categories!$A$2:$B$8,2,0)</f>
        <v>Electric Bikes</v>
      </c>
    </row>
    <row r="3786" spans="1:10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 s="1">
        <f t="shared" si="59"/>
        <v>1596.9405</v>
      </c>
      <c r="H3786" t="str">
        <f>VLOOKUP(C3786,[1]products!$A:$B,2,0)</f>
        <v>Surly Straggler 650b - 2016</v>
      </c>
      <c r="I3786">
        <f>VLOOKUP(H3786,[1]products!$B:$D,3,0)</f>
        <v>4</v>
      </c>
      <c r="J3786" t="str">
        <f>VLOOKUP(I3786,[2]categories!$A$2:$B$8,2,0)</f>
        <v>Cyclocross Bicycles</v>
      </c>
    </row>
    <row r="3787" spans="1:10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 s="1">
        <f t="shared" si="59"/>
        <v>664.981</v>
      </c>
      <c r="H3787" t="str">
        <f>VLOOKUP(C3787,[1]products!$A:$B,2,0)</f>
        <v>Trek Precaliber 24 (21-Speed) - Girls - 2017</v>
      </c>
      <c r="I3787">
        <f>VLOOKUP(H3787,[1]products!$B:$D,3,0)</f>
        <v>1</v>
      </c>
      <c r="J3787" t="str">
        <f>VLOOKUP(I3787,[2]categories!$A$2:$B$8,2,0)</f>
        <v>Children Bicycles</v>
      </c>
    </row>
    <row r="3788" spans="1:10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 s="1">
        <f t="shared" si="59"/>
        <v>1048.781</v>
      </c>
      <c r="H3788" t="str">
        <f>VLOOKUP(C3788,[1]products!$A:$B,2,0)</f>
        <v>Sun Bicycles Streamway 3 - 2017</v>
      </c>
      <c r="I3788">
        <f>VLOOKUP(H3788,[1]products!$B:$D,3,0)</f>
        <v>2</v>
      </c>
      <c r="J3788" t="str">
        <f>VLOOKUP(I3788,[2]categories!$A$2:$B$8,2,0)</f>
        <v>Comfort Bicycles</v>
      </c>
    </row>
    <row r="3789" spans="1:10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0.07</v>
      </c>
      <c r="G3789" s="1">
        <f t="shared" si="59"/>
        <v>2045.9814</v>
      </c>
      <c r="H3789" t="str">
        <f>VLOOKUP(C3789,[1]products!$A:$B,2,0)</f>
        <v>Electra Amsterdam Fashion 7i Ladies' - 2017</v>
      </c>
      <c r="I3789">
        <f>VLOOKUP(H3789,[1]products!$B:$D,3,0)</f>
        <v>3</v>
      </c>
      <c r="J3789" t="str">
        <f>VLOOKUP(I3789,[2]categories!$A$2:$B$8,2,0)</f>
        <v>Cruisers Bicycles</v>
      </c>
    </row>
    <row r="3790" spans="1:10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 s="1">
        <f t="shared" si="59"/>
        <v>695.992</v>
      </c>
      <c r="H3790" t="str">
        <f>VLOOKUP(C3790,[1]products!$A:$B,2,0)</f>
        <v>Haro SR 1.2 - 2017</v>
      </c>
      <c r="I3790">
        <f>VLOOKUP(H3790,[1]products!$B:$D,3,0)</f>
        <v>6</v>
      </c>
      <c r="J3790" t="str">
        <f>VLOOKUP(I3790,[2]categories!$A$2:$B$8,2,0)</f>
        <v>Mountain Bikes</v>
      </c>
    </row>
    <row r="3791" spans="1:10">
      <c r="A3791">
        <v>1306</v>
      </c>
      <c r="B3791">
        <v>4</v>
      </c>
      <c r="C3791">
        <v>42</v>
      </c>
      <c r="D3791">
        <v>1</v>
      </c>
      <c r="E3791">
        <v>2299.99</v>
      </c>
      <c r="F3791">
        <v>0.2</v>
      </c>
      <c r="G3791" s="1">
        <f t="shared" si="59"/>
        <v>1839.992</v>
      </c>
      <c r="H3791" t="str">
        <f>VLOOKUP(C3791,[1]products!$A:$B,2,0)</f>
        <v>Trek Fuel EX 5 27.5 Plus - 2017</v>
      </c>
      <c r="I3791">
        <f>VLOOKUP(H3791,[1]products!$B:$D,3,0)</f>
        <v>6</v>
      </c>
      <c r="J3791" t="str">
        <f>VLOOKUP(I3791,[2]categories!$A$2:$B$8,2,0)</f>
        <v>Mountain Bikes</v>
      </c>
    </row>
    <row r="3792" spans="1:10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0.07</v>
      </c>
      <c r="G3792" s="1">
        <f t="shared" si="59"/>
        <v>5579.9814</v>
      </c>
      <c r="H3792" t="str">
        <f>VLOOKUP(C3792,[1]products!$A:$B,2,0)</f>
        <v>Trek Conduit+ - 2016</v>
      </c>
      <c r="I3792">
        <f>VLOOKUP(H3792,[1]products!$B:$D,3,0)</f>
        <v>5</v>
      </c>
      <c r="J3792" t="str">
        <f>VLOOKUP(I3792,[2]categories!$A$2:$B$8,2,0)</f>
        <v>Electric Bikes</v>
      </c>
    </row>
    <row r="3793" spans="1:10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0.07</v>
      </c>
      <c r="G3793" s="1">
        <f t="shared" si="59"/>
        <v>650.9814</v>
      </c>
      <c r="H3793" t="str">
        <f>VLOOKUP(C3793,[1]products!$A:$B,2,0)</f>
        <v>Electra Moto 3i (20-inch) - Boy's - 2017</v>
      </c>
      <c r="I3793">
        <f>VLOOKUP(H3793,[1]products!$B:$D,3,0)</f>
        <v>1</v>
      </c>
      <c r="J3793" t="str">
        <f>VLOOKUP(I3793,[2]categories!$A$2:$B$8,2,0)</f>
        <v>Children Bicycles</v>
      </c>
    </row>
    <row r="3794" spans="1:10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 s="1">
        <f t="shared" si="59"/>
        <v>1199.984</v>
      </c>
      <c r="H3794" t="str">
        <f>VLOOKUP(C3794,[1]products!$A:$B,2,0)</f>
        <v>Surly Ogre Frameset - 2017</v>
      </c>
      <c r="I3794">
        <f>VLOOKUP(H3794,[1]products!$B:$D,3,0)</f>
        <v>7</v>
      </c>
      <c r="J3794" t="str">
        <f>VLOOKUP(I3794,[2]categories!$A$2:$B$8,2,0)</f>
        <v>Road Bikes</v>
      </c>
    </row>
    <row r="3795" spans="1:10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 s="1">
        <f t="shared" si="59"/>
        <v>667.184</v>
      </c>
      <c r="H3795" t="str">
        <f>VLOOKUP(C3795,[1]products!$A:$B,2,0)</f>
        <v>Sun Bicycles Cruz 7 - 2017</v>
      </c>
      <c r="I3795">
        <f>VLOOKUP(H3795,[1]products!$B:$D,3,0)</f>
        <v>3</v>
      </c>
      <c r="J3795" t="str">
        <f>VLOOKUP(I3795,[2]categories!$A$2:$B$8,2,0)</f>
        <v>Cruisers Bicycles</v>
      </c>
    </row>
    <row r="3796" spans="1:10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 s="1">
        <f t="shared" si="59"/>
        <v>3039.9905</v>
      </c>
      <c r="H3796" t="str">
        <f>VLOOKUP(C3796,[1]products!$A:$B,2,0)</f>
        <v>Trek Domane SL Disc Frameset - 2017</v>
      </c>
      <c r="I3796">
        <f>VLOOKUP(H3796,[1]products!$B:$D,3,0)</f>
        <v>7</v>
      </c>
      <c r="J3796" t="str">
        <f>VLOOKUP(I3796,[2]categories!$A$2:$B$8,2,0)</f>
        <v>Road Bikes</v>
      </c>
    </row>
    <row r="3797" spans="1:10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 s="1">
        <f t="shared" si="59"/>
        <v>333.592</v>
      </c>
      <c r="H3797" t="str">
        <f>VLOOKUP(C3797,[1]products!$A:$B,2,0)</f>
        <v>Sun Bicycles Cruz 7 - 2017</v>
      </c>
      <c r="I3797">
        <f>VLOOKUP(H3797,[1]products!$B:$D,3,0)</f>
        <v>3</v>
      </c>
      <c r="J3797" t="str">
        <f>VLOOKUP(I3797,[2]categories!$A$2:$B$8,2,0)</f>
        <v>Cruisers Bicycles</v>
      </c>
    </row>
    <row r="3798" spans="1:10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0.07</v>
      </c>
      <c r="G3798" s="1">
        <f t="shared" si="59"/>
        <v>502.1814</v>
      </c>
      <c r="H3798" t="str">
        <f>VLOOKUP(C3798,[1]products!$A:$B,2,0)</f>
        <v>Electra Girl's Hawaii 1 (16-inch) - 2015/2016</v>
      </c>
      <c r="I3798">
        <f>VLOOKUP(H3798,[1]products!$B:$D,3,0)</f>
        <v>3</v>
      </c>
      <c r="J3798" t="str">
        <f>VLOOKUP(I3798,[2]categories!$A$2:$B$8,2,0)</f>
        <v>Cruisers Bicycles</v>
      </c>
    </row>
    <row r="3799" spans="1:10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 s="1">
        <f t="shared" si="59"/>
        <v>4399.992</v>
      </c>
      <c r="H3799" t="str">
        <f>VLOOKUP(C3799,[1]products!$A:$B,2,0)</f>
        <v>Trek Domane SLR 6 Disc - 2017</v>
      </c>
      <c r="I3799">
        <f>VLOOKUP(H3799,[1]products!$B:$D,3,0)</f>
        <v>7</v>
      </c>
      <c r="J3799" t="str">
        <f>VLOOKUP(I3799,[2]categories!$A$2:$B$8,2,0)</f>
        <v>Road Bikes</v>
      </c>
    </row>
    <row r="3800" spans="1:10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0.07</v>
      </c>
      <c r="G3800" s="1">
        <f t="shared" si="59"/>
        <v>437.0907</v>
      </c>
      <c r="H3800" t="str">
        <f>VLOOKUP(C3800,[1]products!$A:$B,2,0)</f>
        <v>Trek Farley Alloy Frameset - 2017</v>
      </c>
      <c r="I3800">
        <f>VLOOKUP(H3800,[1]products!$B:$D,3,0)</f>
        <v>6</v>
      </c>
      <c r="J3800" t="str">
        <f>VLOOKUP(I3800,[2]categories!$A$2:$B$8,2,0)</f>
        <v>Mountain Bikes</v>
      </c>
    </row>
    <row r="3801" spans="1:10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 s="1">
        <f t="shared" si="59"/>
        <v>329.6405</v>
      </c>
      <c r="H3801" t="str">
        <f>VLOOKUP(C3801,[1]products!$A:$B,2,0)</f>
        <v>Sun Bicycles Lil Bolt Type-R - 2017</v>
      </c>
      <c r="I3801">
        <f>VLOOKUP(H3801,[1]products!$B:$D,3,0)</f>
        <v>3</v>
      </c>
      <c r="J3801" t="str">
        <f>VLOOKUP(I3801,[2]categories!$A$2:$B$8,2,0)</f>
        <v>Cruisers Bicycles</v>
      </c>
    </row>
    <row r="3802" spans="1:10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 s="1">
        <f t="shared" si="59"/>
        <v>303.984</v>
      </c>
      <c r="H3802" t="str">
        <f>VLOOKUP(C3802,[1]products!$A:$B,2,0)</f>
        <v>Trek Precaliber 12 Boys - 2017</v>
      </c>
      <c r="I3802">
        <f>VLOOKUP(H3802,[1]products!$B:$D,3,0)</f>
        <v>1</v>
      </c>
      <c r="J3802" t="str">
        <f>VLOOKUP(I3802,[2]categories!$A$2:$B$8,2,0)</f>
        <v>Children Bicycles</v>
      </c>
    </row>
    <row r="3803" spans="1:10">
      <c r="A3803">
        <v>1310</v>
      </c>
      <c r="B3803">
        <v>1</v>
      </c>
      <c r="C3803">
        <v>59</v>
      </c>
      <c r="D3803">
        <v>1</v>
      </c>
      <c r="E3803">
        <v>2599.99</v>
      </c>
      <c r="F3803">
        <v>0.2</v>
      </c>
      <c r="G3803" s="1">
        <f t="shared" si="59"/>
        <v>2079.992</v>
      </c>
      <c r="H3803" t="str">
        <f>VLOOKUP(C3803,[1]products!$A:$B,2,0)</f>
        <v>Trek Domane S 5 Disc - 2017</v>
      </c>
      <c r="I3803">
        <f>VLOOKUP(H3803,[1]products!$B:$D,3,0)</f>
        <v>7</v>
      </c>
      <c r="J3803" t="str">
        <f>VLOOKUP(I3803,[2]categories!$A$2:$B$8,2,0)</f>
        <v>Road Bikes</v>
      </c>
    </row>
    <row r="3804" spans="1:10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 s="1">
        <f t="shared" si="59"/>
        <v>1279.984</v>
      </c>
      <c r="H3804" t="str">
        <f>VLOOKUP(C3804,[1]products!$A:$B,2,0)</f>
        <v>Electra Glam Punk 3i Ladies' - 2017</v>
      </c>
      <c r="I3804">
        <f>VLOOKUP(H3804,[1]products!$B:$D,3,0)</f>
        <v>3</v>
      </c>
      <c r="J3804" t="str">
        <f>VLOOKUP(I3804,[2]categories!$A$2:$B$8,2,0)</f>
        <v>Cruisers Bicycles</v>
      </c>
    </row>
    <row r="3805" spans="1:10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 s="1">
        <f t="shared" si="59"/>
        <v>3025.782</v>
      </c>
      <c r="H3805" t="str">
        <f>VLOOKUP(C3805,[1]products!$A:$B,2,0)</f>
        <v>Surly Straggler 650b - 2016</v>
      </c>
      <c r="I3805">
        <f>VLOOKUP(H3805,[1]products!$B:$D,3,0)</f>
        <v>4</v>
      </c>
      <c r="J3805" t="str">
        <f>VLOOKUP(I3805,[2]categories!$A$2:$B$8,2,0)</f>
        <v>Cyclocross Bicycles</v>
      </c>
    </row>
    <row r="3806" spans="1:10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 s="1">
        <f t="shared" si="59"/>
        <v>2559.992</v>
      </c>
      <c r="H3806" t="str">
        <f>VLOOKUP(C3806,[1]products!$A:$B,2,0)</f>
        <v>Trek Domane SL Disc Frameset - 2017</v>
      </c>
      <c r="I3806">
        <f>VLOOKUP(H3806,[1]products!$B:$D,3,0)</f>
        <v>7</v>
      </c>
      <c r="J3806" t="str">
        <f>VLOOKUP(I3806,[2]categories!$A$2:$B$8,2,0)</f>
        <v>Road Bikes</v>
      </c>
    </row>
    <row r="3807" spans="1:10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 s="1">
        <f t="shared" si="59"/>
        <v>375.291</v>
      </c>
      <c r="H3807" t="str">
        <f>VLOOKUP(C3807,[1]products!$A:$B,2,0)</f>
        <v>Sun Bicycles Cruz 7 - 2017</v>
      </c>
      <c r="I3807">
        <f>VLOOKUP(H3807,[1]products!$B:$D,3,0)</f>
        <v>3</v>
      </c>
      <c r="J3807" t="str">
        <f>VLOOKUP(I3807,[2]categories!$A$2:$B$8,2,0)</f>
        <v>Cruisers Bicycles</v>
      </c>
    </row>
    <row r="3808" spans="1:10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0.07</v>
      </c>
      <c r="G3808" s="1">
        <f t="shared" si="59"/>
        <v>1618.1814</v>
      </c>
      <c r="H3808" t="str">
        <f>VLOOKUP(C3808,[1]products!$A:$B,2,0)</f>
        <v>Haro SR 1.2 - 2017</v>
      </c>
      <c r="I3808">
        <f>VLOOKUP(H3808,[1]products!$B:$D,3,0)</f>
        <v>6</v>
      </c>
      <c r="J3808" t="str">
        <f>VLOOKUP(I3808,[2]categories!$A$2:$B$8,2,0)</f>
        <v>Mountain Bikes</v>
      </c>
    </row>
    <row r="3809" spans="1:10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 s="1">
        <f t="shared" si="59"/>
        <v>1799.982</v>
      </c>
      <c r="H3809" t="str">
        <f>VLOOKUP(C3809,[1]products!$A:$B,2,0)</f>
        <v>Surly Big Dummy Frameset - 2017</v>
      </c>
      <c r="I3809">
        <f>VLOOKUP(H3809,[1]products!$B:$D,3,0)</f>
        <v>6</v>
      </c>
      <c r="J3809" t="str">
        <f>VLOOKUP(I3809,[2]categories!$A$2:$B$8,2,0)</f>
        <v>Mountain Bikes</v>
      </c>
    </row>
    <row r="3810" spans="1:10">
      <c r="A3810">
        <v>1311</v>
      </c>
      <c r="B3810">
        <v>4</v>
      </c>
      <c r="C3810">
        <v>42</v>
      </c>
      <c r="D3810">
        <v>1</v>
      </c>
      <c r="E3810">
        <v>2299.99</v>
      </c>
      <c r="F3810">
        <v>0.1</v>
      </c>
      <c r="G3810" s="1">
        <f t="shared" si="59"/>
        <v>2069.991</v>
      </c>
      <c r="H3810" t="str">
        <f>VLOOKUP(C3810,[1]products!$A:$B,2,0)</f>
        <v>Trek Fuel EX 5 27.5 Plus - 2017</v>
      </c>
      <c r="I3810">
        <f>VLOOKUP(H3810,[1]products!$B:$D,3,0)</f>
        <v>6</v>
      </c>
      <c r="J3810" t="str">
        <f>VLOOKUP(I3810,[2]categories!$A$2:$B$8,2,0)</f>
        <v>Mountain Bikes</v>
      </c>
    </row>
    <row r="3811" spans="1:10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 s="1">
        <f t="shared" si="59"/>
        <v>476.881</v>
      </c>
      <c r="H3811" t="str">
        <f>VLOOKUP(C3811,[1]products!$A:$B,2,0)</f>
        <v>Sun Bicycles Revolutions 24 - Girl's - 2017</v>
      </c>
      <c r="I3811">
        <f>VLOOKUP(H3811,[1]products!$B:$D,3,0)</f>
        <v>3</v>
      </c>
      <c r="J3811" t="str">
        <f>VLOOKUP(I3811,[2]categories!$A$2:$B$8,2,0)</f>
        <v>Cruisers Bicycles</v>
      </c>
    </row>
    <row r="3812" spans="1:10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 s="1">
        <f t="shared" si="59"/>
        <v>215.992</v>
      </c>
      <c r="H3812" t="str">
        <f>VLOOKUP(C3812,[1]products!$A:$B,2,0)</f>
        <v>Electra Girl's Hawaii 1 (16-inch) - 2015/2016</v>
      </c>
      <c r="I3812">
        <f>VLOOKUP(H3812,[1]products!$B:$D,3,0)</f>
        <v>3</v>
      </c>
      <c r="J3812" t="str">
        <f>VLOOKUP(I3812,[2]categories!$A$2:$B$8,2,0)</f>
        <v>Cruisers Bicycles</v>
      </c>
    </row>
    <row r="3813" spans="1:10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0.07</v>
      </c>
      <c r="G3813" s="1">
        <f t="shared" si="59"/>
        <v>557.9907</v>
      </c>
      <c r="H3813" t="str">
        <f>VLOOKUP(C3813,[1]products!$A:$B,2,0)</f>
        <v>Electra Townie Original 7D EQ - Women's - 2016</v>
      </c>
      <c r="I3813">
        <f>VLOOKUP(H3813,[1]products!$B:$D,3,0)</f>
        <v>3</v>
      </c>
      <c r="J3813" t="str">
        <f>VLOOKUP(I3813,[2]categories!$A$2:$B$8,2,0)</f>
        <v>Cruisers Bicycles</v>
      </c>
    </row>
    <row r="3814" spans="1:10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 s="1">
        <f t="shared" si="59"/>
        <v>479.992</v>
      </c>
      <c r="H3814" t="str">
        <f>VLOOKUP(C3814,[1]products!$A:$B,2,0)</f>
        <v>Electra Cruiser Lux Fat Tire 1 Ladies - 2017</v>
      </c>
      <c r="I3814">
        <f>VLOOKUP(H3814,[1]products!$B:$D,3,0)</f>
        <v>3</v>
      </c>
      <c r="J3814" t="str">
        <f>VLOOKUP(I3814,[2]categories!$A$2:$B$8,2,0)</f>
        <v>Cruisers Bicycles</v>
      </c>
    </row>
    <row r="3815" spans="1:10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 s="1">
        <f t="shared" si="59"/>
        <v>375.992</v>
      </c>
      <c r="H3815" t="str">
        <f>VLOOKUP(C3815,[1]products!$A:$B,2,0)</f>
        <v>Surly Wednesday Frameset - 2017</v>
      </c>
      <c r="I3815">
        <f>VLOOKUP(H3815,[1]products!$B:$D,3,0)</f>
        <v>6</v>
      </c>
      <c r="J3815" t="str">
        <f>VLOOKUP(I3815,[2]categories!$A$2:$B$8,2,0)</f>
        <v>Mountain Bikes</v>
      </c>
    </row>
    <row r="3816" spans="1:10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0.07</v>
      </c>
      <c r="G3816" s="1">
        <f t="shared" si="59"/>
        <v>387.8007</v>
      </c>
      <c r="H3816" t="str">
        <f>VLOOKUP(C3816,[1]products!$A:$B,2,0)</f>
        <v>Sun Bicycles Cruz 7 - 2017</v>
      </c>
      <c r="I3816">
        <f>VLOOKUP(H3816,[1]products!$B:$D,3,0)</f>
        <v>3</v>
      </c>
      <c r="J3816" t="str">
        <f>VLOOKUP(I3816,[2]categories!$A$2:$B$8,2,0)</f>
        <v>Cruisers Bicycles</v>
      </c>
    </row>
    <row r="3817" spans="1:10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0.07</v>
      </c>
      <c r="G3817" s="1">
        <f t="shared" si="59"/>
        <v>814.6707</v>
      </c>
      <c r="H3817" t="str">
        <f>VLOOKUP(C3817,[1]products!$A:$B,2,0)</f>
        <v>Surly Steamroller - 2017</v>
      </c>
      <c r="I3817">
        <f>VLOOKUP(H3817,[1]products!$B:$D,3,0)</f>
        <v>7</v>
      </c>
      <c r="J3817" t="str">
        <f>VLOOKUP(I3817,[2]categories!$A$2:$B$8,2,0)</f>
        <v>Road Bikes</v>
      </c>
    </row>
    <row r="3818" spans="1:10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 s="1">
        <f t="shared" si="59"/>
        <v>1177.981</v>
      </c>
      <c r="H3818" t="str">
        <f>VLOOKUP(C3818,[1]products!$A:$B,2,0)</f>
        <v>Sun Bicycles Biscayne Tandem 7 - 2017</v>
      </c>
      <c r="I3818">
        <f>VLOOKUP(H3818,[1]products!$B:$D,3,0)</f>
        <v>3</v>
      </c>
      <c r="J3818" t="str">
        <f>VLOOKUP(I3818,[2]categories!$A$2:$B$8,2,0)</f>
        <v>Cruisers Bicycles</v>
      </c>
    </row>
    <row r="3819" spans="1:10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 s="1">
        <f t="shared" si="59"/>
        <v>224.991</v>
      </c>
      <c r="H3819" t="str">
        <f>VLOOKUP(C3819,[1]products!$A:$B,2,0)</f>
        <v>Haro Shredder Pro 20 - 2017</v>
      </c>
      <c r="I3819">
        <f>VLOOKUP(H3819,[1]products!$B:$D,3,0)</f>
        <v>1</v>
      </c>
      <c r="J3819" t="str">
        <f>VLOOKUP(I3819,[2]categories!$A$2:$B$8,2,0)</f>
        <v>Children Bicycles</v>
      </c>
    </row>
    <row r="3820" spans="1:10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0.07</v>
      </c>
      <c r="G3820" s="1">
        <f t="shared" si="59"/>
        <v>896.5014</v>
      </c>
      <c r="H3820" t="str">
        <f>VLOOKUP(C3820,[1]products!$A:$B,2,0)</f>
        <v>Sun Bicycles Streamway - 2017</v>
      </c>
      <c r="I3820">
        <f>VLOOKUP(H3820,[1]products!$B:$D,3,0)</f>
        <v>2</v>
      </c>
      <c r="J3820" t="str">
        <f>VLOOKUP(I3820,[2]categories!$A$2:$B$8,2,0)</f>
        <v>Comfort Bicycles</v>
      </c>
    </row>
    <row r="3821" spans="1:10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 s="1">
        <f t="shared" si="59"/>
        <v>1396.4905</v>
      </c>
      <c r="H3821" t="str">
        <f>VLOOKUP(C3821,[1]products!$A:$B,2,0)</f>
        <v>Haro Shift R3 - 2017</v>
      </c>
      <c r="I3821">
        <f>VLOOKUP(H3821,[1]products!$B:$D,3,0)</f>
        <v>6</v>
      </c>
      <c r="J3821" t="str">
        <f>VLOOKUP(I3821,[2]categories!$A$2:$B$8,2,0)</f>
        <v>Mountain Bikes</v>
      </c>
    </row>
    <row r="3822" spans="1:10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 s="1">
        <f t="shared" si="59"/>
        <v>494.991</v>
      </c>
      <c r="H3822" t="str">
        <f>VLOOKUP(C3822,[1]products!$A:$B,2,0)</f>
        <v>Electra Townie Original 21D - 2016</v>
      </c>
      <c r="I3822">
        <f>VLOOKUP(H3822,[1]products!$B:$D,3,0)</f>
        <v>3</v>
      </c>
      <c r="J3822" t="str">
        <f>VLOOKUP(I3822,[2]categories!$A$2:$B$8,2,0)</f>
        <v>Cruisers Bicycles</v>
      </c>
    </row>
    <row r="3823" spans="1:10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0.07</v>
      </c>
      <c r="G3823" s="1">
        <f t="shared" si="59"/>
        <v>557.9907</v>
      </c>
      <c r="H3823" t="str">
        <f>VLOOKUP(C3823,[1]products!$A:$B,2,0)</f>
        <v>Electra Townie Original 7D EQ - 2016</v>
      </c>
      <c r="I3823">
        <f>VLOOKUP(H3823,[1]products!$B:$D,3,0)</f>
        <v>3</v>
      </c>
      <c r="J3823" t="str">
        <f>VLOOKUP(I3823,[2]categories!$A$2:$B$8,2,0)</f>
        <v>Cruisers Bicycles</v>
      </c>
    </row>
    <row r="3824" spans="1:10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 s="1">
        <f t="shared" si="59"/>
        <v>959.984</v>
      </c>
      <c r="H3824" t="str">
        <f>VLOOKUP(C3824,[1]products!$A:$B,2,0)</f>
        <v>Electra Townie Original 7D EQ - 2016</v>
      </c>
      <c r="I3824">
        <f>VLOOKUP(H3824,[1]products!$B:$D,3,0)</f>
        <v>3</v>
      </c>
      <c r="J3824" t="str">
        <f>VLOOKUP(I3824,[2]categories!$A$2:$B$8,2,0)</f>
        <v>Cruisers Bicycles</v>
      </c>
    </row>
    <row r="3825" spans="1:10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 s="1">
        <f t="shared" si="59"/>
        <v>539.982</v>
      </c>
      <c r="H3825" t="str">
        <f>VLOOKUP(C3825,[1]products!$A:$B,2,0)</f>
        <v>Electra Girl's Hawaii 1 16" - 2017</v>
      </c>
      <c r="I3825">
        <f>VLOOKUP(H3825,[1]products!$B:$D,3,0)</f>
        <v>3</v>
      </c>
      <c r="J3825" t="str">
        <f>VLOOKUP(I3825,[2]categories!$A$2:$B$8,2,0)</f>
        <v>Cruisers Bicycles</v>
      </c>
    </row>
    <row r="3826" spans="1:10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 s="1">
        <f t="shared" si="59"/>
        <v>188.991</v>
      </c>
      <c r="H3826" t="str">
        <f>VLOOKUP(C3826,[1]products!$A:$B,2,0)</f>
        <v>Trek Precaliber 16 Girls - 2017</v>
      </c>
      <c r="I3826">
        <f>VLOOKUP(H3826,[1]products!$B:$D,3,0)</f>
        <v>1</v>
      </c>
      <c r="J3826" t="str">
        <f>VLOOKUP(I3826,[2]categories!$A$2:$B$8,2,0)</f>
        <v>Children Bicycles</v>
      </c>
    </row>
    <row r="3827" spans="1:10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 s="1">
        <f t="shared" si="59"/>
        <v>593.991</v>
      </c>
      <c r="H3827" t="str">
        <f>VLOOKUP(C3827,[1]products!$A:$B,2,0)</f>
        <v>Electra Amsterdam Original 3i Ladies' - 2017</v>
      </c>
      <c r="I3827">
        <f>VLOOKUP(H3827,[1]products!$B:$D,3,0)</f>
        <v>3</v>
      </c>
      <c r="J3827" t="str">
        <f>VLOOKUP(I3827,[2]categories!$A$2:$B$8,2,0)</f>
        <v>Cruisers Bicycles</v>
      </c>
    </row>
    <row r="3828" spans="1:10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 s="1">
        <f t="shared" si="59"/>
        <v>1055.984</v>
      </c>
      <c r="H3828" t="str">
        <f>VLOOKUP(C3828,[1]products!$A:$B,2,0)</f>
        <v>Electra Amsterdam Original 3i Ladies' - 2017</v>
      </c>
      <c r="I3828">
        <f>VLOOKUP(H3828,[1]products!$B:$D,3,0)</f>
        <v>3</v>
      </c>
      <c r="J3828" t="str">
        <f>VLOOKUP(I3828,[2]categories!$A$2:$B$8,2,0)</f>
        <v>Cruisers Bicycles</v>
      </c>
    </row>
    <row r="3829" spans="1:10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 s="1">
        <f t="shared" si="59"/>
        <v>5599.984</v>
      </c>
      <c r="H3829" t="str">
        <f>VLOOKUP(C3829,[1]products!$A:$B,2,0)</f>
        <v>Trek Boone 7 - 2017</v>
      </c>
      <c r="I3829">
        <f>VLOOKUP(H3829,[1]products!$B:$D,3,0)</f>
        <v>4</v>
      </c>
      <c r="J3829" t="str">
        <f>VLOOKUP(I3829,[2]categories!$A$2:$B$8,2,0)</f>
        <v>Cyclocross Bicycles</v>
      </c>
    </row>
    <row r="3830" spans="1:10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 s="1">
        <f t="shared" si="59"/>
        <v>376.792</v>
      </c>
      <c r="H3830" t="str">
        <f>VLOOKUP(C3830,[1]products!$A:$B,2,0)</f>
        <v>Sun Bicycles Drifter 7 - Women's - 2017</v>
      </c>
      <c r="I3830">
        <f>VLOOKUP(H3830,[1]products!$B:$D,3,0)</f>
        <v>2</v>
      </c>
      <c r="J3830" t="str">
        <f>VLOOKUP(I3830,[2]categories!$A$2:$B$8,2,0)</f>
        <v>Comfort Bicycles</v>
      </c>
    </row>
    <row r="3831" spans="1:10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0.07</v>
      </c>
      <c r="G3831" s="1">
        <f t="shared" si="59"/>
        <v>195.2907</v>
      </c>
      <c r="H3831" t="str">
        <f>VLOOKUP(C3831,[1]products!$A:$B,2,0)</f>
        <v>Haro Shredder 20 - 2017</v>
      </c>
      <c r="I3831">
        <f>VLOOKUP(H3831,[1]products!$B:$D,3,0)</f>
        <v>1</v>
      </c>
      <c r="J3831" t="str">
        <f>VLOOKUP(I3831,[2]categories!$A$2:$B$8,2,0)</f>
        <v>Children Bicycles</v>
      </c>
    </row>
    <row r="3832" spans="1:10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0.07</v>
      </c>
      <c r="G3832" s="1">
        <f t="shared" si="59"/>
        <v>557.9907</v>
      </c>
      <c r="H3832" t="str">
        <f>VLOOKUP(C3832,[1]products!$A:$B,2,0)</f>
        <v>Electra Cruiser Lux Fat Tire 1 Ladies - 2017</v>
      </c>
      <c r="I3832">
        <f>VLOOKUP(H3832,[1]products!$B:$D,3,0)</f>
        <v>3</v>
      </c>
      <c r="J3832" t="str">
        <f>VLOOKUP(I3832,[2]categories!$A$2:$B$8,2,0)</f>
        <v>Cruisers Bicycles</v>
      </c>
    </row>
    <row r="3833" spans="1:10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 s="1">
        <f t="shared" si="59"/>
        <v>279.992</v>
      </c>
      <c r="H3833" t="str">
        <f>VLOOKUP(C3833,[1]products!$A:$B,2,0)</f>
        <v>Trek Precaliber 24 (21-Speed) - Girls - 2017</v>
      </c>
      <c r="I3833">
        <f>VLOOKUP(H3833,[1]products!$B:$D,3,0)</f>
        <v>1</v>
      </c>
      <c r="J3833" t="str">
        <f>VLOOKUP(I3833,[2]categories!$A$2:$B$8,2,0)</f>
        <v>Children Bicycles</v>
      </c>
    </row>
    <row r="3834" spans="1:10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 s="1">
        <f t="shared" si="59"/>
        <v>433.791</v>
      </c>
      <c r="H3834" t="str">
        <f>VLOOKUP(C3834,[1]products!$A:$B,2,0)</f>
        <v>Sun Bicycles Streamway - 2017</v>
      </c>
      <c r="I3834">
        <f>VLOOKUP(H3834,[1]products!$B:$D,3,0)</f>
        <v>2</v>
      </c>
      <c r="J3834" t="str">
        <f>VLOOKUP(I3834,[2]categories!$A$2:$B$8,2,0)</f>
        <v>Comfort Bicycles</v>
      </c>
    </row>
    <row r="3835" spans="1:10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 s="1">
        <f t="shared" si="59"/>
        <v>199.4905</v>
      </c>
      <c r="H3835" t="str">
        <f>VLOOKUP(C3835,[1]products!$A:$B,2,0)</f>
        <v>Haro Shredder 20 Girls - 2017</v>
      </c>
      <c r="I3835">
        <f>VLOOKUP(H3835,[1]products!$B:$D,3,0)</f>
        <v>1</v>
      </c>
      <c r="J3835" t="str">
        <f>VLOOKUP(I3835,[2]categories!$A$2:$B$8,2,0)</f>
        <v>Children Bicycles</v>
      </c>
    </row>
    <row r="3836" spans="1:10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 s="1">
        <f t="shared" si="59"/>
        <v>479.984</v>
      </c>
      <c r="H3836" t="str">
        <f>VLOOKUP(C3836,[1]products!$A:$B,2,0)</f>
        <v>Electra Sugar Skulls 1 (20-inch) - Girl's - 2017</v>
      </c>
      <c r="I3836">
        <f>VLOOKUP(H3836,[1]products!$B:$D,3,0)</f>
        <v>1</v>
      </c>
      <c r="J3836" t="str">
        <f>VLOOKUP(I3836,[2]categories!$A$2:$B$8,2,0)</f>
        <v>Children Bicycles</v>
      </c>
    </row>
    <row r="3837" spans="1:10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 s="1">
        <f t="shared" si="59"/>
        <v>422.991</v>
      </c>
      <c r="H3837" t="str">
        <f>VLOOKUP(C3837,[1]products!$A:$B,2,0)</f>
        <v>Trek Session DH 27.5 Carbon Frameset - 2017</v>
      </c>
      <c r="I3837">
        <f>VLOOKUP(H3837,[1]products!$B:$D,3,0)</f>
        <v>6</v>
      </c>
      <c r="J3837" t="str">
        <f>VLOOKUP(I3837,[2]categories!$A$2:$B$8,2,0)</f>
        <v>Mountain Bikes</v>
      </c>
    </row>
    <row r="3838" spans="1:10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 s="1">
        <f t="shared" si="59"/>
        <v>375.291</v>
      </c>
      <c r="H3838" t="str">
        <f>VLOOKUP(C3838,[1]products!$A:$B,2,0)</f>
        <v>Sun Bicycles Cruz 7 - 2017</v>
      </c>
      <c r="I3838">
        <f>VLOOKUP(H3838,[1]products!$B:$D,3,0)</f>
        <v>3</v>
      </c>
      <c r="J3838" t="str">
        <f>VLOOKUP(I3838,[2]categories!$A$2:$B$8,2,0)</f>
        <v>Cruisers Bicycles</v>
      </c>
    </row>
    <row r="3839" spans="1:10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 s="1">
        <f t="shared" si="59"/>
        <v>3025.782</v>
      </c>
      <c r="H3839" t="str">
        <f>VLOOKUP(C3839,[1]products!$A:$B,2,0)</f>
        <v>Surly Straggler 650b - 2016</v>
      </c>
      <c r="I3839">
        <f>VLOOKUP(H3839,[1]products!$B:$D,3,0)</f>
        <v>4</v>
      </c>
      <c r="J3839" t="str">
        <f>VLOOKUP(I3839,[2]categories!$A$2:$B$8,2,0)</f>
        <v>Cyclocross Bicycles</v>
      </c>
    </row>
    <row r="3840" spans="1:10">
      <c r="A3840">
        <v>1322</v>
      </c>
      <c r="B3840">
        <v>1</v>
      </c>
      <c r="C3840">
        <v>28</v>
      </c>
      <c r="D3840">
        <v>2</v>
      </c>
      <c r="E3840">
        <v>2499.99</v>
      </c>
      <c r="F3840">
        <v>0.05</v>
      </c>
      <c r="G3840" s="1">
        <f t="shared" si="59"/>
        <v>4749.981</v>
      </c>
      <c r="H3840" t="str">
        <f>VLOOKUP(C3840,[1]products!$A:$B,2,0)</f>
        <v>Surly Karate Monkey 27.5+ Frameset - 2017</v>
      </c>
      <c r="I3840">
        <f>VLOOKUP(H3840,[1]products!$B:$D,3,0)</f>
        <v>6</v>
      </c>
      <c r="J3840" t="str">
        <f>VLOOKUP(I3840,[2]categories!$A$2:$B$8,2,0)</f>
        <v>Mountain Bikes</v>
      </c>
    </row>
    <row r="3841" spans="1:10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 s="1">
        <f t="shared" si="59"/>
        <v>915.781</v>
      </c>
      <c r="H3841" t="str">
        <f>VLOOKUP(C3841,[1]products!$A:$B,2,0)</f>
        <v>Sun Bicycles Streamway - 2017</v>
      </c>
      <c r="I3841">
        <f>VLOOKUP(H3841,[1]products!$B:$D,3,0)</f>
        <v>2</v>
      </c>
      <c r="J3841" t="str">
        <f>VLOOKUP(I3841,[2]categories!$A$2:$B$8,2,0)</f>
        <v>Comfort Bicycles</v>
      </c>
    </row>
    <row r="3842" spans="1:10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0.07</v>
      </c>
      <c r="G3842" s="1">
        <f t="shared" ref="G3842:G3905" si="60">D3842*E3842*(1-F3842)</f>
        <v>1859.9814</v>
      </c>
      <c r="H3842" t="str">
        <f>VLOOKUP(C3842,[1]products!$A:$B,2,0)</f>
        <v>Surly Big Dummy Frameset - 2017</v>
      </c>
      <c r="I3842">
        <f>VLOOKUP(H3842,[1]products!$B:$D,3,0)</f>
        <v>6</v>
      </c>
      <c r="J3842" t="str">
        <f>VLOOKUP(I3842,[2]categories!$A$2:$B$8,2,0)</f>
        <v>Mountain Bikes</v>
      </c>
    </row>
    <row r="3843" spans="1:10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 s="1">
        <f t="shared" si="60"/>
        <v>569.9905</v>
      </c>
      <c r="H3843" t="str">
        <f>VLOOKUP(C3843,[1]products!$A:$B,2,0)</f>
        <v>Electra Townie Original 7D EQ - Women's - 2016</v>
      </c>
      <c r="I3843">
        <f>VLOOKUP(H3843,[1]products!$B:$D,3,0)</f>
        <v>3</v>
      </c>
      <c r="J3843" t="str">
        <f>VLOOKUP(I3843,[2]categories!$A$2:$B$8,2,0)</f>
        <v>Cruisers Bicycles</v>
      </c>
    </row>
    <row r="3844" spans="1:10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 s="1">
        <f t="shared" si="60"/>
        <v>626.9905</v>
      </c>
      <c r="H3844" t="str">
        <f>VLOOKUP(C3844,[1]products!$A:$B,2,0)</f>
        <v>Electra Amsterdam Original 3i - 2015/2017</v>
      </c>
      <c r="I3844">
        <f>VLOOKUP(H3844,[1]products!$B:$D,3,0)</f>
        <v>3</v>
      </c>
      <c r="J3844" t="str">
        <f>VLOOKUP(I3844,[2]categories!$A$2:$B$8,2,0)</f>
        <v>Cruisers Bicycles</v>
      </c>
    </row>
    <row r="3845" spans="1:10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 s="1">
        <f t="shared" si="60"/>
        <v>225.891</v>
      </c>
      <c r="H3845" t="str">
        <f>VLOOKUP(C3845,[1]products!$A:$B,2,0)</f>
        <v>Sun Bicycles Revolutions 24 - 2017</v>
      </c>
      <c r="I3845">
        <f>VLOOKUP(H3845,[1]products!$B:$D,3,0)</f>
        <v>3</v>
      </c>
      <c r="J3845" t="str">
        <f>VLOOKUP(I3845,[2]categories!$A$2:$B$8,2,0)</f>
        <v>Cruisers Bicycles</v>
      </c>
    </row>
    <row r="3846" spans="1:10">
      <c r="A3846">
        <v>1324</v>
      </c>
      <c r="B3846">
        <v>2</v>
      </c>
      <c r="C3846">
        <v>120</v>
      </c>
      <c r="D3846">
        <v>2</v>
      </c>
      <c r="E3846">
        <v>2499.99</v>
      </c>
      <c r="F3846">
        <v>0.2</v>
      </c>
      <c r="G3846" s="1">
        <f t="shared" si="60"/>
        <v>3999.984</v>
      </c>
      <c r="H3846" t="str">
        <f>VLOOKUP(C3846,[1]products!$A:$B,2,0)</f>
        <v>Trek Fuel EX 7 29 - 2018</v>
      </c>
      <c r="I3846">
        <f>VLOOKUP(H3846,[1]products!$B:$D,3,0)</f>
        <v>6</v>
      </c>
      <c r="J3846" t="str">
        <f>VLOOKUP(I3846,[2]categories!$A$2:$B$8,2,0)</f>
        <v>Mountain Bikes</v>
      </c>
    </row>
    <row r="3847" spans="1:10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 s="1">
        <f t="shared" si="60"/>
        <v>809.991</v>
      </c>
      <c r="H3847" t="str">
        <f>VLOOKUP(C3847,[1]products!$A:$B,2,0)</f>
        <v>Electra Koa 3i Ladies' - 2018</v>
      </c>
      <c r="I3847">
        <f>VLOOKUP(H3847,[1]products!$B:$D,3,0)</f>
        <v>3</v>
      </c>
      <c r="J3847" t="str">
        <f>VLOOKUP(I3847,[2]categories!$A$2:$B$8,2,0)</f>
        <v>Cruisers Bicycles</v>
      </c>
    </row>
    <row r="3848" spans="1:10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 s="1">
        <f t="shared" si="60"/>
        <v>799.992</v>
      </c>
      <c r="H3848" t="str">
        <f>VLOOKUP(C3848,[1]products!$A:$B,2,0)</f>
        <v>Surly Wednesday Frameset - 2016</v>
      </c>
      <c r="I3848">
        <f>VLOOKUP(H3848,[1]products!$B:$D,3,0)</f>
        <v>6</v>
      </c>
      <c r="J3848" t="str">
        <f>VLOOKUP(I3848,[2]categories!$A$2:$B$8,2,0)</f>
        <v>Mountain Bikes</v>
      </c>
    </row>
    <row r="3849" spans="1:10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 s="1">
        <f t="shared" si="60"/>
        <v>2849.9905</v>
      </c>
      <c r="H3849" t="str">
        <f>VLOOKUP(C3849,[1]products!$A:$B,2,0)</f>
        <v>Trek Remedy 7 27.5 - 2018</v>
      </c>
      <c r="I3849">
        <f>VLOOKUP(H3849,[1]products!$B:$D,3,0)</f>
        <v>6</v>
      </c>
      <c r="J3849" t="str">
        <f>VLOOKUP(I3849,[2]categories!$A$2:$B$8,2,0)</f>
        <v>Mountain Bikes</v>
      </c>
    </row>
    <row r="3850" spans="1:10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 s="1">
        <f t="shared" si="60"/>
        <v>854.9905</v>
      </c>
      <c r="H3850" t="str">
        <f>VLOOKUP(C3850,[1]products!$A:$B,2,0)</f>
        <v>Electra Amsterdam Fashion 3i Ladies' - 2017/2018</v>
      </c>
      <c r="I3850">
        <f>VLOOKUP(H3850,[1]products!$B:$D,3,0)</f>
        <v>3</v>
      </c>
      <c r="J3850" t="str">
        <f>VLOOKUP(I3850,[2]categories!$A$2:$B$8,2,0)</f>
        <v>Cruisers Bicycles</v>
      </c>
    </row>
    <row r="3851" spans="1:10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 s="1">
        <f t="shared" si="60"/>
        <v>2699.991</v>
      </c>
      <c r="H3851" t="str">
        <f>VLOOKUP(C3851,[1]products!$A:$B,2,0)</f>
        <v>Trek Crockett 7 Disc - 2018</v>
      </c>
      <c r="I3851">
        <f>VLOOKUP(H3851,[1]products!$B:$D,3,0)</f>
        <v>4</v>
      </c>
      <c r="J3851" t="str">
        <f>VLOOKUP(I3851,[2]categories!$A$2:$B$8,2,0)</f>
        <v>Cyclocross Bicycles</v>
      </c>
    </row>
    <row r="3852" spans="1:10">
      <c r="A3852">
        <v>1325</v>
      </c>
      <c r="B3852">
        <v>4</v>
      </c>
      <c r="C3852">
        <v>28</v>
      </c>
      <c r="D3852">
        <v>1</v>
      </c>
      <c r="E3852">
        <v>2499.99</v>
      </c>
      <c r="F3852">
        <v>0.07</v>
      </c>
      <c r="G3852" s="1">
        <f t="shared" si="60"/>
        <v>2324.9907</v>
      </c>
      <c r="H3852" t="str">
        <f>VLOOKUP(C3852,[1]products!$A:$B,2,0)</f>
        <v>Surly Karate Monkey 27.5+ Frameset - 2017</v>
      </c>
      <c r="I3852">
        <f>VLOOKUP(H3852,[1]products!$B:$D,3,0)</f>
        <v>6</v>
      </c>
      <c r="J3852" t="str">
        <f>VLOOKUP(I3852,[2]categories!$A$2:$B$8,2,0)</f>
        <v>Mountain Bikes</v>
      </c>
    </row>
    <row r="3853" spans="1:10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0.07</v>
      </c>
      <c r="G3853" s="1">
        <f t="shared" si="60"/>
        <v>5207.9814</v>
      </c>
      <c r="H3853" t="str">
        <f>VLOOKUP(C3853,[1]products!$A:$B,2,0)</f>
        <v>Trek Dual Sport+ - 2018</v>
      </c>
      <c r="I3853">
        <f>VLOOKUP(H3853,[1]products!$B:$D,3,0)</f>
        <v>5</v>
      </c>
      <c r="J3853" t="str">
        <f>VLOOKUP(I3853,[2]categories!$A$2:$B$8,2,0)</f>
        <v>Electric Bikes</v>
      </c>
    </row>
    <row r="3854" spans="1:10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0.07</v>
      </c>
      <c r="G3854" s="1">
        <f t="shared" si="60"/>
        <v>371.9814</v>
      </c>
      <c r="H3854" t="str">
        <f>VLOOKUP(C3854,[1]products!$A:$B,2,0)</f>
        <v>Trek Precaliber 12 Boy's - 2018</v>
      </c>
      <c r="I3854">
        <f>VLOOKUP(H3854,[1]products!$B:$D,3,0)</f>
        <v>1</v>
      </c>
      <c r="J3854" t="str">
        <f>VLOOKUP(I3854,[2]categories!$A$2:$B$8,2,0)</f>
        <v>Children Bicycles</v>
      </c>
    </row>
    <row r="3855" spans="1:10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0.07</v>
      </c>
      <c r="G3855" s="1">
        <f t="shared" si="60"/>
        <v>2882.9814</v>
      </c>
      <c r="H3855" t="str">
        <f>VLOOKUP(C3855,[1]products!$A:$B,2,0)</f>
        <v>Trek Domane ALR 4 Disc Women's - 2018</v>
      </c>
      <c r="I3855">
        <f>VLOOKUP(H3855,[1]products!$B:$D,3,0)</f>
        <v>7</v>
      </c>
      <c r="J3855" t="str">
        <f>VLOOKUP(I3855,[2]categories!$A$2:$B$8,2,0)</f>
        <v>Road Bikes</v>
      </c>
    </row>
    <row r="3856" spans="1:10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 s="1">
        <f t="shared" si="60"/>
        <v>1619.982</v>
      </c>
      <c r="H3856" t="str">
        <f>VLOOKUP(C3856,[1]products!$A:$B,2,0)</f>
        <v>Electra Koa 3i Ladies' - 2018</v>
      </c>
      <c r="I3856">
        <f>VLOOKUP(H3856,[1]products!$B:$D,3,0)</f>
        <v>3</v>
      </c>
      <c r="J3856" t="str">
        <f>VLOOKUP(I3856,[2]categories!$A$2:$B$8,2,0)</f>
        <v>Cruisers Bicycles</v>
      </c>
    </row>
    <row r="3857" spans="1:10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 s="1">
        <f t="shared" si="60"/>
        <v>2699.982</v>
      </c>
      <c r="H3857" t="str">
        <f>VLOOKUP(C3857,[1]products!$A:$B,2,0)</f>
        <v>Trek Emonda S 4 - 2017</v>
      </c>
      <c r="I3857">
        <f>VLOOKUP(H3857,[1]products!$B:$D,3,0)</f>
        <v>7</v>
      </c>
      <c r="J3857" t="str">
        <f>VLOOKUP(I3857,[2]categories!$A$2:$B$8,2,0)</f>
        <v>Road Bikes</v>
      </c>
    </row>
    <row r="3858" spans="1:10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 s="1">
        <f t="shared" si="60"/>
        <v>735.992</v>
      </c>
      <c r="H3858" t="str">
        <f>VLOOKUP(C3858,[1]products!$A:$B,2,0)</f>
        <v>Trek Domane AL 3 Women's - 2018</v>
      </c>
      <c r="I3858">
        <f>VLOOKUP(H3858,[1]products!$B:$D,3,0)</f>
        <v>7</v>
      </c>
      <c r="J3858" t="str">
        <f>VLOOKUP(I3858,[2]categories!$A$2:$B$8,2,0)</f>
        <v>Road Bikes</v>
      </c>
    </row>
    <row r="3859" spans="1:10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0.07</v>
      </c>
      <c r="G3859" s="1">
        <f t="shared" si="60"/>
        <v>697.4907</v>
      </c>
      <c r="H3859" t="str">
        <f>VLOOKUP(C3859,[1]products!$A:$B,2,0)</f>
        <v>Electra Townie Commute 8D - 2018</v>
      </c>
      <c r="I3859">
        <f>VLOOKUP(H3859,[1]products!$B:$D,3,0)</f>
        <v>3</v>
      </c>
      <c r="J3859" t="str">
        <f>VLOOKUP(I3859,[2]categories!$A$2:$B$8,2,0)</f>
        <v>Cruisers Bicycles</v>
      </c>
    </row>
    <row r="3860" spans="1:10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 s="1">
        <f t="shared" si="60"/>
        <v>1655.982</v>
      </c>
      <c r="H3860" t="str">
        <f>VLOOKUP(C3860,[1]products!$A:$B,2,0)</f>
        <v>Trek X-Caliber 7 - 2018</v>
      </c>
      <c r="I3860">
        <f>VLOOKUP(H3860,[1]products!$B:$D,3,0)</f>
        <v>6</v>
      </c>
      <c r="J3860" t="str">
        <f>VLOOKUP(I3860,[2]categories!$A$2:$B$8,2,0)</f>
        <v>Mountain Bikes</v>
      </c>
    </row>
    <row r="3861" spans="1:10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0.07</v>
      </c>
      <c r="G3861" s="1">
        <f t="shared" si="60"/>
        <v>297.5907</v>
      </c>
      <c r="H3861" t="str">
        <f>VLOOKUP(C3861,[1]products!$A:$B,2,0)</f>
        <v>Electra Cruiser 7D Tall - 2016/2018</v>
      </c>
      <c r="I3861">
        <f>VLOOKUP(H3861,[1]products!$B:$D,3,0)</f>
        <v>3</v>
      </c>
      <c r="J3861" t="str">
        <f>VLOOKUP(I3861,[2]categories!$A$2:$B$8,2,0)</f>
        <v>Cruisers Bicycles</v>
      </c>
    </row>
    <row r="3862" spans="1:10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 s="1">
        <f t="shared" si="60"/>
        <v>674.991</v>
      </c>
      <c r="H3862" t="str">
        <f>VLOOKUP(C3862,[1]products!$A:$B,2,0)</f>
        <v>Electra Townie Commute 8D - 2018</v>
      </c>
      <c r="I3862">
        <f>VLOOKUP(H3862,[1]products!$B:$D,3,0)</f>
        <v>3</v>
      </c>
      <c r="J3862" t="str">
        <f>VLOOKUP(I3862,[2]categories!$A$2:$B$8,2,0)</f>
        <v>Cruisers Bicycles</v>
      </c>
    </row>
    <row r="3863" spans="1:10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 s="1">
        <f t="shared" si="60"/>
        <v>539.991</v>
      </c>
      <c r="H3863" t="str">
        <f>VLOOKUP(C3863,[1]products!$A:$B,2,0)</f>
        <v>Electra Townie Original 7D EQ - 2018</v>
      </c>
      <c r="I3863">
        <f>VLOOKUP(H3863,[1]products!$B:$D,3,0)</f>
        <v>3</v>
      </c>
      <c r="J3863" t="str">
        <f>VLOOKUP(I3863,[2]categories!$A$2:$B$8,2,0)</f>
        <v>Cruisers Bicycles</v>
      </c>
    </row>
    <row r="3864" spans="1:10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0.07</v>
      </c>
      <c r="G3864" s="1">
        <f t="shared" si="60"/>
        <v>1022.9907</v>
      </c>
      <c r="H3864" t="str">
        <f>VLOOKUP(C3864,[1]products!$A:$B,2,0)</f>
        <v>Trek Domane ALR 3 - 2018</v>
      </c>
      <c r="I3864">
        <f>VLOOKUP(H3864,[1]products!$B:$D,3,0)</f>
        <v>7</v>
      </c>
      <c r="J3864" t="str">
        <f>VLOOKUP(I3864,[2]categories!$A$2:$B$8,2,0)</f>
        <v>Road Bikes</v>
      </c>
    </row>
    <row r="3865" spans="1:10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 s="1">
        <f t="shared" si="60"/>
        <v>396.1405</v>
      </c>
      <c r="H3865" t="str">
        <f>VLOOKUP(C3865,[1]products!$A:$B,2,0)</f>
        <v>Sun Bicycles Cruz 7 - 2017</v>
      </c>
      <c r="I3865">
        <f>VLOOKUP(H3865,[1]products!$B:$D,3,0)</f>
        <v>3</v>
      </c>
      <c r="J3865" t="str">
        <f>VLOOKUP(I3865,[2]categories!$A$2:$B$8,2,0)</f>
        <v>Cruisers Bicycles</v>
      </c>
    </row>
    <row r="3866" spans="1:10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0.07</v>
      </c>
      <c r="G3866" s="1">
        <f t="shared" si="60"/>
        <v>2510.9907</v>
      </c>
      <c r="H3866" t="str">
        <f>VLOOKUP(C3866,[1]products!$A:$B,2,0)</f>
        <v>Trek Domane S 6 - 2017</v>
      </c>
      <c r="I3866">
        <f>VLOOKUP(H3866,[1]products!$B:$D,3,0)</f>
        <v>7</v>
      </c>
      <c r="J3866" t="str">
        <f>VLOOKUP(I3866,[2]categories!$A$2:$B$8,2,0)</f>
        <v>Road Bikes</v>
      </c>
    </row>
    <row r="3867" spans="1:10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 s="1">
        <f t="shared" si="60"/>
        <v>511.984</v>
      </c>
      <c r="H3867" t="str">
        <f>VLOOKUP(C3867,[1]products!$A:$B,2,0)</f>
        <v>Electra Heartchya 1 (20-inch) - Girl's - 2018</v>
      </c>
      <c r="I3867">
        <f>VLOOKUP(H3867,[1]products!$B:$D,3,0)</f>
        <v>1</v>
      </c>
      <c r="J3867" t="str">
        <f>VLOOKUP(I3867,[2]categories!$A$2:$B$8,2,0)</f>
        <v>Children Bicycles</v>
      </c>
    </row>
    <row r="3868" spans="1:10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 s="1">
        <f t="shared" si="60"/>
        <v>242.991</v>
      </c>
      <c r="H3868" t="str">
        <f>VLOOKUP(C3868,[1]products!$A:$B,2,0)</f>
        <v>Electra Cruiser 1 (24-Inch) - 2016</v>
      </c>
      <c r="I3868">
        <f>VLOOKUP(H3868,[1]products!$B:$D,3,0)</f>
        <v>3</v>
      </c>
      <c r="J3868" t="str">
        <f>VLOOKUP(I3868,[2]categories!$A$2:$B$8,2,0)</f>
        <v>Cruisers Bicycles</v>
      </c>
    </row>
    <row r="3869" spans="1:10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 s="1">
        <f t="shared" si="60"/>
        <v>383.992</v>
      </c>
      <c r="H3869" t="str">
        <f>VLOOKUP(C3869,[1]products!$A:$B,2,0)</f>
        <v>Electra Cruiser Lux 7D Ladies' - 2018</v>
      </c>
      <c r="I3869">
        <f>VLOOKUP(H3869,[1]products!$B:$D,3,0)</f>
        <v>3</v>
      </c>
      <c r="J3869" t="str">
        <f>VLOOKUP(I3869,[2]categories!$A$2:$B$8,2,0)</f>
        <v>Cruisers Bicycles</v>
      </c>
    </row>
    <row r="3870" spans="1:10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 s="1">
        <f t="shared" si="60"/>
        <v>1291.981</v>
      </c>
      <c r="H3870" t="str">
        <f>VLOOKUP(C3870,[1]products!$A:$B,2,0)</f>
        <v>Electra Townie Original 21D EQ Ladies' - 2018</v>
      </c>
      <c r="I3870">
        <f>VLOOKUP(H3870,[1]products!$B:$D,3,0)</f>
        <v>3</v>
      </c>
      <c r="J3870" t="str">
        <f>VLOOKUP(I3870,[2]categories!$A$2:$B$8,2,0)</f>
        <v>Cruisers Bicycles</v>
      </c>
    </row>
    <row r="3871" spans="1:10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 s="1">
        <f t="shared" si="60"/>
        <v>687.984</v>
      </c>
      <c r="H3871" t="str">
        <f>VLOOKUP(C3871,[1]products!$A:$B,2,0)</f>
        <v>Electra Cruiser Lux 1 Ladies' - 2018</v>
      </c>
      <c r="I3871">
        <f>VLOOKUP(H3871,[1]products!$B:$D,3,0)</f>
        <v>3</v>
      </c>
      <c r="J3871" t="str">
        <f>VLOOKUP(I3871,[2]categories!$A$2:$B$8,2,0)</f>
        <v>Cruisers Bicycles</v>
      </c>
    </row>
    <row r="3872" spans="1:10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 s="1">
        <f t="shared" si="60"/>
        <v>930.981</v>
      </c>
      <c r="H3872" t="str">
        <f>VLOOKUP(C3872,[1]products!$A:$B,2,0)</f>
        <v>Electra Townie Original 7D - 2017</v>
      </c>
      <c r="I3872">
        <f>VLOOKUP(H3872,[1]products!$B:$D,3,0)</f>
        <v>3</v>
      </c>
      <c r="J3872" t="str">
        <f>VLOOKUP(I3872,[2]categories!$A$2:$B$8,2,0)</f>
        <v>Cruisers Bicycles</v>
      </c>
    </row>
    <row r="3873" spans="1:10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 s="1">
        <f t="shared" si="60"/>
        <v>251.991</v>
      </c>
      <c r="H3873" t="str">
        <f>VLOOKUP(C3873,[1]products!$A:$B,2,0)</f>
        <v>Electra Cyclosaurus 1 (16-inch) - Boy's - 2018</v>
      </c>
      <c r="I3873">
        <f>VLOOKUP(H3873,[1]products!$B:$D,3,0)</f>
        <v>1</v>
      </c>
      <c r="J3873" t="str">
        <f>VLOOKUP(I3873,[2]categories!$A$2:$B$8,2,0)</f>
        <v>Children Bicycles</v>
      </c>
    </row>
    <row r="3874" spans="1:10">
      <c r="A3874">
        <v>1331</v>
      </c>
      <c r="B3874">
        <v>1</v>
      </c>
      <c r="C3874">
        <v>253</v>
      </c>
      <c r="D3874">
        <v>1</v>
      </c>
      <c r="E3874">
        <v>2599.99</v>
      </c>
      <c r="F3874">
        <v>0.05</v>
      </c>
      <c r="G3874" s="1">
        <f t="shared" si="60"/>
        <v>2469.9905</v>
      </c>
      <c r="H3874" t="str">
        <f>VLOOKUP(C3874,[1]products!$A:$B,2,0)</f>
        <v>Electra Townie Go! 8i Ladies' - 2018</v>
      </c>
      <c r="I3874">
        <f>VLOOKUP(H3874,[1]products!$B:$D,3,0)</f>
        <v>5</v>
      </c>
      <c r="J3874" t="str">
        <f>VLOOKUP(I3874,[2]categories!$A$2:$B$8,2,0)</f>
        <v>Electric Bikes</v>
      </c>
    </row>
    <row r="3875" spans="1:10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 s="1">
        <f t="shared" si="60"/>
        <v>351.4905</v>
      </c>
      <c r="H3875" t="str">
        <f>VLOOKUP(C3875,[1]products!$A:$B,2,0)</f>
        <v>Electra Superbolt 3i 20" - 2018</v>
      </c>
      <c r="I3875">
        <f>VLOOKUP(H3875,[1]products!$B:$D,3,0)</f>
        <v>1</v>
      </c>
      <c r="J3875" t="str">
        <f>VLOOKUP(I3875,[2]categories!$A$2:$B$8,2,0)</f>
        <v>Children Bicycles</v>
      </c>
    </row>
    <row r="3876" spans="1:10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 s="1">
        <f t="shared" si="60"/>
        <v>3239.982</v>
      </c>
      <c r="H3876" t="str">
        <f>VLOOKUP(C3876,[1]products!$A:$B,2,0)</f>
        <v>Trek Domane ALR 5 Disc - 2018</v>
      </c>
      <c r="I3876">
        <f>VLOOKUP(H3876,[1]products!$B:$D,3,0)</f>
        <v>7</v>
      </c>
      <c r="J3876" t="str">
        <f>VLOOKUP(I3876,[2]categories!$A$2:$B$8,2,0)</f>
        <v>Road Bikes</v>
      </c>
    </row>
    <row r="3877" spans="1:10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 s="1">
        <f t="shared" si="60"/>
        <v>639.992</v>
      </c>
      <c r="H3877" t="str">
        <f>VLOOKUP(C3877,[1]products!$A:$B,2,0)</f>
        <v>Electra Townie Balloon 3i EQ Ladies' - 2018</v>
      </c>
      <c r="I3877">
        <f>VLOOKUP(H3877,[1]products!$B:$D,3,0)</f>
        <v>3</v>
      </c>
      <c r="J3877" t="str">
        <f>VLOOKUP(I3877,[2]categories!$A$2:$B$8,2,0)</f>
        <v>Cruisers Bicycles</v>
      </c>
    </row>
    <row r="3878" spans="1:10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 s="1">
        <f t="shared" si="60"/>
        <v>295.992</v>
      </c>
      <c r="H3878" t="str">
        <f>VLOOKUP(C3878,[1]products!$A:$B,2,0)</f>
        <v>Electra Treasure 3i 20" - 2018</v>
      </c>
      <c r="I3878">
        <f>VLOOKUP(H3878,[1]products!$B:$D,3,0)</f>
        <v>1</v>
      </c>
      <c r="J3878" t="str">
        <f>VLOOKUP(I3878,[2]categories!$A$2:$B$8,2,0)</f>
        <v>Children Bicycles</v>
      </c>
    </row>
    <row r="3879" spans="1:10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 s="1">
        <f t="shared" si="60"/>
        <v>398.981</v>
      </c>
      <c r="H3879" t="str">
        <f>VLOOKUP(C3879,[1]products!$A:$B,2,0)</f>
        <v>Haro Shredder 20 Girls - 2017</v>
      </c>
      <c r="I3879">
        <f>VLOOKUP(H3879,[1]products!$B:$D,3,0)</f>
        <v>1</v>
      </c>
      <c r="J3879" t="str">
        <f>VLOOKUP(I3879,[2]categories!$A$2:$B$8,2,0)</f>
        <v>Children Bicycles</v>
      </c>
    </row>
    <row r="3880" spans="1:10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0.07</v>
      </c>
      <c r="G3880" s="1">
        <f t="shared" si="60"/>
        <v>1711.1814</v>
      </c>
      <c r="H3880" t="str">
        <f>VLOOKUP(C3880,[1]products!$A:$B,2,0)</f>
        <v>Trek Domane AL 3 - 2018</v>
      </c>
      <c r="I3880">
        <f>VLOOKUP(H3880,[1]products!$B:$D,3,0)</f>
        <v>7</v>
      </c>
      <c r="J3880" t="str">
        <f>VLOOKUP(I3880,[2]categories!$A$2:$B$8,2,0)</f>
        <v>Road Bikes</v>
      </c>
    </row>
    <row r="3881" spans="1:10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 s="1">
        <f t="shared" si="60"/>
        <v>251.991</v>
      </c>
      <c r="H3881" t="str">
        <f>VLOOKUP(C3881,[1]products!$A:$B,2,0)</f>
        <v>Electra Water Lily 1 (16-inch) - Girl's - 2018</v>
      </c>
      <c r="I3881">
        <f>VLOOKUP(H3881,[1]products!$B:$D,3,0)</f>
        <v>1</v>
      </c>
      <c r="J3881" t="str">
        <f>VLOOKUP(I3881,[2]categories!$A$2:$B$8,2,0)</f>
        <v>Children Bicycles</v>
      </c>
    </row>
    <row r="3882" spans="1:10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 s="1">
        <f t="shared" si="60"/>
        <v>9499.981</v>
      </c>
      <c r="H3882" t="str">
        <f>VLOOKUP(C3882,[1]products!$A:$B,2,0)</f>
        <v>Trek Super Commuter+ 8S - 2018</v>
      </c>
      <c r="I3882">
        <f>VLOOKUP(H3882,[1]products!$B:$D,3,0)</f>
        <v>5</v>
      </c>
      <c r="J3882" t="str">
        <f>VLOOKUP(I3882,[2]categories!$A$2:$B$8,2,0)</f>
        <v>Electric Bikes</v>
      </c>
    </row>
    <row r="3883" spans="1:10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 s="1">
        <f t="shared" si="60"/>
        <v>1223.982</v>
      </c>
      <c r="H3883" t="str">
        <f>VLOOKUP(C3883,[1]products!$A:$B,2,0)</f>
        <v>Electra Townie Original 21D EQ - 2017/2018</v>
      </c>
      <c r="I3883">
        <f>VLOOKUP(H3883,[1]products!$B:$D,3,0)</f>
        <v>3</v>
      </c>
      <c r="J3883" t="str">
        <f>VLOOKUP(I3883,[2]categories!$A$2:$B$8,2,0)</f>
        <v>Cruisers Bicycles</v>
      </c>
    </row>
    <row r="3884" spans="1:10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 s="1">
        <f t="shared" si="60"/>
        <v>539.982</v>
      </c>
      <c r="H3884" t="str">
        <f>VLOOKUP(C3884,[1]products!$A:$B,2,0)</f>
        <v>Electra Sugar Skulls 1 (20-inch) - Girl's - 2017</v>
      </c>
      <c r="I3884">
        <f>VLOOKUP(H3884,[1]products!$B:$D,3,0)</f>
        <v>1</v>
      </c>
      <c r="J3884" t="str">
        <f>VLOOKUP(I3884,[2]categories!$A$2:$B$8,2,0)</f>
        <v>Children Bicycles</v>
      </c>
    </row>
    <row r="3885" spans="1:10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 s="1">
        <f t="shared" si="60"/>
        <v>522.4905</v>
      </c>
      <c r="H3885" t="str">
        <f>VLOOKUP(C3885,[1]products!$A:$B,2,0)</f>
        <v>Electra Townie Original 21D - 2016</v>
      </c>
      <c r="I3885">
        <f>VLOOKUP(H3885,[1]products!$B:$D,3,0)</f>
        <v>3</v>
      </c>
      <c r="J3885" t="str">
        <f>VLOOKUP(I3885,[2]categories!$A$2:$B$8,2,0)</f>
        <v>Cruisers Bicycles</v>
      </c>
    </row>
    <row r="3886" spans="1:10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 s="1">
        <f t="shared" si="60"/>
        <v>583.191</v>
      </c>
      <c r="H3886" t="str">
        <f>VLOOKUP(C3886,[1]products!$A:$B,2,0)</f>
        <v>Sun Bicycles Biscayne Tandem CB - 2017</v>
      </c>
      <c r="I3886">
        <f>VLOOKUP(H3886,[1]products!$B:$D,3,0)</f>
        <v>3</v>
      </c>
      <c r="J3886" t="str">
        <f>VLOOKUP(I3886,[2]categories!$A$2:$B$8,2,0)</f>
        <v>Cruisers Bicycles</v>
      </c>
    </row>
    <row r="3887" spans="1:10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 s="1">
        <f t="shared" si="60"/>
        <v>9499.981</v>
      </c>
      <c r="H3887" t="str">
        <f>VLOOKUP(C3887,[1]products!$A:$B,2,0)</f>
        <v>Trek Powerfly 7 FS - 2018</v>
      </c>
      <c r="I3887">
        <f>VLOOKUP(H3887,[1]products!$B:$D,3,0)</f>
        <v>5</v>
      </c>
      <c r="J3887" t="str">
        <f>VLOOKUP(I3887,[2]categories!$A$2:$B$8,2,0)</f>
        <v>Electric Bikes</v>
      </c>
    </row>
    <row r="3888" spans="1:10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0.07</v>
      </c>
      <c r="G3888" s="1">
        <f t="shared" si="60"/>
        <v>8369.9814</v>
      </c>
      <c r="H3888" t="str">
        <f>VLOOKUP(C3888,[1]products!$A:$B,2,0)</f>
        <v>Trek Emonda SLR 6 - 2018</v>
      </c>
      <c r="I3888">
        <f>VLOOKUP(H3888,[1]products!$B:$D,3,0)</f>
        <v>7</v>
      </c>
      <c r="J3888" t="str">
        <f>VLOOKUP(I3888,[2]categories!$A$2:$B$8,2,0)</f>
        <v>Road Bikes</v>
      </c>
    </row>
    <row r="3889" spans="1:10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 s="1">
        <f t="shared" si="60"/>
        <v>197.982</v>
      </c>
      <c r="H3889" t="str">
        <f>VLOOKUP(C3889,[1]products!$A:$B,2,0)</f>
        <v>Sun Bicycles Lil Kitt'n - 2017</v>
      </c>
      <c r="I3889">
        <f>VLOOKUP(H3889,[1]products!$B:$D,3,0)</f>
        <v>1</v>
      </c>
      <c r="J3889" t="str">
        <f>VLOOKUP(I3889,[2]categories!$A$2:$B$8,2,0)</f>
        <v>Children Bicycles</v>
      </c>
    </row>
    <row r="3890" spans="1:10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 s="1">
        <f t="shared" si="60"/>
        <v>256.4905</v>
      </c>
      <c r="H3890" t="str">
        <f>VLOOKUP(C3890,[1]products!$A:$B,2,0)</f>
        <v>Electra Cruiser 1 (24-Inch) - 2016</v>
      </c>
      <c r="I3890">
        <f>VLOOKUP(H3890,[1]products!$B:$D,3,0)</f>
        <v>3</v>
      </c>
      <c r="J3890" t="str">
        <f>VLOOKUP(I3890,[2]categories!$A$2:$B$8,2,0)</f>
        <v>Cruisers Bicycles</v>
      </c>
    </row>
    <row r="3891" spans="1:10">
      <c r="A3891">
        <v>1334</v>
      </c>
      <c r="B3891">
        <v>5</v>
      </c>
      <c r="C3891">
        <v>42</v>
      </c>
      <c r="D3891">
        <v>1</v>
      </c>
      <c r="E3891">
        <v>2299.99</v>
      </c>
      <c r="F3891">
        <v>0.05</v>
      </c>
      <c r="G3891" s="1">
        <f t="shared" si="60"/>
        <v>2184.9905</v>
      </c>
      <c r="H3891" t="str">
        <f>VLOOKUP(C3891,[1]products!$A:$B,2,0)</f>
        <v>Trek Fuel EX 5 27.5 Plus - 2017</v>
      </c>
      <c r="I3891">
        <f>VLOOKUP(H3891,[1]products!$B:$D,3,0)</f>
        <v>6</v>
      </c>
      <c r="J3891" t="str">
        <f>VLOOKUP(I3891,[2]categories!$A$2:$B$8,2,0)</f>
        <v>Mountain Bikes</v>
      </c>
    </row>
    <row r="3892" spans="1:10">
      <c r="A3892">
        <v>1335</v>
      </c>
      <c r="B3892">
        <v>1</v>
      </c>
      <c r="C3892">
        <v>138</v>
      </c>
      <c r="D3892">
        <v>2</v>
      </c>
      <c r="E3892">
        <v>2249.99</v>
      </c>
      <c r="F3892">
        <v>0.05</v>
      </c>
      <c r="G3892" s="1">
        <f t="shared" si="60"/>
        <v>4274.981</v>
      </c>
      <c r="H3892" t="str">
        <f>VLOOKUP(C3892,[1]products!$A:$B,2,0)</f>
        <v>Trek Fuel EX 5 Plus - 2018</v>
      </c>
      <c r="I3892">
        <f>VLOOKUP(H3892,[1]products!$B:$D,3,0)</f>
        <v>6</v>
      </c>
      <c r="J3892" t="str">
        <f>VLOOKUP(I3892,[2]categories!$A$2:$B$8,2,0)</f>
        <v>Mountain Bikes</v>
      </c>
    </row>
    <row r="3893" spans="1:10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 s="1">
        <f t="shared" si="60"/>
        <v>1599.984</v>
      </c>
      <c r="H3893" t="str">
        <f>VLOOKUP(C3893,[1]products!$A:$B,2,0)</f>
        <v>Trek X-Caliber 8 - 2017</v>
      </c>
      <c r="I3893">
        <f>VLOOKUP(H3893,[1]products!$B:$D,3,0)</f>
        <v>6</v>
      </c>
      <c r="J3893" t="str">
        <f>VLOOKUP(I3893,[2]categories!$A$2:$B$8,2,0)</f>
        <v>Mountain Bikes</v>
      </c>
    </row>
    <row r="3894" spans="1:10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 s="1">
        <f t="shared" si="60"/>
        <v>6174.9905</v>
      </c>
      <c r="H3894" t="str">
        <f>VLOOKUP(C3894,[1]products!$A:$B,2,0)</f>
        <v>Trek Domane SL Frameset Women's - 2018</v>
      </c>
      <c r="I3894">
        <f>VLOOKUP(H3894,[1]products!$B:$D,3,0)</f>
        <v>7</v>
      </c>
      <c r="J3894" t="str">
        <f>VLOOKUP(I3894,[2]categories!$A$2:$B$8,2,0)</f>
        <v>Road Bikes</v>
      </c>
    </row>
    <row r="3895" spans="1:10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0.07</v>
      </c>
      <c r="G3895" s="1">
        <f t="shared" si="60"/>
        <v>502.1814</v>
      </c>
      <c r="H3895" t="str">
        <f>VLOOKUP(C3895,[1]products!$A:$B,2,0)</f>
        <v>Electra Cruiser 1 (24-Inch) - 2016</v>
      </c>
      <c r="I3895">
        <f>VLOOKUP(H3895,[1]products!$B:$D,3,0)</f>
        <v>3</v>
      </c>
      <c r="J3895" t="str">
        <f>VLOOKUP(I3895,[2]categories!$A$2:$B$8,2,0)</f>
        <v>Cruisers Bicycles</v>
      </c>
    </row>
    <row r="3896" spans="1:10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 s="1">
        <f t="shared" si="60"/>
        <v>3599.991</v>
      </c>
      <c r="H3896" t="str">
        <f>VLOOKUP(C3896,[1]products!$A:$B,2,0)</f>
        <v>Trek Boone 7 Disc - 2018</v>
      </c>
      <c r="I3896">
        <f>VLOOKUP(H3896,[1]products!$B:$D,3,0)</f>
        <v>4</v>
      </c>
      <c r="J3896" t="str">
        <f>VLOOKUP(I3896,[2]categories!$A$2:$B$8,2,0)</f>
        <v>Cyclocross Bicycles</v>
      </c>
    </row>
    <row r="3897" spans="1:10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 s="1">
        <f t="shared" si="60"/>
        <v>2519.991</v>
      </c>
      <c r="H3897" t="str">
        <f>VLOOKUP(C3897,[1]products!$A:$B,2,0)</f>
        <v>Trek Conduit+ - 2018</v>
      </c>
      <c r="I3897">
        <f>VLOOKUP(H3897,[1]products!$B:$D,3,0)</f>
        <v>5</v>
      </c>
      <c r="J3897" t="str">
        <f>VLOOKUP(I3897,[2]categories!$A$2:$B$8,2,0)</f>
        <v>Electric Bikes</v>
      </c>
    </row>
    <row r="3898" spans="1:10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 s="1">
        <f t="shared" si="60"/>
        <v>4499.991</v>
      </c>
      <c r="H3898" t="str">
        <f>VLOOKUP(C3898,[1]products!$A:$B,2,0)</f>
        <v>Trek Domane SL 7 Women's - 2018</v>
      </c>
      <c r="I3898">
        <f>VLOOKUP(H3898,[1]products!$B:$D,3,0)</f>
        <v>7</v>
      </c>
      <c r="J3898" t="str">
        <f>VLOOKUP(I3898,[2]categories!$A$2:$B$8,2,0)</f>
        <v>Road Bikes</v>
      </c>
    </row>
    <row r="3899" spans="1:10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0.07</v>
      </c>
      <c r="G3899" s="1">
        <f t="shared" si="60"/>
        <v>12089.9814</v>
      </c>
      <c r="H3899" t="str">
        <f>VLOOKUP(C3899,[1]products!$A:$B,2,0)</f>
        <v>Trek Emonda SLR 8 - 2018</v>
      </c>
      <c r="I3899">
        <f>VLOOKUP(H3899,[1]products!$B:$D,3,0)</f>
        <v>7</v>
      </c>
      <c r="J3899" t="str">
        <f>VLOOKUP(I3899,[2]categories!$A$2:$B$8,2,0)</f>
        <v>Road Bikes</v>
      </c>
    </row>
    <row r="3900" spans="1:10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0.07</v>
      </c>
      <c r="G3900" s="1">
        <f t="shared" si="60"/>
        <v>2975.9907</v>
      </c>
      <c r="H3900" t="str">
        <f>VLOOKUP(C3900,[1]products!$A:$B,2,0)</f>
        <v>Trek Domane SLR Frameset - 2018</v>
      </c>
      <c r="I3900">
        <f>VLOOKUP(H3900,[1]products!$B:$D,3,0)</f>
        <v>7</v>
      </c>
      <c r="J3900" t="str">
        <f>VLOOKUP(I3900,[2]categories!$A$2:$B$8,2,0)</f>
        <v>Road Bikes</v>
      </c>
    </row>
    <row r="3901" spans="1:10">
      <c r="A3901">
        <v>1340</v>
      </c>
      <c r="B3901">
        <v>1</v>
      </c>
      <c r="C3901">
        <v>253</v>
      </c>
      <c r="D3901">
        <v>1</v>
      </c>
      <c r="E3901">
        <v>2599.99</v>
      </c>
      <c r="F3901">
        <v>0.2</v>
      </c>
      <c r="G3901" s="1">
        <f t="shared" si="60"/>
        <v>2079.992</v>
      </c>
      <c r="H3901" t="str">
        <f>VLOOKUP(C3901,[1]products!$A:$B,2,0)</f>
        <v>Electra Townie Go! 8i Ladies' - 2018</v>
      </c>
      <c r="I3901">
        <f>VLOOKUP(H3901,[1]products!$B:$D,3,0)</f>
        <v>5</v>
      </c>
      <c r="J3901" t="str">
        <f>VLOOKUP(I3901,[2]categories!$A$2:$B$8,2,0)</f>
        <v>Electric Bikes</v>
      </c>
    </row>
    <row r="3902" spans="1:10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 s="1">
        <f t="shared" si="60"/>
        <v>335.984</v>
      </c>
      <c r="H3902" t="str">
        <f>VLOOKUP(C3902,[1]products!$A:$B,2,0)</f>
        <v>Haro Shredder 20 - 2017</v>
      </c>
      <c r="I3902">
        <f>VLOOKUP(H3902,[1]products!$B:$D,3,0)</f>
        <v>1</v>
      </c>
      <c r="J3902" t="str">
        <f>VLOOKUP(I3902,[2]categories!$A$2:$B$8,2,0)</f>
        <v>Children Bicycles</v>
      </c>
    </row>
    <row r="3903" spans="1:10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 s="1">
        <f t="shared" si="60"/>
        <v>1614.981</v>
      </c>
      <c r="H3903" t="str">
        <f>VLOOKUP(C3903,[1]products!$A:$B,2,0)</f>
        <v>Electra Relic 3i - 2018</v>
      </c>
      <c r="I3903">
        <f>VLOOKUP(H3903,[1]products!$B:$D,3,0)</f>
        <v>3</v>
      </c>
      <c r="J3903" t="str">
        <f>VLOOKUP(I3903,[2]categories!$A$2:$B$8,2,0)</f>
        <v>Cruisers Bicycles</v>
      </c>
    </row>
    <row r="3904" spans="1:10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0.07</v>
      </c>
      <c r="G3904" s="1">
        <f t="shared" si="60"/>
        <v>1394.9814</v>
      </c>
      <c r="H3904" t="str">
        <f>VLOOKUP(C3904,[1]products!$A:$B,2,0)</f>
        <v>Electra Queen of Hearts 3i - 2018</v>
      </c>
      <c r="I3904">
        <f>VLOOKUP(H3904,[1]products!$B:$D,3,0)</f>
        <v>3</v>
      </c>
      <c r="J3904" t="str">
        <f>VLOOKUP(I3904,[2]categories!$A$2:$B$8,2,0)</f>
        <v>Cruisers Bicycles</v>
      </c>
    </row>
    <row r="3905" spans="1:10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 s="1">
        <f t="shared" si="60"/>
        <v>8799.984</v>
      </c>
      <c r="H3905" t="str">
        <f>VLOOKUP(C3905,[1]products!$A:$B,2,0)</f>
        <v>Trek Domane SLR 6 Disc - 2017</v>
      </c>
      <c r="I3905">
        <f>VLOOKUP(H3905,[1]products!$B:$D,3,0)</f>
        <v>7</v>
      </c>
      <c r="J3905" t="str">
        <f>VLOOKUP(I3905,[2]categories!$A$2:$B$8,2,0)</f>
        <v>Road Bikes</v>
      </c>
    </row>
    <row r="3906" spans="1:10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 s="1">
        <f t="shared" ref="G3906:G3969" si="61">D3906*E3906*(1-F3906)</f>
        <v>1709.981</v>
      </c>
      <c r="H3906" t="str">
        <f>VLOOKUP(C3906,[1]products!$A:$B,2,0)</f>
        <v>Electra Daydreamer 3i Ladies' - 2018</v>
      </c>
      <c r="I3906">
        <f>VLOOKUP(H3906,[1]products!$B:$D,3,0)</f>
        <v>3</v>
      </c>
      <c r="J3906" t="str">
        <f>VLOOKUP(I3906,[2]categories!$A$2:$B$8,2,0)</f>
        <v>Cruisers Bicycles</v>
      </c>
    </row>
    <row r="3907" spans="1:10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 s="1">
        <f t="shared" si="61"/>
        <v>476.881</v>
      </c>
      <c r="H3907" t="str">
        <f>VLOOKUP(C3907,[1]products!$A:$B,2,0)</f>
        <v>Sun Bicycles Revolutions 24 - 2017</v>
      </c>
      <c r="I3907">
        <f>VLOOKUP(H3907,[1]products!$B:$D,3,0)</f>
        <v>3</v>
      </c>
      <c r="J3907" t="str">
        <f>VLOOKUP(I3907,[2]categories!$A$2:$B$8,2,0)</f>
        <v>Cruisers Bicycles</v>
      </c>
    </row>
    <row r="3908" spans="1:10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 s="1">
        <f t="shared" si="61"/>
        <v>1481.9905</v>
      </c>
      <c r="H3908" t="str">
        <f>VLOOKUP(C3908,[1]products!$A:$B,2,0)</f>
        <v>Sun Bicycles ElectroLite - 2017</v>
      </c>
      <c r="I3908">
        <f>VLOOKUP(H3908,[1]products!$B:$D,3,0)</f>
        <v>5</v>
      </c>
      <c r="J3908" t="str">
        <f>VLOOKUP(I3908,[2]categories!$A$2:$B$8,2,0)</f>
        <v>Electric Bikes</v>
      </c>
    </row>
    <row r="3909" spans="1:10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 s="1">
        <f t="shared" si="61"/>
        <v>199.4905</v>
      </c>
      <c r="H3909" t="str">
        <f>VLOOKUP(C3909,[1]products!$A:$B,2,0)</f>
        <v>Trek Precaliber 16 Boy's - 2018</v>
      </c>
      <c r="I3909">
        <f>VLOOKUP(H3909,[1]products!$B:$D,3,0)</f>
        <v>1</v>
      </c>
      <c r="J3909" t="str">
        <f>VLOOKUP(I3909,[2]categories!$A$2:$B$8,2,0)</f>
        <v>Children Bicycles</v>
      </c>
    </row>
    <row r="3910" spans="1:10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 s="1">
        <f t="shared" si="61"/>
        <v>531.9905</v>
      </c>
      <c r="H3910" t="str">
        <f>VLOOKUP(C3910,[1]products!$A:$B,2,0)</f>
        <v>Electra Townie Original 21D Ladies' - 2018</v>
      </c>
      <c r="I3910">
        <f>VLOOKUP(H3910,[1]products!$B:$D,3,0)</f>
        <v>3</v>
      </c>
      <c r="J3910" t="str">
        <f>VLOOKUP(I3910,[2]categories!$A$2:$B$8,2,0)</f>
        <v>Cruisers Bicycles</v>
      </c>
    </row>
    <row r="3911" spans="1:10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 s="1">
        <f t="shared" si="61"/>
        <v>284.9905</v>
      </c>
      <c r="H3911" t="str">
        <f>VLOOKUP(C3911,[1]products!$A:$B,2,0)</f>
        <v>Electra Sugar Skulls 1 (20-inch) - Girl's - 2017</v>
      </c>
      <c r="I3911">
        <f>VLOOKUP(H3911,[1]products!$B:$D,3,0)</f>
        <v>1</v>
      </c>
      <c r="J3911" t="str">
        <f>VLOOKUP(I3911,[2]categories!$A$2:$B$8,2,0)</f>
        <v>Children Bicycles</v>
      </c>
    </row>
    <row r="3912" spans="1:10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 s="1">
        <f t="shared" si="61"/>
        <v>5599.984</v>
      </c>
      <c r="H3912" t="str">
        <f>VLOOKUP(C3912,[1]products!$A:$B,2,0)</f>
        <v>Trek Domane SL 6 Disc - 2018</v>
      </c>
      <c r="I3912">
        <f>VLOOKUP(H3912,[1]products!$B:$D,3,0)</f>
        <v>7</v>
      </c>
      <c r="J3912" t="str">
        <f>VLOOKUP(I3912,[2]categories!$A$2:$B$8,2,0)</f>
        <v>Road Bikes</v>
      </c>
    </row>
    <row r="3913" spans="1:10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 s="1">
        <f t="shared" si="61"/>
        <v>555.184</v>
      </c>
      <c r="H3913" t="str">
        <f>VLOOKUP(C3913,[1]products!$A:$B,2,0)</f>
        <v>Sun Bicycles Lil Bolt Type-R - 2017</v>
      </c>
      <c r="I3913">
        <f>VLOOKUP(H3913,[1]products!$B:$D,3,0)</f>
        <v>3</v>
      </c>
      <c r="J3913" t="str">
        <f>VLOOKUP(I3913,[2]categories!$A$2:$B$8,2,0)</f>
        <v>Cruisers Bicycles</v>
      </c>
    </row>
    <row r="3914" spans="1:10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 s="1">
        <f t="shared" si="61"/>
        <v>2969.991</v>
      </c>
      <c r="H3914" t="str">
        <f>VLOOKUP(C3914,[1]products!$A:$B,2,0)</f>
        <v>Trek Boone 5 Disc - 2018</v>
      </c>
      <c r="I3914">
        <f>VLOOKUP(H3914,[1]products!$B:$D,3,0)</f>
        <v>4</v>
      </c>
      <c r="J3914" t="str">
        <f>VLOOKUP(I3914,[2]categories!$A$2:$B$8,2,0)</f>
        <v>Cyclocross Bicycles</v>
      </c>
    </row>
    <row r="3915" spans="1:10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0.07</v>
      </c>
      <c r="G3915" s="1">
        <f t="shared" si="61"/>
        <v>1487.9814</v>
      </c>
      <c r="H3915" t="str">
        <f>VLOOKUP(C3915,[1]products!$A:$B,2,0)</f>
        <v>Electra Glam Punk 3i Ladies' - 2017</v>
      </c>
      <c r="I3915">
        <f>VLOOKUP(H3915,[1]products!$B:$D,3,0)</f>
        <v>3</v>
      </c>
      <c r="J3915" t="str">
        <f>VLOOKUP(I3915,[2]categories!$A$2:$B$8,2,0)</f>
        <v>Cruisers Bicycles</v>
      </c>
    </row>
    <row r="3916" spans="1:10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 s="1">
        <f t="shared" si="61"/>
        <v>883.184</v>
      </c>
      <c r="H3916" t="str">
        <f>VLOOKUP(C3916,[1]products!$A:$B,2,0)</f>
        <v>Sun Bicycles Streamway 3 - 2017</v>
      </c>
      <c r="I3916">
        <f>VLOOKUP(H3916,[1]products!$B:$D,3,0)</f>
        <v>2</v>
      </c>
      <c r="J3916" t="str">
        <f>VLOOKUP(I3916,[2]categories!$A$2:$B$8,2,0)</f>
        <v>Comfort Bicycles</v>
      </c>
    </row>
    <row r="3917" spans="1:10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0.07</v>
      </c>
      <c r="G3917" s="1">
        <f t="shared" si="61"/>
        <v>929.9907</v>
      </c>
      <c r="H3917" t="str">
        <f>VLOOKUP(C3917,[1]products!$A:$B,2,0)</f>
        <v>Surly Wednesday Frameset - 2016</v>
      </c>
      <c r="I3917">
        <f>VLOOKUP(H3917,[1]products!$B:$D,3,0)</f>
        <v>6</v>
      </c>
      <c r="J3917" t="str">
        <f>VLOOKUP(I3917,[2]categories!$A$2:$B$8,2,0)</f>
        <v>Mountain Bikes</v>
      </c>
    </row>
    <row r="3918" spans="1:10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0.07</v>
      </c>
      <c r="G3918" s="1">
        <f t="shared" si="61"/>
        <v>4649.9907</v>
      </c>
      <c r="H3918" t="str">
        <f>VLOOKUP(C3918,[1]products!$A:$B,2,0)</f>
        <v>Trek Powerfly 8 FS Plus - 2017</v>
      </c>
      <c r="I3918">
        <f>VLOOKUP(H3918,[1]products!$B:$D,3,0)</f>
        <v>5</v>
      </c>
      <c r="J3918" t="str">
        <f>VLOOKUP(I3918,[2]categories!$A$2:$B$8,2,0)</f>
        <v>Electric Bikes</v>
      </c>
    </row>
    <row r="3919" spans="1:10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 s="1">
        <f t="shared" si="61"/>
        <v>7999.984</v>
      </c>
      <c r="H3919" t="str">
        <f>VLOOKUP(C3919,[1]products!$A:$B,2,0)</f>
        <v>Trek Fuel EX 9.8 29 - 2017</v>
      </c>
      <c r="I3919">
        <f>VLOOKUP(H3919,[1]products!$B:$D,3,0)</f>
        <v>6</v>
      </c>
      <c r="J3919" t="str">
        <f>VLOOKUP(I3919,[2]categories!$A$2:$B$8,2,0)</f>
        <v>Mountain Bikes</v>
      </c>
    </row>
    <row r="3920" spans="1:10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 s="1">
        <f t="shared" si="61"/>
        <v>6079.981</v>
      </c>
      <c r="H3920" t="str">
        <f>VLOOKUP(C3920,[1]products!$A:$B,2,0)</f>
        <v>Trek Domane ALR Disc Frameset - 2018</v>
      </c>
      <c r="I3920">
        <f>VLOOKUP(H3920,[1]products!$B:$D,3,0)</f>
        <v>7</v>
      </c>
      <c r="J3920" t="str">
        <f>VLOOKUP(I3920,[2]categories!$A$2:$B$8,2,0)</f>
        <v>Road Bikes</v>
      </c>
    </row>
    <row r="3921" spans="1:10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 s="1">
        <f t="shared" si="61"/>
        <v>2478.4</v>
      </c>
      <c r="H3921" t="str">
        <f>VLOOKUP(C3921,[1]products!$A:$B,2,0)</f>
        <v>Surly Straggler 650b - 2018</v>
      </c>
      <c r="I3921">
        <f>VLOOKUP(H3921,[1]products!$B:$D,3,0)</f>
        <v>7</v>
      </c>
      <c r="J3921" t="str">
        <f>VLOOKUP(I3921,[2]categories!$A$2:$B$8,2,0)</f>
        <v>Road Bikes</v>
      </c>
    </row>
    <row r="3922" spans="1:10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 s="1">
        <f t="shared" si="61"/>
        <v>1199.984</v>
      </c>
      <c r="H3922" t="str">
        <f>VLOOKUP(C3922,[1]products!$A:$B,2,0)</f>
        <v>Ritchey Timberwolf Frameset - 2016</v>
      </c>
      <c r="I3922">
        <f>VLOOKUP(H3922,[1]products!$B:$D,3,0)</f>
        <v>6</v>
      </c>
      <c r="J3922" t="str">
        <f>VLOOKUP(I3922,[2]categories!$A$2:$B$8,2,0)</f>
        <v>Mountain Bikes</v>
      </c>
    </row>
    <row r="3923" spans="1:10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 s="1">
        <f t="shared" si="61"/>
        <v>2849.981</v>
      </c>
      <c r="H3923" t="str">
        <f>VLOOKUP(C3923,[1]products!$A:$B,2,0)</f>
        <v>Trek Remedy 27.5 C Frameset - 2018</v>
      </c>
      <c r="I3923">
        <f>VLOOKUP(H3923,[1]products!$B:$D,3,0)</f>
        <v>6</v>
      </c>
      <c r="J3923" t="str">
        <f>VLOOKUP(I3923,[2]categories!$A$2:$B$8,2,0)</f>
        <v>Mountain Bikes</v>
      </c>
    </row>
    <row r="3924" spans="1:10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 s="1">
        <f t="shared" si="61"/>
        <v>4274.9905</v>
      </c>
      <c r="H3924" t="str">
        <f>VLOOKUP(C3924,[1]products!$A:$B,2,0)</f>
        <v>Trek Emonda SL 7 - 2018</v>
      </c>
      <c r="I3924">
        <f>VLOOKUP(H3924,[1]products!$B:$D,3,0)</f>
        <v>7</v>
      </c>
      <c r="J3924" t="str">
        <f>VLOOKUP(I3924,[2]categories!$A$2:$B$8,2,0)</f>
        <v>Road Bikes</v>
      </c>
    </row>
    <row r="3925" spans="1:10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 s="1">
        <f t="shared" si="61"/>
        <v>853.1</v>
      </c>
      <c r="H3925" t="str">
        <f>VLOOKUP(C3925,[1]products!$A:$B,2,0)</f>
        <v>Pure Cycles Western 3-Speed - Women's - 2015/2016</v>
      </c>
      <c r="I3925">
        <f>VLOOKUP(H3925,[1]products!$B:$D,3,0)</f>
        <v>3</v>
      </c>
      <c r="J3925" t="str">
        <f>VLOOKUP(I3925,[2]categories!$A$2:$B$8,2,0)</f>
        <v>Cruisers Bicycles</v>
      </c>
    </row>
    <row r="3926" spans="1:10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 s="1">
        <f t="shared" si="61"/>
        <v>674.991</v>
      </c>
      <c r="H3926" t="str">
        <f>VLOOKUP(C3926,[1]products!$A:$B,2,0)</f>
        <v>Electra White Water 3i - 2018</v>
      </c>
      <c r="I3926">
        <f>VLOOKUP(H3926,[1]products!$B:$D,3,0)</f>
        <v>3</v>
      </c>
      <c r="J3926" t="str">
        <f>VLOOKUP(I3926,[2]categories!$A$2:$B$8,2,0)</f>
        <v>Cruisers Bicycles</v>
      </c>
    </row>
    <row r="3927" spans="1:10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 s="1">
        <f t="shared" si="61"/>
        <v>143.984</v>
      </c>
      <c r="H3927" t="str">
        <f>VLOOKUP(C3927,[1]products!$A:$B,2,0)</f>
        <v>Strider Classic 12 Balance Bike - 2018</v>
      </c>
      <c r="I3927">
        <f>VLOOKUP(H3927,[1]products!$B:$D,3,0)</f>
        <v>1</v>
      </c>
      <c r="J3927" t="str">
        <f>VLOOKUP(I3927,[2]categories!$A$2:$B$8,2,0)</f>
        <v>Children Bicycles</v>
      </c>
    </row>
    <row r="3928" spans="1:10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0.07</v>
      </c>
      <c r="G3928" s="1">
        <f t="shared" si="61"/>
        <v>9857.9814</v>
      </c>
      <c r="H3928" t="str">
        <f>VLOOKUP(C3928,[1]products!$A:$B,2,0)</f>
        <v>Trek Fuel EX 9.8 27.5 Plus - 2017</v>
      </c>
      <c r="I3928">
        <f>VLOOKUP(H3928,[1]products!$B:$D,3,0)</f>
        <v>6</v>
      </c>
      <c r="J3928" t="str">
        <f>VLOOKUP(I3928,[2]categories!$A$2:$B$8,2,0)</f>
        <v>Mountain Bikes</v>
      </c>
    </row>
    <row r="3929" spans="1:10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 s="1">
        <f t="shared" si="61"/>
        <v>712.4905</v>
      </c>
      <c r="H3929" t="str">
        <f>VLOOKUP(C3929,[1]products!$A:$B,2,0)</f>
        <v>Surly Ogre Frameset - 2017</v>
      </c>
      <c r="I3929">
        <f>VLOOKUP(H3929,[1]products!$B:$D,3,0)</f>
        <v>7</v>
      </c>
      <c r="J3929" t="str">
        <f>VLOOKUP(I3929,[2]categories!$A$2:$B$8,2,0)</f>
        <v>Road Bikes</v>
      </c>
    </row>
    <row r="3930" spans="1:10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 s="1">
        <f t="shared" si="61"/>
        <v>4749.9905</v>
      </c>
      <c r="H3930" t="str">
        <f>VLOOKUP(C3930,[1]products!$A:$B,2,0)</f>
        <v>Trek Powerfly 7 FS - 2018</v>
      </c>
      <c r="I3930">
        <f>VLOOKUP(H3930,[1]products!$B:$D,3,0)</f>
        <v>5</v>
      </c>
      <c r="J3930" t="str">
        <f>VLOOKUP(I3930,[2]categories!$A$2:$B$8,2,0)</f>
        <v>Electric Bikes</v>
      </c>
    </row>
    <row r="3931" spans="1:10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 s="1">
        <f t="shared" si="61"/>
        <v>5224.9905</v>
      </c>
      <c r="H3931" t="str">
        <f>VLOOKUP(C3931,[1]products!$A:$B,2,0)</f>
        <v>Trek Domane SL 8 Disc - 2018</v>
      </c>
      <c r="I3931">
        <f>VLOOKUP(H3931,[1]products!$B:$D,3,0)</f>
        <v>7</v>
      </c>
      <c r="J3931" t="str">
        <f>VLOOKUP(I3931,[2]categories!$A$2:$B$8,2,0)</f>
        <v>Road Bikes</v>
      </c>
    </row>
    <row r="3932" spans="1:10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 s="1">
        <f t="shared" si="61"/>
        <v>8999.982</v>
      </c>
      <c r="H3932" t="str">
        <f>VLOOKUP(C3932,[1]products!$A:$B,2,0)</f>
        <v>Trek Madone 9.2 - 2017</v>
      </c>
      <c r="I3932">
        <f>VLOOKUP(H3932,[1]products!$B:$D,3,0)</f>
        <v>7</v>
      </c>
      <c r="J3932" t="str">
        <f>VLOOKUP(I3932,[2]categories!$A$2:$B$8,2,0)</f>
        <v>Road Bikes</v>
      </c>
    </row>
    <row r="3933" spans="1:10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0.07</v>
      </c>
      <c r="G3933" s="1">
        <f t="shared" si="61"/>
        <v>1673.9907</v>
      </c>
      <c r="H3933" t="str">
        <f>VLOOKUP(C3933,[1]products!$A:$B,2,0)</f>
        <v>Trek Domane ALR 5 Gravel - 2018</v>
      </c>
      <c r="I3933">
        <f>VLOOKUP(H3933,[1]products!$B:$D,3,0)</f>
        <v>7</v>
      </c>
      <c r="J3933" t="str">
        <f>VLOOKUP(I3933,[2]categories!$A$2:$B$8,2,0)</f>
        <v>Road Bikes</v>
      </c>
    </row>
    <row r="3934" spans="1:10">
      <c r="A3934">
        <v>1349</v>
      </c>
      <c r="B3934">
        <v>1</v>
      </c>
      <c r="C3934">
        <v>138</v>
      </c>
      <c r="D3934">
        <v>2</v>
      </c>
      <c r="E3934">
        <v>2249.99</v>
      </c>
      <c r="F3934">
        <v>0.05</v>
      </c>
      <c r="G3934" s="1">
        <f t="shared" si="61"/>
        <v>4274.981</v>
      </c>
      <c r="H3934" t="str">
        <f>VLOOKUP(C3934,[1]products!$A:$B,2,0)</f>
        <v>Trek Fuel EX 5 Plus - 2018</v>
      </c>
      <c r="I3934">
        <f>VLOOKUP(H3934,[1]products!$B:$D,3,0)</f>
        <v>6</v>
      </c>
      <c r="J3934" t="str">
        <f>VLOOKUP(I3934,[2]categories!$A$2:$B$8,2,0)</f>
        <v>Mountain Bikes</v>
      </c>
    </row>
    <row r="3935" spans="1:10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0.07</v>
      </c>
      <c r="G3935" s="1">
        <f t="shared" si="61"/>
        <v>9299.9814</v>
      </c>
      <c r="H3935" t="str">
        <f>VLOOKUP(C3935,[1]products!$A:$B,2,0)</f>
        <v>Trek Super Commuter+ 8S - 2018</v>
      </c>
      <c r="I3935">
        <f>VLOOKUP(H3935,[1]products!$B:$D,3,0)</f>
        <v>5</v>
      </c>
      <c r="J3935" t="str">
        <f>VLOOKUP(I3935,[2]categories!$A$2:$B$8,2,0)</f>
        <v>Electric Bikes</v>
      </c>
    </row>
    <row r="3936" spans="1:10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 s="1">
        <f t="shared" si="61"/>
        <v>2478.4</v>
      </c>
      <c r="H3936" t="str">
        <f>VLOOKUP(C3936,[1]products!$A:$B,2,0)</f>
        <v>Surly Straggler - 2018</v>
      </c>
      <c r="I3936">
        <f>VLOOKUP(H3936,[1]products!$B:$D,3,0)</f>
        <v>7</v>
      </c>
      <c r="J3936" t="str">
        <f>VLOOKUP(I3936,[2]categories!$A$2:$B$8,2,0)</f>
        <v>Road Bikes</v>
      </c>
    </row>
    <row r="3937" spans="1:10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 s="1">
        <f t="shared" si="61"/>
        <v>2799.992</v>
      </c>
      <c r="H3937" t="str">
        <f>VLOOKUP(C3937,[1]products!$A:$B,2,0)</f>
        <v>Trek Domane SL 6 Disc - 2018</v>
      </c>
      <c r="I3937">
        <f>VLOOKUP(H3937,[1]products!$B:$D,3,0)</f>
        <v>7</v>
      </c>
      <c r="J3937" t="str">
        <f>VLOOKUP(I3937,[2]categories!$A$2:$B$8,2,0)</f>
        <v>Road Bikes</v>
      </c>
    </row>
    <row r="3938" spans="1:10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 s="1">
        <f t="shared" si="61"/>
        <v>674.991</v>
      </c>
      <c r="H3938" t="str">
        <f>VLOOKUP(C3938,[1]products!$A:$B,2,0)</f>
        <v>Electra Townie Balloon 3i EQ - 2017/2018</v>
      </c>
      <c r="I3938">
        <f>VLOOKUP(H3938,[1]products!$B:$D,3,0)</f>
        <v>3</v>
      </c>
      <c r="J3938" t="str">
        <f>VLOOKUP(I3938,[2]categories!$A$2:$B$8,2,0)</f>
        <v>Cruisers Bicycles</v>
      </c>
    </row>
    <row r="3939" spans="1:10">
      <c r="A3939">
        <v>1350</v>
      </c>
      <c r="B3939">
        <v>2</v>
      </c>
      <c r="C3939">
        <v>250</v>
      </c>
      <c r="D3939">
        <v>1</v>
      </c>
      <c r="E3939">
        <v>2599.99</v>
      </c>
      <c r="F3939">
        <v>0.07</v>
      </c>
      <c r="G3939" s="1">
        <f t="shared" si="61"/>
        <v>2417.9907</v>
      </c>
      <c r="H3939" t="str">
        <f>VLOOKUP(C3939,[1]products!$A:$B,2,0)</f>
        <v>Electra Townie Go! 8i - 2017/2018</v>
      </c>
      <c r="I3939">
        <f>VLOOKUP(H3939,[1]products!$B:$D,3,0)</f>
        <v>5</v>
      </c>
      <c r="J3939" t="str">
        <f>VLOOKUP(I3939,[2]categories!$A$2:$B$8,2,0)</f>
        <v>Electric Bikes</v>
      </c>
    </row>
    <row r="3940" spans="1:10">
      <c r="A3940">
        <v>1350</v>
      </c>
      <c r="B3940">
        <v>3</v>
      </c>
      <c r="C3940">
        <v>253</v>
      </c>
      <c r="D3940">
        <v>1</v>
      </c>
      <c r="E3940">
        <v>2599.99</v>
      </c>
      <c r="F3940">
        <v>0.07</v>
      </c>
      <c r="G3940" s="1">
        <f t="shared" si="61"/>
        <v>2417.9907</v>
      </c>
      <c r="H3940" t="str">
        <f>VLOOKUP(C3940,[1]products!$A:$B,2,0)</f>
        <v>Electra Townie Go! 8i Ladies' - 2018</v>
      </c>
      <c r="I3940">
        <f>VLOOKUP(H3940,[1]products!$B:$D,3,0)</f>
        <v>5</v>
      </c>
      <c r="J3940" t="str">
        <f>VLOOKUP(I3940,[2]categories!$A$2:$B$8,2,0)</f>
        <v>Electric Bikes</v>
      </c>
    </row>
    <row r="3941" spans="1:10">
      <c r="A3941">
        <v>1350</v>
      </c>
      <c r="B3941">
        <v>4</v>
      </c>
      <c r="C3941">
        <v>159</v>
      </c>
      <c r="D3941">
        <v>1</v>
      </c>
      <c r="E3941">
        <v>2299.99</v>
      </c>
      <c r="F3941">
        <v>0.05</v>
      </c>
      <c r="G3941" s="1">
        <f t="shared" si="61"/>
        <v>2184.9905</v>
      </c>
      <c r="H3941" t="str">
        <f>VLOOKUP(C3941,[1]products!$A:$B,2,0)</f>
        <v>Trek Emonda ALR 6 - 2018</v>
      </c>
      <c r="I3941">
        <f>VLOOKUP(H3941,[1]products!$B:$D,3,0)</f>
        <v>7</v>
      </c>
      <c r="J3941" t="str">
        <f>VLOOKUP(I3941,[2]categories!$A$2:$B$8,2,0)</f>
        <v>Road Bikes</v>
      </c>
    </row>
    <row r="3942" spans="1:10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 s="1">
        <f t="shared" si="61"/>
        <v>431.984</v>
      </c>
      <c r="H3942" t="str">
        <f>VLOOKUP(C3942,[1]products!$A:$B,2,0)</f>
        <v>Electra Cruiser 1 (24-Inch) - 2016</v>
      </c>
      <c r="I3942">
        <f>VLOOKUP(H3942,[1]products!$B:$D,3,0)</f>
        <v>3</v>
      </c>
      <c r="J3942" t="str">
        <f>VLOOKUP(I3942,[2]categories!$A$2:$B$8,2,0)</f>
        <v>Cruisers Bicycles</v>
      </c>
    </row>
    <row r="3943" spans="1:10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 s="1">
        <f t="shared" si="61"/>
        <v>447.984</v>
      </c>
      <c r="H3943" t="str">
        <f>VLOOKUP(C3943,[1]products!$A:$B,2,0)</f>
        <v>Electra Under-The-Sea 1 16" - 2018</v>
      </c>
      <c r="I3943">
        <f>VLOOKUP(H3943,[1]products!$B:$D,3,0)</f>
        <v>1</v>
      </c>
      <c r="J3943" t="str">
        <f>VLOOKUP(I3943,[2]categories!$A$2:$B$8,2,0)</f>
        <v>Children Bicycles</v>
      </c>
    </row>
    <row r="3944" spans="1:10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 s="1">
        <f t="shared" si="61"/>
        <v>1349.991</v>
      </c>
      <c r="H3944" t="str">
        <f>VLOOKUP(C3944,[1]products!$A:$B,2,0)</f>
        <v>Trek Procaliber Frameset - 2018</v>
      </c>
      <c r="I3944">
        <f>VLOOKUP(H3944,[1]products!$B:$D,3,0)</f>
        <v>6</v>
      </c>
      <c r="J3944" t="str">
        <f>VLOOKUP(I3944,[2]categories!$A$2:$B$8,2,0)</f>
        <v>Mountain Bikes</v>
      </c>
    </row>
    <row r="3945" spans="1:10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 s="1">
        <f t="shared" si="61"/>
        <v>1439.992</v>
      </c>
      <c r="H3945" t="str">
        <f>VLOOKUP(C3945,[1]products!$A:$B,2,0)</f>
        <v>Trek Procaliber 6 - 2018</v>
      </c>
      <c r="I3945">
        <f>VLOOKUP(H3945,[1]products!$B:$D,3,0)</f>
        <v>6</v>
      </c>
      <c r="J3945" t="str">
        <f>VLOOKUP(I3945,[2]categories!$A$2:$B$8,2,0)</f>
        <v>Mountain Bikes</v>
      </c>
    </row>
    <row r="3946" spans="1:10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 s="1">
        <f t="shared" si="61"/>
        <v>1576.782</v>
      </c>
      <c r="H3946" t="str">
        <f>VLOOKUP(C3946,[1]products!$A:$B,2,0)</f>
        <v>Surly Steamroller - 2017</v>
      </c>
      <c r="I3946">
        <f>VLOOKUP(H3946,[1]products!$B:$D,3,0)</f>
        <v>7</v>
      </c>
      <c r="J3946" t="str">
        <f>VLOOKUP(I3946,[2]categories!$A$2:$B$8,2,0)</f>
        <v>Road Bikes</v>
      </c>
    </row>
    <row r="3947" spans="1:10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 s="1">
        <f t="shared" si="61"/>
        <v>503.982</v>
      </c>
      <c r="H3947" t="str">
        <f>VLOOKUP(C3947,[1]products!$A:$B,2,0)</f>
        <v>Electra Cyclosaurus 1 (16-inch) - Boy's - 2018</v>
      </c>
      <c r="I3947">
        <f>VLOOKUP(H3947,[1]products!$B:$D,3,0)</f>
        <v>1</v>
      </c>
      <c r="J3947" t="str">
        <f>VLOOKUP(I3947,[2]categories!$A$2:$B$8,2,0)</f>
        <v>Children Bicycles</v>
      </c>
    </row>
    <row r="3948" spans="1:10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 s="1">
        <f t="shared" si="61"/>
        <v>239.984</v>
      </c>
      <c r="H3948" t="str">
        <f>VLOOKUP(C3948,[1]products!$A:$B,2,0)</f>
        <v>Trek Girl's Kickster - 2017</v>
      </c>
      <c r="I3948">
        <f>VLOOKUP(H3948,[1]products!$B:$D,3,0)</f>
        <v>1</v>
      </c>
      <c r="J3948" t="str">
        <f>VLOOKUP(I3948,[2]categories!$A$2:$B$8,2,0)</f>
        <v>Children Bicycles</v>
      </c>
    </row>
    <row r="3949" spans="1:10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 s="1">
        <f t="shared" si="61"/>
        <v>465.4905</v>
      </c>
      <c r="H3949" t="str">
        <f>VLOOKUP(C3949,[1]products!$A:$B,2,0)</f>
        <v>Electra Townie 3i EQ (20-inch) - Boys' - 2017</v>
      </c>
      <c r="I3949">
        <f>VLOOKUP(H3949,[1]products!$B:$D,3,0)</f>
        <v>1</v>
      </c>
      <c r="J3949" t="str">
        <f>VLOOKUP(I3949,[2]categories!$A$2:$B$8,2,0)</f>
        <v>Children Bicycles</v>
      </c>
    </row>
    <row r="3950" spans="1:10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 s="1">
        <f t="shared" si="61"/>
        <v>792.281</v>
      </c>
      <c r="H3950" t="str">
        <f>VLOOKUP(C3950,[1]products!$A:$B,2,0)</f>
        <v>Sun Bicycles Cruz 7 - 2017</v>
      </c>
      <c r="I3950">
        <f>VLOOKUP(H3950,[1]products!$B:$D,3,0)</f>
        <v>3</v>
      </c>
      <c r="J3950" t="str">
        <f>VLOOKUP(I3950,[2]categories!$A$2:$B$8,2,0)</f>
        <v>Cruisers Bicycles</v>
      </c>
    </row>
    <row r="3951" spans="1:10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0.07</v>
      </c>
      <c r="G3951" s="1">
        <f t="shared" si="61"/>
        <v>595.1907</v>
      </c>
      <c r="H3951" t="str">
        <f>VLOOKUP(C3951,[1]products!$A:$B,2,0)</f>
        <v>Electra Cruiser Lux Fat Tire 7D - 2018</v>
      </c>
      <c r="I3951">
        <f>VLOOKUP(H3951,[1]products!$B:$D,3,0)</f>
        <v>3</v>
      </c>
      <c r="J3951" t="str">
        <f>VLOOKUP(I3951,[2]categories!$A$2:$B$8,2,0)</f>
        <v>Cruisers Bicycles</v>
      </c>
    </row>
    <row r="3952" spans="1:10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 s="1">
        <f t="shared" si="61"/>
        <v>639.992</v>
      </c>
      <c r="H3952" t="str">
        <f>VLOOKUP(C3952,[1]products!$A:$B,2,0)</f>
        <v>Electra Townie Balloon 3i EQ Ladies' - 2018</v>
      </c>
      <c r="I3952">
        <f>VLOOKUP(H3952,[1]products!$B:$D,3,0)</f>
        <v>3</v>
      </c>
      <c r="J3952" t="str">
        <f>VLOOKUP(I3952,[2]categories!$A$2:$B$8,2,0)</f>
        <v>Cruisers Bicycles</v>
      </c>
    </row>
    <row r="3953" spans="1:10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 s="1">
        <f t="shared" si="61"/>
        <v>284.981</v>
      </c>
      <c r="H3953" t="str">
        <f>VLOOKUP(C3953,[1]products!$A:$B,2,0)</f>
        <v>Trek Girl's Kickster - 2017</v>
      </c>
      <c r="I3953">
        <f>VLOOKUP(H3953,[1]products!$B:$D,3,0)</f>
        <v>1</v>
      </c>
      <c r="J3953" t="str">
        <f>VLOOKUP(I3953,[2]categories!$A$2:$B$8,2,0)</f>
        <v>Children Bicycles</v>
      </c>
    </row>
    <row r="3954" spans="1:10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0.07</v>
      </c>
      <c r="G3954" s="1">
        <f t="shared" si="61"/>
        <v>1394.9814</v>
      </c>
      <c r="H3954" t="str">
        <f>VLOOKUP(C3954,[1]products!$A:$B,2,0)</f>
        <v>Trek Domane AL 2 Women's - 2018</v>
      </c>
      <c r="I3954">
        <f>VLOOKUP(H3954,[1]products!$B:$D,3,0)</f>
        <v>7</v>
      </c>
      <c r="J3954" t="str">
        <f>VLOOKUP(I3954,[2]categories!$A$2:$B$8,2,0)</f>
        <v>Road Bikes</v>
      </c>
    </row>
    <row r="3955" spans="1:10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 s="1">
        <f t="shared" si="61"/>
        <v>251.991</v>
      </c>
      <c r="H3955" t="str">
        <f>VLOOKUP(C3955,[1]products!$A:$B,2,0)</f>
        <v>Electra Under-The-Sea 1 16" - 2018</v>
      </c>
      <c r="I3955">
        <f>VLOOKUP(H3955,[1]products!$B:$D,3,0)</f>
        <v>1</v>
      </c>
      <c r="J3955" t="str">
        <f>VLOOKUP(I3955,[2]categories!$A$2:$B$8,2,0)</f>
        <v>Children Bicycles</v>
      </c>
    </row>
    <row r="3956" spans="1:10">
      <c r="A3956">
        <v>1355</v>
      </c>
      <c r="B3956">
        <v>2</v>
      </c>
      <c r="C3956">
        <v>253</v>
      </c>
      <c r="D3956">
        <v>1</v>
      </c>
      <c r="E3956">
        <v>2599.99</v>
      </c>
      <c r="F3956">
        <v>0.07</v>
      </c>
      <c r="G3956" s="1">
        <f t="shared" si="61"/>
        <v>2417.9907</v>
      </c>
      <c r="H3956" t="str">
        <f>VLOOKUP(C3956,[1]products!$A:$B,2,0)</f>
        <v>Electra Townie Go! 8i Ladies' - 2018</v>
      </c>
      <c r="I3956">
        <f>VLOOKUP(H3956,[1]products!$B:$D,3,0)</f>
        <v>5</v>
      </c>
      <c r="J3956" t="str">
        <f>VLOOKUP(I3956,[2]categories!$A$2:$B$8,2,0)</f>
        <v>Electric Bikes</v>
      </c>
    </row>
    <row r="3957" spans="1:10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 s="1">
        <f t="shared" si="61"/>
        <v>5999.992</v>
      </c>
      <c r="H3957" t="str">
        <f>VLOOKUP(C3957,[1]products!$A:$B,2,0)</f>
        <v>Trek Domane SLR 8 Disc - 2018</v>
      </c>
      <c r="I3957">
        <f>VLOOKUP(H3957,[1]products!$B:$D,3,0)</f>
        <v>7</v>
      </c>
      <c r="J3957" t="str">
        <f>VLOOKUP(I3957,[2]categories!$A$2:$B$8,2,0)</f>
        <v>Road Bikes</v>
      </c>
    </row>
    <row r="3958" spans="1:10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 s="1">
        <f t="shared" si="61"/>
        <v>809.982</v>
      </c>
      <c r="H3958" t="str">
        <f>VLOOKUP(C3958,[1]products!$A:$B,2,0)</f>
        <v>Electra Townie Original 1 Ladies' - 2018</v>
      </c>
      <c r="I3958">
        <f>VLOOKUP(H3958,[1]products!$B:$D,3,0)</f>
        <v>2</v>
      </c>
      <c r="J3958" t="str">
        <f>VLOOKUP(I3958,[2]categories!$A$2:$B$8,2,0)</f>
        <v>Comfort Bicycles</v>
      </c>
    </row>
    <row r="3959" spans="1:10">
      <c r="A3959">
        <v>1356</v>
      </c>
      <c r="B3959">
        <v>1</v>
      </c>
      <c r="C3959">
        <v>192</v>
      </c>
      <c r="D3959">
        <v>1</v>
      </c>
      <c r="E3959">
        <v>2599.99</v>
      </c>
      <c r="F3959">
        <v>0.05</v>
      </c>
      <c r="G3959" s="1">
        <f t="shared" si="61"/>
        <v>2469.9905</v>
      </c>
      <c r="H3959" t="str">
        <f>VLOOKUP(C3959,[1]products!$A:$B,2,0)</f>
        <v>Electra Townie Go! 8i - 2017/2018</v>
      </c>
      <c r="I3959">
        <f>VLOOKUP(H3959,[1]products!$B:$D,3,0)</f>
        <v>5</v>
      </c>
      <c r="J3959" t="str">
        <f>VLOOKUP(I3959,[2]categories!$A$2:$B$8,2,0)</f>
        <v>Electric Bikes</v>
      </c>
    </row>
    <row r="3960" spans="1:10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 s="1">
        <f t="shared" si="61"/>
        <v>5399.982</v>
      </c>
      <c r="H3960" t="str">
        <f>VLOOKUP(C3960,[1]products!$A:$B,2,0)</f>
        <v>Electra Townie Commute Go! Ladies' - 2018</v>
      </c>
      <c r="I3960">
        <f>VLOOKUP(H3960,[1]products!$B:$D,3,0)</f>
        <v>5</v>
      </c>
      <c r="J3960" t="str">
        <f>VLOOKUP(I3960,[2]categories!$A$2:$B$8,2,0)</f>
        <v>Electric Bikes</v>
      </c>
    </row>
    <row r="3961" spans="1:10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 s="1">
        <f t="shared" si="61"/>
        <v>575.982</v>
      </c>
      <c r="H3961" t="str">
        <f>VLOOKUP(C3961,[1]products!$A:$B,2,0)</f>
        <v>Trek Precaliber 24 (7-Speed) - Boys - 2018</v>
      </c>
      <c r="I3961">
        <f>VLOOKUP(H3961,[1]products!$B:$D,3,0)</f>
        <v>1</v>
      </c>
      <c r="J3961" t="str">
        <f>VLOOKUP(I3961,[2]categories!$A$2:$B$8,2,0)</f>
        <v>Children Bicycles</v>
      </c>
    </row>
    <row r="3962" spans="1:10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 s="1">
        <f t="shared" si="61"/>
        <v>2879.984</v>
      </c>
      <c r="H3962" t="str">
        <f>VLOOKUP(C3962,[1]products!$A:$B,2,0)</f>
        <v>Trek Domane ALR 5 Disc - 2018</v>
      </c>
      <c r="I3962">
        <f>VLOOKUP(H3962,[1]products!$B:$D,3,0)</f>
        <v>7</v>
      </c>
      <c r="J3962" t="str">
        <f>VLOOKUP(I3962,[2]categories!$A$2:$B$8,2,0)</f>
        <v>Road Bikes</v>
      </c>
    </row>
    <row r="3963" spans="1:10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 s="1">
        <f t="shared" si="61"/>
        <v>1247.992</v>
      </c>
      <c r="H3963" t="str">
        <f>VLOOKUP(C3963,[1]products!$A:$B,2,0)</f>
        <v>Sun Bicycles ElectroLite - 2017</v>
      </c>
      <c r="I3963">
        <f>VLOOKUP(H3963,[1]products!$B:$D,3,0)</f>
        <v>5</v>
      </c>
      <c r="J3963" t="str">
        <f>VLOOKUP(I3963,[2]categories!$A$2:$B$8,2,0)</f>
        <v>Electric Bikes</v>
      </c>
    </row>
    <row r="3964" spans="1:10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 s="1">
        <f t="shared" si="61"/>
        <v>735.992</v>
      </c>
      <c r="H3964" t="str">
        <f>VLOOKUP(C3964,[1]products!$A:$B,2,0)</f>
        <v>Trek Stache Carbon Frameset - 2018</v>
      </c>
      <c r="I3964">
        <f>VLOOKUP(H3964,[1]products!$B:$D,3,0)</f>
        <v>6</v>
      </c>
      <c r="J3964" t="str">
        <f>VLOOKUP(I3964,[2]categories!$A$2:$B$8,2,0)</f>
        <v>Mountain Bikes</v>
      </c>
    </row>
    <row r="3965" spans="1:10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 s="1">
        <f t="shared" si="61"/>
        <v>1439.984</v>
      </c>
      <c r="H3965" t="str">
        <f>VLOOKUP(C3965,[1]products!$A:$B,2,0)</f>
        <v>Electra Amsterdam Fashion 3i Ladies' - 2017/2018</v>
      </c>
      <c r="I3965">
        <f>VLOOKUP(H3965,[1]products!$B:$D,3,0)</f>
        <v>3</v>
      </c>
      <c r="J3965" t="str">
        <f>VLOOKUP(I3965,[2]categories!$A$2:$B$8,2,0)</f>
        <v>Cruisers Bicycles</v>
      </c>
    </row>
    <row r="3966" spans="1:10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 s="1">
        <f t="shared" si="61"/>
        <v>265.9905</v>
      </c>
      <c r="H3966" t="str">
        <f>VLOOKUP(C3966,[1]products!$A:$B,2,0)</f>
        <v>Electra Cyclosaurus 1 (16-inch) - Boy's - 2018</v>
      </c>
      <c r="I3966">
        <f>VLOOKUP(H3966,[1]products!$B:$D,3,0)</f>
        <v>1</v>
      </c>
      <c r="J3966" t="str">
        <f>VLOOKUP(I3966,[2]categories!$A$2:$B$8,2,0)</f>
        <v>Children Bicycles</v>
      </c>
    </row>
    <row r="3967" spans="1:10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 s="1">
        <f t="shared" si="61"/>
        <v>626.9905</v>
      </c>
      <c r="H3967" t="str">
        <f>VLOOKUP(C3967,[1]products!$A:$B,2,0)</f>
        <v>Electra Amsterdam Original 3i Ladies' - 2017</v>
      </c>
      <c r="I3967">
        <f>VLOOKUP(H3967,[1]products!$B:$D,3,0)</f>
        <v>3</v>
      </c>
      <c r="J3967" t="str">
        <f>VLOOKUP(I3967,[2]categories!$A$2:$B$8,2,0)</f>
        <v>Cruisers Bicycles</v>
      </c>
    </row>
    <row r="3968" spans="1:10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 s="1">
        <f t="shared" si="61"/>
        <v>1551.3405</v>
      </c>
      <c r="H3968" t="str">
        <f>VLOOKUP(C3968,[1]products!$A:$B,2,0)</f>
        <v>Surly Wednesday - 2017</v>
      </c>
      <c r="I3968">
        <f>VLOOKUP(H3968,[1]products!$B:$D,3,0)</f>
        <v>6</v>
      </c>
      <c r="J3968" t="str">
        <f>VLOOKUP(I3968,[2]categories!$A$2:$B$8,2,0)</f>
        <v>Mountain Bikes</v>
      </c>
    </row>
    <row r="3969" spans="1:10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0.07</v>
      </c>
      <c r="G3969" s="1">
        <f t="shared" si="61"/>
        <v>1394.9814</v>
      </c>
      <c r="H3969" t="str">
        <f>VLOOKUP(C3969,[1]products!$A:$B,2,0)</f>
        <v>Electra Townie Balloon 8D EQ - 2016/2017/2018</v>
      </c>
      <c r="I3969">
        <f>VLOOKUP(H3969,[1]products!$B:$D,3,0)</f>
        <v>3</v>
      </c>
      <c r="J3969" t="str">
        <f>VLOOKUP(I3969,[2]categories!$A$2:$B$8,2,0)</f>
        <v>Cruisers Bicycles</v>
      </c>
    </row>
    <row r="3970" spans="1:10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 s="1">
        <f t="shared" ref="G3970:G4033" si="62">D3970*E3970*(1-F3970)</f>
        <v>4749.9905</v>
      </c>
      <c r="H3970" t="str">
        <f>VLOOKUP(C3970,[1]products!$A:$B,2,0)</f>
        <v>Trek Domane SL 7 Women's - 2018</v>
      </c>
      <c r="I3970">
        <f>VLOOKUP(H3970,[1]products!$B:$D,3,0)</f>
        <v>7</v>
      </c>
      <c r="J3970" t="str">
        <f>VLOOKUP(I3970,[2]categories!$A$2:$B$8,2,0)</f>
        <v>Road Bikes</v>
      </c>
    </row>
    <row r="3971" spans="1:10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 s="1">
        <f t="shared" si="62"/>
        <v>2158.4</v>
      </c>
      <c r="H3971" t="str">
        <f>VLOOKUP(C3971,[1]products!$A:$B,2,0)</f>
        <v>Surly Pack Rat - 2018</v>
      </c>
      <c r="I3971">
        <f>VLOOKUP(H3971,[1]products!$B:$D,3,0)</f>
        <v>7</v>
      </c>
      <c r="J3971" t="str">
        <f>VLOOKUP(I3971,[2]categories!$A$2:$B$8,2,0)</f>
        <v>Road Bikes</v>
      </c>
    </row>
    <row r="3972" spans="1:10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 s="1">
        <f t="shared" si="62"/>
        <v>1599.984</v>
      </c>
      <c r="H3972" t="str">
        <f>VLOOKUP(C3972,[1]products!$A:$B,2,0)</f>
        <v>Surly Big Dummy Frameset - 2017</v>
      </c>
      <c r="I3972">
        <f>VLOOKUP(H3972,[1]products!$B:$D,3,0)</f>
        <v>6</v>
      </c>
      <c r="J3972" t="str">
        <f>VLOOKUP(I3972,[2]categories!$A$2:$B$8,2,0)</f>
        <v>Mountain Bikes</v>
      </c>
    </row>
    <row r="3973" spans="1:10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0.07</v>
      </c>
      <c r="G3973" s="1">
        <f t="shared" si="62"/>
        <v>6695.9814</v>
      </c>
      <c r="H3973" t="str">
        <f>VLOOKUP(C3973,[1]products!$A:$B,2,0)</f>
        <v>Trek Super Commuter+ 7 - 2018</v>
      </c>
      <c r="I3973">
        <f>VLOOKUP(H3973,[1]products!$B:$D,3,0)</f>
        <v>5</v>
      </c>
      <c r="J3973" t="str">
        <f>VLOOKUP(I3973,[2]categories!$A$2:$B$8,2,0)</f>
        <v>Electric Bikes</v>
      </c>
    </row>
    <row r="3974" spans="1:10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 s="1">
        <f t="shared" si="62"/>
        <v>4639.984</v>
      </c>
      <c r="H3974" t="str">
        <f>VLOOKUP(C3974,[1]products!$A:$B,2,0)</f>
        <v>Trek Fuel EX 8 29 - 2016</v>
      </c>
      <c r="I3974">
        <f>VLOOKUP(H3974,[1]products!$B:$D,3,0)</f>
        <v>6</v>
      </c>
      <c r="J3974" t="str">
        <f>VLOOKUP(I3974,[2]categories!$A$2:$B$8,2,0)</f>
        <v>Mountain Bikes</v>
      </c>
    </row>
    <row r="3975" spans="1:10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 s="1">
        <f t="shared" si="62"/>
        <v>451.782</v>
      </c>
      <c r="H3975" t="str">
        <f>VLOOKUP(C3975,[1]products!$A:$B,2,0)</f>
        <v>Sun Bicycles Revolutions 24 - 2017</v>
      </c>
      <c r="I3975">
        <f>VLOOKUP(H3975,[1]products!$B:$D,3,0)</f>
        <v>3</v>
      </c>
      <c r="J3975" t="str">
        <f>VLOOKUP(I3975,[2]categories!$A$2:$B$8,2,0)</f>
        <v>Cruisers Bicycles</v>
      </c>
    </row>
    <row r="3976" spans="1:10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0.07</v>
      </c>
      <c r="G3976" s="1">
        <f t="shared" si="62"/>
        <v>602.6307</v>
      </c>
      <c r="H3976" t="str">
        <f>VLOOKUP(C3976,[1]products!$A:$B,2,0)</f>
        <v>Sun Bicycles Biscayne Tandem CB - 2017</v>
      </c>
      <c r="I3976">
        <f>VLOOKUP(H3976,[1]products!$B:$D,3,0)</f>
        <v>3</v>
      </c>
      <c r="J3976" t="str">
        <f>VLOOKUP(I3976,[2]categories!$A$2:$B$8,2,0)</f>
        <v>Cruisers Bicycles</v>
      </c>
    </row>
    <row r="3977" spans="1:10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 s="1">
        <f t="shared" si="62"/>
        <v>21599.982</v>
      </c>
      <c r="H3977" t="str">
        <f>VLOOKUP(C3977,[1]products!$A:$B,2,0)</f>
        <v>Trek Domane SLR 9 Disc - 2018</v>
      </c>
      <c r="I3977">
        <f>VLOOKUP(H3977,[1]products!$B:$D,3,0)</f>
        <v>7</v>
      </c>
      <c r="J3977" t="str">
        <f>VLOOKUP(I3977,[2]categories!$A$2:$B$8,2,0)</f>
        <v>Road Bikes</v>
      </c>
    </row>
    <row r="3978" spans="1:10">
      <c r="A3978">
        <v>1364</v>
      </c>
      <c r="B3978">
        <v>3</v>
      </c>
      <c r="C3978">
        <v>152</v>
      </c>
      <c r="D3978">
        <v>1</v>
      </c>
      <c r="E3978">
        <v>2499.99</v>
      </c>
      <c r="F3978">
        <v>0.1</v>
      </c>
      <c r="G3978" s="1">
        <f t="shared" si="62"/>
        <v>2249.991</v>
      </c>
      <c r="H3978" t="str">
        <f>VLOOKUP(C3978,[1]products!$A:$B,2,0)</f>
        <v>Trek Domane SL 5 Disc Women's - 2018</v>
      </c>
      <c r="I3978">
        <f>VLOOKUP(H3978,[1]products!$B:$D,3,0)</f>
        <v>7</v>
      </c>
      <c r="J3978" t="str">
        <f>VLOOKUP(I3978,[2]categories!$A$2:$B$8,2,0)</f>
        <v>Road Bikes</v>
      </c>
    </row>
    <row r="3979" spans="1:10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0.07</v>
      </c>
      <c r="G3979" s="1">
        <f t="shared" si="62"/>
        <v>438.0207</v>
      </c>
      <c r="H3979" t="str">
        <f>VLOOKUP(C3979,[1]products!$A:$B,2,0)</f>
        <v>Sun Bicycles Drifter 7 - 2017</v>
      </c>
      <c r="I3979">
        <f>VLOOKUP(H3979,[1]products!$B:$D,3,0)</f>
        <v>2</v>
      </c>
      <c r="J3979" t="str">
        <f>VLOOKUP(I3979,[2]categories!$A$2:$B$8,2,0)</f>
        <v>Comfort Bicycles</v>
      </c>
    </row>
    <row r="3980" spans="1:10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0.07</v>
      </c>
      <c r="G3980" s="1">
        <f t="shared" si="62"/>
        <v>1441.4907</v>
      </c>
      <c r="H3980" t="str">
        <f>VLOOKUP(C3980,[1]products!$A:$B,2,0)</f>
        <v>Trek Domane ALR 4 Disc - 2018</v>
      </c>
      <c r="I3980">
        <f>VLOOKUP(H3980,[1]products!$B:$D,3,0)</f>
        <v>7</v>
      </c>
      <c r="J3980" t="str">
        <f>VLOOKUP(I3980,[2]categories!$A$2:$B$8,2,0)</f>
        <v>Road Bikes</v>
      </c>
    </row>
    <row r="3981" spans="1:10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0.07</v>
      </c>
      <c r="G3981" s="1">
        <f t="shared" si="62"/>
        <v>4649.9907</v>
      </c>
      <c r="H3981" t="str">
        <f>VLOOKUP(C3981,[1]products!$A:$B,2,0)</f>
        <v>Trek Madone 9.2 - 2017</v>
      </c>
      <c r="I3981">
        <f>VLOOKUP(H3981,[1]products!$B:$D,3,0)</f>
        <v>7</v>
      </c>
      <c r="J3981" t="str">
        <f>VLOOKUP(I3981,[2]categories!$A$2:$B$8,2,0)</f>
        <v>Road Bikes</v>
      </c>
    </row>
    <row r="3982" spans="1:10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 s="1">
        <f t="shared" si="62"/>
        <v>712.4905</v>
      </c>
      <c r="H3982" t="str">
        <f>VLOOKUP(C3982,[1]products!$A:$B,2,0)</f>
        <v>Electra Morningstar 3i Ladies' - 2018</v>
      </c>
      <c r="I3982">
        <f>VLOOKUP(H3982,[1]products!$B:$D,3,0)</f>
        <v>3</v>
      </c>
      <c r="J3982" t="str">
        <f>VLOOKUP(I3982,[2]categories!$A$2:$B$8,2,0)</f>
        <v>Cruisers Bicycles</v>
      </c>
    </row>
    <row r="3983" spans="1:10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 s="1">
        <f t="shared" si="62"/>
        <v>2879.991</v>
      </c>
      <c r="H3983" t="str">
        <f>VLOOKUP(C3983,[1]products!$A:$B,2,0)</f>
        <v>Trek Fuel EX 8 29 - 2018</v>
      </c>
      <c r="I3983">
        <f>VLOOKUP(H3983,[1]products!$B:$D,3,0)</f>
        <v>6</v>
      </c>
      <c r="J3983" t="str">
        <f>VLOOKUP(I3983,[2]categories!$A$2:$B$8,2,0)</f>
        <v>Mountain Bikes</v>
      </c>
    </row>
    <row r="3984" spans="1:10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 s="1">
        <f t="shared" si="62"/>
        <v>3038.4</v>
      </c>
      <c r="H3984" t="str">
        <f>VLOOKUP(C3984,[1]products!$A:$B,2,0)</f>
        <v>Surly ECR 27.5 - 2018</v>
      </c>
      <c r="I3984">
        <f>VLOOKUP(H3984,[1]products!$B:$D,3,0)</f>
        <v>6</v>
      </c>
      <c r="J3984" t="str">
        <f>VLOOKUP(I3984,[2]categories!$A$2:$B$8,2,0)</f>
        <v>Mountain Bikes</v>
      </c>
    </row>
    <row r="3985" spans="1:10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0.07</v>
      </c>
      <c r="G3985" s="1">
        <f t="shared" si="62"/>
        <v>3254.9907</v>
      </c>
      <c r="H3985" t="str">
        <f>VLOOKUP(C3985,[1]products!$A:$B,2,0)</f>
        <v>Trek Powerfly 5 - 2018</v>
      </c>
      <c r="I3985">
        <f>VLOOKUP(H3985,[1]products!$B:$D,3,0)</f>
        <v>5</v>
      </c>
      <c r="J3985" t="str">
        <f>VLOOKUP(I3985,[2]categories!$A$2:$B$8,2,0)</f>
        <v>Electric Bikes</v>
      </c>
    </row>
    <row r="3986" spans="1:10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 s="1">
        <f t="shared" si="62"/>
        <v>1349.991</v>
      </c>
      <c r="H3986" t="str">
        <f>VLOOKUP(C3986,[1]products!$A:$B,2,0)</f>
        <v>Trek Procal AL Frameset - 2018</v>
      </c>
      <c r="I3986">
        <f>VLOOKUP(H3986,[1]products!$B:$D,3,0)</f>
        <v>6</v>
      </c>
      <c r="J3986" t="str">
        <f>VLOOKUP(I3986,[2]categories!$A$2:$B$8,2,0)</f>
        <v>Mountain Bikes</v>
      </c>
    </row>
    <row r="3987" spans="1:10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 s="1">
        <f t="shared" si="62"/>
        <v>4158.4</v>
      </c>
      <c r="H3987" t="str">
        <f>VLOOKUP(C3987,[1]products!$A:$B,2,0)</f>
        <v>Heller Bloodhound Trail - 2018</v>
      </c>
      <c r="I3987">
        <f>VLOOKUP(H3987,[1]products!$B:$D,3,0)</f>
        <v>6</v>
      </c>
      <c r="J3987" t="str">
        <f>VLOOKUP(I3987,[2]categories!$A$2:$B$8,2,0)</f>
        <v>Mountain Bikes</v>
      </c>
    </row>
    <row r="3988" spans="1:10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0.07</v>
      </c>
      <c r="G3988" s="1">
        <f t="shared" si="62"/>
        <v>1394.07</v>
      </c>
      <c r="H3988" t="str">
        <f>VLOOKUP(C3988,[1]products!$A:$B,2,0)</f>
        <v>Surly Krampus - 2018</v>
      </c>
      <c r="I3988">
        <f>VLOOKUP(H3988,[1]products!$B:$D,3,0)</f>
        <v>6</v>
      </c>
      <c r="J3988" t="str">
        <f>VLOOKUP(I3988,[2]categories!$A$2:$B$8,2,0)</f>
        <v>Mountain Bikes</v>
      </c>
    </row>
    <row r="3989" spans="1:10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 s="1">
        <f t="shared" si="62"/>
        <v>1044.981</v>
      </c>
      <c r="H3989" t="str">
        <f>VLOOKUP(C3989,[1]products!$A:$B,2,0)</f>
        <v>Electra Townie Original 21D - 2016</v>
      </c>
      <c r="I3989">
        <f>VLOOKUP(H3989,[1]products!$B:$D,3,0)</f>
        <v>3</v>
      </c>
      <c r="J3989" t="str">
        <f>VLOOKUP(I3989,[2]categories!$A$2:$B$8,2,0)</f>
        <v>Cruisers Bicycles</v>
      </c>
    </row>
    <row r="3990" spans="1:10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 s="1">
        <f t="shared" si="62"/>
        <v>225.891</v>
      </c>
      <c r="H3990" t="str">
        <f>VLOOKUP(C3990,[1]products!$A:$B,2,0)</f>
        <v>Sun Bicycles Revolutions 24 - 2017</v>
      </c>
      <c r="I3990">
        <f>VLOOKUP(H3990,[1]products!$B:$D,3,0)</f>
        <v>3</v>
      </c>
      <c r="J3990" t="str">
        <f>VLOOKUP(I3990,[2]categories!$A$2:$B$8,2,0)</f>
        <v>Cruisers Bicycles</v>
      </c>
    </row>
    <row r="3991" spans="1:10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0.07</v>
      </c>
      <c r="G3991" s="1">
        <f t="shared" si="62"/>
        <v>911.3814</v>
      </c>
      <c r="H3991" t="str">
        <f>VLOOKUP(C3991,[1]products!$A:$B,2,0)</f>
        <v>Trek Marlin 5 - 2018</v>
      </c>
      <c r="I3991">
        <f>VLOOKUP(H3991,[1]products!$B:$D,3,0)</f>
        <v>6</v>
      </c>
      <c r="J3991" t="str">
        <f>VLOOKUP(I3991,[2]categories!$A$2:$B$8,2,0)</f>
        <v>Mountain Bikes</v>
      </c>
    </row>
    <row r="3992" spans="1:10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 s="1">
        <f t="shared" si="62"/>
        <v>3599.992</v>
      </c>
      <c r="H3992" t="str">
        <f>VLOOKUP(C3992,[1]products!$A:$B,2,0)</f>
        <v>Trek CrossRip+ - 2018</v>
      </c>
      <c r="I3992">
        <f>VLOOKUP(H3992,[1]products!$B:$D,3,0)</f>
        <v>5</v>
      </c>
      <c r="J3992" t="str">
        <f>VLOOKUP(I3992,[2]categories!$A$2:$B$8,2,0)</f>
        <v>Electric Bikes</v>
      </c>
    </row>
    <row r="3993" spans="1:10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 s="1">
        <f t="shared" si="62"/>
        <v>512.981</v>
      </c>
      <c r="H3993" t="str">
        <f>VLOOKUP(C3993,[1]products!$A:$B,2,0)</f>
        <v>Electra Cruiser 1 - 2016/2017/2018</v>
      </c>
      <c r="I3993">
        <f>VLOOKUP(H3993,[1]products!$B:$D,3,0)</f>
        <v>3</v>
      </c>
      <c r="J3993" t="str">
        <f>VLOOKUP(I3993,[2]categories!$A$2:$B$8,2,0)</f>
        <v>Cruisers Bicycles</v>
      </c>
    </row>
    <row r="3994" spans="1:10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0.07</v>
      </c>
      <c r="G3994" s="1">
        <f t="shared" si="62"/>
        <v>3719.9907</v>
      </c>
      <c r="H3994" t="str">
        <f>VLOOKUP(C3994,[1]products!$A:$B,2,0)</f>
        <v>Trek Slash 8 27.5 - 2016</v>
      </c>
      <c r="I3994">
        <f>VLOOKUP(H3994,[1]products!$B:$D,3,0)</f>
        <v>6</v>
      </c>
      <c r="J3994" t="str">
        <f>VLOOKUP(I3994,[2]categories!$A$2:$B$8,2,0)</f>
        <v>Mountain Bikes</v>
      </c>
    </row>
    <row r="3995" spans="1:10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 s="1">
        <f t="shared" si="62"/>
        <v>377.982</v>
      </c>
      <c r="H3995" t="str">
        <f>VLOOKUP(C3995,[1]products!$A:$B,2,0)</f>
        <v>Trek Precaliber 16 Boys - 2017</v>
      </c>
      <c r="I3995">
        <f>VLOOKUP(H3995,[1]products!$B:$D,3,0)</f>
        <v>1</v>
      </c>
      <c r="J3995" t="str">
        <f>VLOOKUP(I3995,[2]categories!$A$2:$B$8,2,0)</f>
        <v>Children Bicycles</v>
      </c>
    </row>
    <row r="3996" spans="1:10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 s="1">
        <f t="shared" si="62"/>
        <v>2879.984</v>
      </c>
      <c r="H3996" t="str">
        <f>VLOOKUP(C3996,[1]products!$A:$B,2,0)</f>
        <v>Trek Crockett 5 Disc - 2018</v>
      </c>
      <c r="I3996">
        <f>VLOOKUP(H3996,[1]products!$B:$D,3,0)</f>
        <v>4</v>
      </c>
      <c r="J3996" t="str">
        <f>VLOOKUP(I3996,[2]categories!$A$2:$B$8,2,0)</f>
        <v>Cyclocross Bicycles</v>
      </c>
    </row>
    <row r="3997" spans="1:10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 s="1">
        <f t="shared" si="62"/>
        <v>1349.991</v>
      </c>
      <c r="H3997" t="str">
        <f>VLOOKUP(C3997,[1]products!$A:$B,2,0)</f>
        <v>Trek Remedy 27.5 C Frameset - 2018</v>
      </c>
      <c r="I3997">
        <f>VLOOKUP(H3997,[1]products!$B:$D,3,0)</f>
        <v>6</v>
      </c>
      <c r="J3997" t="str">
        <f>VLOOKUP(I3997,[2]categories!$A$2:$B$8,2,0)</f>
        <v>Mountain Bikes</v>
      </c>
    </row>
    <row r="3998" spans="1:10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0.07</v>
      </c>
      <c r="G3998" s="1">
        <f t="shared" si="62"/>
        <v>985.7814</v>
      </c>
      <c r="H3998" t="str">
        <f>VLOOKUP(C3998,[1]products!$A:$B,2,0)</f>
        <v>Electra Cruiser Lux 3i - 2018</v>
      </c>
      <c r="I3998">
        <f>VLOOKUP(H3998,[1]products!$B:$D,3,0)</f>
        <v>3</v>
      </c>
      <c r="J3998" t="str">
        <f>VLOOKUP(I3998,[2]categories!$A$2:$B$8,2,0)</f>
        <v>Cruisers Bicycles</v>
      </c>
    </row>
    <row r="3999" spans="1:10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 s="1">
        <f t="shared" si="62"/>
        <v>2879.984</v>
      </c>
      <c r="H3999" t="str">
        <f>VLOOKUP(C3999,[1]products!$A:$B,2,0)</f>
        <v>Trek Remedy 29 Carbon Frameset - 2016</v>
      </c>
      <c r="I3999">
        <f>VLOOKUP(H3999,[1]products!$B:$D,3,0)</f>
        <v>6</v>
      </c>
      <c r="J3999" t="str">
        <f>VLOOKUP(I3999,[2]categories!$A$2:$B$8,2,0)</f>
        <v>Mountain Bikes</v>
      </c>
    </row>
    <row r="4000" spans="1:10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0.07</v>
      </c>
      <c r="G4000" s="1">
        <f t="shared" si="62"/>
        <v>697.4907</v>
      </c>
      <c r="H4000" t="str">
        <f>VLOOKUP(C4000,[1]products!$A:$B,2,0)</f>
        <v>Electra Townie Balloon 8D EQ - 2016/2017/2018</v>
      </c>
      <c r="I4000">
        <f>VLOOKUP(H4000,[1]products!$B:$D,3,0)</f>
        <v>3</v>
      </c>
      <c r="J4000" t="str">
        <f>VLOOKUP(I4000,[2]categories!$A$2:$B$8,2,0)</f>
        <v>Cruisers Bicycles</v>
      </c>
    </row>
    <row r="4001" spans="1:10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 s="1">
        <f t="shared" si="62"/>
        <v>511.984</v>
      </c>
      <c r="H4001" t="str">
        <f>VLOOKUP(C4001,[1]products!$A:$B,2,0)</f>
        <v>Electra Heartchya 1 (20-inch) - Girl's - 2018</v>
      </c>
      <c r="I4001">
        <f>VLOOKUP(H4001,[1]products!$B:$D,3,0)</f>
        <v>1</v>
      </c>
      <c r="J4001" t="str">
        <f>VLOOKUP(I4001,[2]categories!$A$2:$B$8,2,0)</f>
        <v>Children Bicycles</v>
      </c>
    </row>
    <row r="4002" spans="1:10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 s="1">
        <f t="shared" si="62"/>
        <v>3149.991</v>
      </c>
      <c r="H4002" t="str">
        <f>VLOOKUP(C4002,[1]products!$A:$B,2,0)</f>
        <v>Trek Boone Race Shop Limited - 2017</v>
      </c>
      <c r="I4002">
        <f>VLOOKUP(H4002,[1]products!$B:$D,3,0)</f>
        <v>4</v>
      </c>
      <c r="J4002" t="str">
        <f>VLOOKUP(I4002,[2]categories!$A$2:$B$8,2,0)</f>
        <v>Cyclocross Bicycles</v>
      </c>
    </row>
    <row r="4003" spans="1:10">
      <c r="A4003">
        <v>1374</v>
      </c>
      <c r="B4003">
        <v>1</v>
      </c>
      <c r="C4003">
        <v>181</v>
      </c>
      <c r="D4003">
        <v>2</v>
      </c>
      <c r="E4003">
        <v>2199.99</v>
      </c>
      <c r="F4003">
        <v>0.05</v>
      </c>
      <c r="G4003" s="1">
        <f t="shared" si="62"/>
        <v>4179.981</v>
      </c>
      <c r="H4003" t="str">
        <f>VLOOKUP(C4003,[1]products!$A:$B,2,0)</f>
        <v>Trek Domane SL 5 - 2018</v>
      </c>
      <c r="I4003">
        <f>VLOOKUP(H4003,[1]products!$B:$D,3,0)</f>
        <v>7</v>
      </c>
      <c r="J4003" t="str">
        <f>VLOOKUP(I4003,[2]categories!$A$2:$B$8,2,0)</f>
        <v>Road Bikes</v>
      </c>
    </row>
    <row r="4004" spans="1:10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0.07</v>
      </c>
      <c r="G4004" s="1">
        <f t="shared" si="62"/>
        <v>1711.1814</v>
      </c>
      <c r="H4004" t="str">
        <f>VLOOKUP(C4004,[1]products!$A:$B,2,0)</f>
        <v>Trek Stache Carbon Frameset - 2018</v>
      </c>
      <c r="I4004">
        <f>VLOOKUP(H4004,[1]products!$B:$D,3,0)</f>
        <v>6</v>
      </c>
      <c r="J4004" t="str">
        <f>VLOOKUP(I4004,[2]categories!$A$2:$B$8,2,0)</f>
        <v>Mountain Bikes</v>
      </c>
    </row>
    <row r="4005" spans="1:10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 s="1">
        <f t="shared" si="62"/>
        <v>3419.981</v>
      </c>
      <c r="H4005" t="str">
        <f>VLOOKUP(C4005,[1]products!$A:$B,2,0)</f>
        <v>Trek Domane ALR 5 Gravel - 2018</v>
      </c>
      <c r="I4005">
        <f>VLOOKUP(H4005,[1]products!$B:$D,3,0)</f>
        <v>7</v>
      </c>
      <c r="J4005" t="str">
        <f>VLOOKUP(I4005,[2]categories!$A$2:$B$8,2,0)</f>
        <v>Road Bikes</v>
      </c>
    </row>
    <row r="4006" spans="1:10">
      <c r="A4006">
        <v>1375</v>
      </c>
      <c r="B4006">
        <v>2</v>
      </c>
      <c r="C4006">
        <v>182</v>
      </c>
      <c r="D4006">
        <v>1</v>
      </c>
      <c r="E4006">
        <v>2499.99</v>
      </c>
      <c r="F4006">
        <v>0.2</v>
      </c>
      <c r="G4006" s="1">
        <f t="shared" si="62"/>
        <v>1999.992</v>
      </c>
      <c r="H4006" t="str">
        <f>VLOOKUP(C4006,[1]products!$A:$B,2,0)</f>
        <v>Trek Domane SL 5 Disc - 2018</v>
      </c>
      <c r="I4006">
        <f>VLOOKUP(H4006,[1]products!$B:$D,3,0)</f>
        <v>7</v>
      </c>
      <c r="J4006" t="str">
        <f>VLOOKUP(I4006,[2]categories!$A$2:$B$8,2,0)</f>
        <v>Road Bikes</v>
      </c>
    </row>
    <row r="4007" spans="1:10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0.07</v>
      </c>
      <c r="G4007" s="1">
        <f t="shared" si="62"/>
        <v>1228.5207</v>
      </c>
      <c r="H4007" t="str">
        <f>VLOOKUP(C4007,[1]products!$A:$B,2,0)</f>
        <v>Heller Shagamaw Frame - 2016</v>
      </c>
      <c r="I4007">
        <f>VLOOKUP(H4007,[1]products!$B:$D,3,0)</f>
        <v>6</v>
      </c>
      <c r="J4007" t="str">
        <f>VLOOKUP(I4007,[2]categories!$A$2:$B$8,2,0)</f>
        <v>Mountain Bikes</v>
      </c>
    </row>
    <row r="4008" spans="1:10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 s="1">
        <f t="shared" si="62"/>
        <v>9499.981</v>
      </c>
      <c r="H4008" t="str">
        <f>VLOOKUP(C4008,[1]products!$A:$B,2,0)</f>
        <v>Trek Domane SL 7 Women's - 2018</v>
      </c>
      <c r="I4008">
        <f>VLOOKUP(H4008,[1]products!$B:$D,3,0)</f>
        <v>7</v>
      </c>
      <c r="J4008" t="str">
        <f>VLOOKUP(I4008,[2]categories!$A$2:$B$8,2,0)</f>
        <v>Road Bikes</v>
      </c>
    </row>
    <row r="4009" spans="1:10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 s="1">
        <f t="shared" si="62"/>
        <v>873.9905</v>
      </c>
      <c r="H4009" t="str">
        <f>VLOOKUP(C4009,[1]products!$A:$B,2,0)</f>
        <v>Trek Stache Carbon Frameset - 2018</v>
      </c>
      <c r="I4009">
        <f>VLOOKUP(H4009,[1]products!$B:$D,3,0)</f>
        <v>6</v>
      </c>
      <c r="J4009" t="str">
        <f>VLOOKUP(I4009,[2]categories!$A$2:$B$8,2,0)</f>
        <v>Mountain Bikes</v>
      </c>
    </row>
    <row r="4010" spans="1:10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0.07</v>
      </c>
      <c r="G4010" s="1">
        <f t="shared" si="62"/>
        <v>1394.9907</v>
      </c>
      <c r="H4010" t="str">
        <f>VLOOKUP(C4010,[1]products!$A:$B,2,0)</f>
        <v>Trek Emonda S 4 - 2017</v>
      </c>
      <c r="I4010">
        <f>VLOOKUP(H4010,[1]products!$B:$D,3,0)</f>
        <v>7</v>
      </c>
      <c r="J4010" t="str">
        <f>VLOOKUP(I4010,[2]categories!$A$2:$B$8,2,0)</f>
        <v>Road Bikes</v>
      </c>
    </row>
    <row r="4011" spans="1:10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0.07</v>
      </c>
      <c r="G4011" s="1">
        <f t="shared" si="62"/>
        <v>6509.9814</v>
      </c>
      <c r="H4011" t="str">
        <f>VLOOKUP(C4011,[1]products!$A:$B,2,0)</f>
        <v>Trek XM700+ Lowstep - 2018</v>
      </c>
      <c r="I4011">
        <f>VLOOKUP(H4011,[1]products!$B:$D,3,0)</f>
        <v>5</v>
      </c>
      <c r="J4011" t="str">
        <f>VLOOKUP(I4011,[2]categories!$A$2:$B$8,2,0)</f>
        <v>Electric Bikes</v>
      </c>
    </row>
    <row r="4012" spans="1:10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0.07</v>
      </c>
      <c r="G4012" s="1">
        <f t="shared" si="62"/>
        <v>650.9814</v>
      </c>
      <c r="H4012" t="str">
        <f>VLOOKUP(C4012,[1]products!$A:$B,2,0)</f>
        <v>Electra Moto 3i (20-inch) - Boy's - 2017</v>
      </c>
      <c r="I4012">
        <f>VLOOKUP(H4012,[1]products!$B:$D,3,0)</f>
        <v>1</v>
      </c>
      <c r="J4012" t="str">
        <f>VLOOKUP(I4012,[2]categories!$A$2:$B$8,2,0)</f>
        <v>Children Bicycles</v>
      </c>
    </row>
    <row r="4013" spans="1:10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0.07</v>
      </c>
      <c r="G4013" s="1">
        <f t="shared" si="62"/>
        <v>5951.9814</v>
      </c>
      <c r="H4013" t="str">
        <f>VLOOKUP(C4013,[1]products!$A:$B,2,0)</f>
        <v>Trek Fuel EX 8 29 XT - 2018</v>
      </c>
      <c r="I4013">
        <f>VLOOKUP(H4013,[1]products!$B:$D,3,0)</f>
        <v>6</v>
      </c>
      <c r="J4013" t="str">
        <f>VLOOKUP(I4013,[2]categories!$A$2:$B$8,2,0)</f>
        <v>Mountain Bikes</v>
      </c>
    </row>
    <row r="4014" spans="1:10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 s="1">
        <f t="shared" si="62"/>
        <v>1199.984</v>
      </c>
      <c r="H4014" t="str">
        <f>VLOOKUP(C4014,[1]products!$A:$B,2,0)</f>
        <v>Ritchey Timberwolf Frameset - 2016</v>
      </c>
      <c r="I4014">
        <f>VLOOKUP(H4014,[1]products!$B:$D,3,0)</f>
        <v>6</v>
      </c>
      <c r="J4014" t="str">
        <f>VLOOKUP(I4014,[2]categories!$A$2:$B$8,2,0)</f>
        <v>Mountain Bikes</v>
      </c>
    </row>
    <row r="4015" spans="1:10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0.07</v>
      </c>
      <c r="G4015" s="1">
        <f t="shared" si="62"/>
        <v>438.0207</v>
      </c>
      <c r="H4015" t="str">
        <f>VLOOKUP(C4015,[1]products!$A:$B,2,0)</f>
        <v>Sun Bicycles Drifter 7 - 2017</v>
      </c>
      <c r="I4015">
        <f>VLOOKUP(H4015,[1]products!$B:$D,3,0)</f>
        <v>2</v>
      </c>
      <c r="J4015" t="str">
        <f>VLOOKUP(I4015,[2]categories!$A$2:$B$8,2,0)</f>
        <v>Comfort Bicycles</v>
      </c>
    </row>
    <row r="4016" spans="1:10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 s="1">
        <f t="shared" si="62"/>
        <v>1471.984</v>
      </c>
      <c r="H4016" t="str">
        <f>VLOOKUP(C4016,[1]products!$A:$B,2,0)</f>
        <v>Trek X-Caliber 7 - 2018</v>
      </c>
      <c r="I4016">
        <f>VLOOKUP(H4016,[1]products!$B:$D,3,0)</f>
        <v>6</v>
      </c>
      <c r="J4016" t="str">
        <f>VLOOKUP(I4016,[2]categories!$A$2:$B$8,2,0)</f>
        <v>Mountain Bikes</v>
      </c>
    </row>
    <row r="4017" spans="1:10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 s="1">
        <f t="shared" si="62"/>
        <v>476.991</v>
      </c>
      <c r="H4017" t="str">
        <f>VLOOKUP(C4017,[1]products!$A:$B,2,0)</f>
        <v>Electra Moto 1 - 2016</v>
      </c>
      <c r="I4017">
        <f>VLOOKUP(H4017,[1]products!$B:$D,3,0)</f>
        <v>3</v>
      </c>
      <c r="J4017" t="str">
        <f>VLOOKUP(I4017,[2]categories!$A$2:$B$8,2,0)</f>
        <v>Cruisers Bicycles</v>
      </c>
    </row>
    <row r="4018" spans="1:10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 s="1">
        <f t="shared" si="62"/>
        <v>899.991</v>
      </c>
      <c r="H4018" t="str">
        <f>VLOOKUP(C4018,[1]products!$A:$B,2,0)</f>
        <v>Trek X-Caliber 8 - 2018</v>
      </c>
      <c r="I4018">
        <f>VLOOKUP(H4018,[1]products!$B:$D,3,0)</f>
        <v>6</v>
      </c>
      <c r="J4018" t="str">
        <f>VLOOKUP(I4018,[2]categories!$A$2:$B$8,2,0)</f>
        <v>Mountain Bikes</v>
      </c>
    </row>
    <row r="4019" spans="1:10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 s="1">
        <f t="shared" si="62"/>
        <v>161.982</v>
      </c>
      <c r="H4019" t="str">
        <f>VLOOKUP(C4019,[1]products!$A:$B,2,0)</f>
        <v>Strider Classic 12 Balance Bike - 2018</v>
      </c>
      <c r="I4019">
        <f>VLOOKUP(H4019,[1]products!$B:$D,3,0)</f>
        <v>1</v>
      </c>
      <c r="J4019" t="str">
        <f>VLOOKUP(I4019,[2]categories!$A$2:$B$8,2,0)</f>
        <v>Children Bicycles</v>
      </c>
    </row>
    <row r="4020" spans="1:10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 s="1">
        <f t="shared" si="62"/>
        <v>1619.982</v>
      </c>
      <c r="H4020" t="str">
        <f>VLOOKUP(C4020,[1]products!$A:$B,2,0)</f>
        <v>Electra Townie Balloon 7i EQ Ladies' - 2017/2018</v>
      </c>
      <c r="I4020">
        <f>VLOOKUP(H4020,[1]products!$B:$D,3,0)</f>
        <v>3</v>
      </c>
      <c r="J4020" t="str">
        <f>VLOOKUP(I4020,[2]categories!$A$2:$B$8,2,0)</f>
        <v>Cruisers Bicycles</v>
      </c>
    </row>
    <row r="4021" spans="1:10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0.07</v>
      </c>
      <c r="G4021" s="1">
        <f t="shared" si="62"/>
        <v>799.7814</v>
      </c>
      <c r="H4021" t="str">
        <f>VLOOKUP(C4021,[1]products!$A:$B,2,0)</f>
        <v>Electra Cruiser Lux 1 - 2016/2018</v>
      </c>
      <c r="I4021">
        <f>VLOOKUP(H4021,[1]products!$B:$D,3,0)</f>
        <v>3</v>
      </c>
      <c r="J4021" t="str">
        <f>VLOOKUP(I4021,[2]categories!$A$2:$B$8,2,0)</f>
        <v>Cruisers Bicycles</v>
      </c>
    </row>
    <row r="4022" spans="1:10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 s="1">
        <f t="shared" si="62"/>
        <v>367.984</v>
      </c>
      <c r="H4022" t="str">
        <f>VLOOKUP(C4022,[1]products!$A:$B,2,0)</f>
        <v>Trek Precaliber 20 Boy's - 2018</v>
      </c>
      <c r="I4022">
        <f>VLOOKUP(H4022,[1]products!$B:$D,3,0)</f>
        <v>1</v>
      </c>
      <c r="J4022" t="str">
        <f>VLOOKUP(I4022,[2]categories!$A$2:$B$8,2,0)</f>
        <v>Children Bicycles</v>
      </c>
    </row>
    <row r="4023" spans="1:10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 s="1">
        <f t="shared" si="62"/>
        <v>1619.982</v>
      </c>
      <c r="H4023" t="str">
        <f>VLOOKUP(C4023,[1]products!$A:$B,2,0)</f>
        <v>Electra Tiger Shark 3i - 2018</v>
      </c>
      <c r="I4023">
        <f>VLOOKUP(H4023,[1]products!$B:$D,3,0)</f>
        <v>3</v>
      </c>
      <c r="J4023" t="str">
        <f>VLOOKUP(I4023,[2]categories!$A$2:$B$8,2,0)</f>
        <v>Cruisers Bicycles</v>
      </c>
    </row>
    <row r="4024" spans="1:10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 s="1">
        <f t="shared" si="62"/>
        <v>383.992</v>
      </c>
      <c r="H4024" t="str">
        <f>VLOOKUP(C4024,[1]products!$A:$B,2,0)</f>
        <v>Electra Cruiser Lux 7D Ladies' - 2018</v>
      </c>
      <c r="I4024">
        <f>VLOOKUP(H4024,[1]products!$B:$D,3,0)</f>
        <v>3</v>
      </c>
      <c r="J4024" t="str">
        <f>VLOOKUP(I4024,[2]categories!$A$2:$B$8,2,0)</f>
        <v>Cruisers Bicycles</v>
      </c>
    </row>
    <row r="4025" spans="1:10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 s="1">
        <f t="shared" si="62"/>
        <v>2089.981</v>
      </c>
      <c r="H4025" t="str">
        <f>VLOOKUP(C4025,[1]products!$A:$B,2,0)</f>
        <v>Electra Amsterdam Fashion 7i Ladies' - 2017</v>
      </c>
      <c r="I4025">
        <f>VLOOKUP(H4025,[1]products!$B:$D,3,0)</f>
        <v>3</v>
      </c>
      <c r="J4025" t="str">
        <f>VLOOKUP(I4025,[2]categories!$A$2:$B$8,2,0)</f>
        <v>Cruisers Bicycles</v>
      </c>
    </row>
    <row r="4026" spans="1:10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 s="1">
        <f t="shared" si="62"/>
        <v>863.991</v>
      </c>
      <c r="H4026" t="str">
        <f>VLOOKUP(C4026,[1]products!$A:$B,2,0)</f>
        <v>Electra Delivery 3i - 2016/2017/2018</v>
      </c>
      <c r="I4026">
        <f>VLOOKUP(H4026,[1]products!$B:$D,3,0)</f>
        <v>3</v>
      </c>
      <c r="J4026" t="str">
        <f>VLOOKUP(I4026,[2]categories!$A$2:$B$8,2,0)</f>
        <v>Cruisers Bicycles</v>
      </c>
    </row>
    <row r="4027" spans="1:10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0.07</v>
      </c>
      <c r="G4027" s="1">
        <f t="shared" si="62"/>
        <v>1394.9907</v>
      </c>
      <c r="H4027" t="str">
        <f>VLOOKUP(C4027,[1]products!$A:$B,2,0)</f>
        <v>Trek X-Caliber Frameset - 2018</v>
      </c>
      <c r="I4027">
        <f>VLOOKUP(H4027,[1]products!$B:$D,3,0)</f>
        <v>6</v>
      </c>
      <c r="J4027" t="str">
        <f>VLOOKUP(I4027,[2]categories!$A$2:$B$8,2,0)</f>
        <v>Mountain Bikes</v>
      </c>
    </row>
    <row r="4028" spans="1:10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 s="1">
        <f t="shared" si="62"/>
        <v>599.992</v>
      </c>
      <c r="H4028" t="str">
        <f>VLOOKUP(C4028,[1]products!$A:$B,2,0)</f>
        <v>Electra Townie Balloon 8D EQ - 2016/2017/2018</v>
      </c>
      <c r="I4028">
        <f>VLOOKUP(H4028,[1]products!$B:$D,3,0)</f>
        <v>3</v>
      </c>
      <c r="J4028" t="str">
        <f>VLOOKUP(I4028,[2]categories!$A$2:$B$8,2,0)</f>
        <v>Cruisers Bicycles</v>
      </c>
    </row>
    <row r="4029" spans="1:10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 s="1">
        <f t="shared" si="62"/>
        <v>5599.984</v>
      </c>
      <c r="H4029" t="str">
        <f>VLOOKUP(C4029,[1]products!$A:$B,2,0)</f>
        <v>Trek XM700+ Lowstep - 2018</v>
      </c>
      <c r="I4029">
        <f>VLOOKUP(H4029,[1]products!$B:$D,3,0)</f>
        <v>5</v>
      </c>
      <c r="J4029" t="str">
        <f>VLOOKUP(I4029,[2]categories!$A$2:$B$8,2,0)</f>
        <v>Electric Bikes</v>
      </c>
    </row>
    <row r="4030" spans="1:10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 s="1">
        <f t="shared" si="62"/>
        <v>659.281</v>
      </c>
      <c r="H4030" t="str">
        <f>VLOOKUP(C4030,[1]products!$A:$B,2,0)</f>
        <v>Sun Bicycles Lil Bolt Type-R - 2017</v>
      </c>
      <c r="I4030">
        <f>VLOOKUP(H4030,[1]products!$B:$D,3,0)</f>
        <v>3</v>
      </c>
      <c r="J4030" t="str">
        <f>VLOOKUP(I4030,[2]categories!$A$2:$B$8,2,0)</f>
        <v>Cruisers Bicycles</v>
      </c>
    </row>
    <row r="4031" spans="1:10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0.07</v>
      </c>
      <c r="G4031" s="1">
        <f t="shared" si="62"/>
        <v>437.0907</v>
      </c>
      <c r="H4031" t="str">
        <f>VLOOKUP(C4031,[1]products!$A:$B,2,0)</f>
        <v>Trek Farley Alloy Frameset - 2017</v>
      </c>
      <c r="I4031">
        <f>VLOOKUP(H4031,[1]products!$B:$D,3,0)</f>
        <v>6</v>
      </c>
      <c r="J4031" t="str">
        <f>VLOOKUP(I4031,[2]categories!$A$2:$B$8,2,0)</f>
        <v>Mountain Bikes</v>
      </c>
    </row>
    <row r="4032" spans="1:10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 s="1">
        <f t="shared" si="62"/>
        <v>5759.982</v>
      </c>
      <c r="H4032" t="str">
        <f>VLOOKUP(C4032,[1]products!$A:$B,2,0)</f>
        <v>Trek Fuel EX 8 29 XT - 2018</v>
      </c>
      <c r="I4032">
        <f>VLOOKUP(H4032,[1]products!$B:$D,3,0)</f>
        <v>6</v>
      </c>
      <c r="J4032" t="str">
        <f>VLOOKUP(I4032,[2]categories!$A$2:$B$8,2,0)</f>
        <v>Mountain Bikes</v>
      </c>
    </row>
    <row r="4033" spans="1:10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 s="1">
        <f t="shared" si="62"/>
        <v>188.991</v>
      </c>
      <c r="H4033" t="str">
        <f>VLOOKUP(C4033,[1]products!$A:$B,2,0)</f>
        <v>Trek Precaliber 16 Boys - 2017</v>
      </c>
      <c r="I4033">
        <f>VLOOKUP(H4033,[1]products!$B:$D,3,0)</f>
        <v>1</v>
      </c>
      <c r="J4033" t="str">
        <f>VLOOKUP(I4033,[2]categories!$A$2:$B$8,2,0)</f>
        <v>Children Bicycles</v>
      </c>
    </row>
    <row r="4034" spans="1:10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 s="1">
        <f t="shared" ref="G4034:G4097" si="63">D4034*E4034*(1-F4034)</f>
        <v>332.4905</v>
      </c>
      <c r="H4034" t="str">
        <f>VLOOKUP(C4034,[1]products!$A:$B,2,0)</f>
        <v>Electra Savannah 3i (20-inch) - Girl's - 2017</v>
      </c>
      <c r="I4034">
        <f>VLOOKUP(H4034,[1]products!$B:$D,3,0)</f>
        <v>1</v>
      </c>
      <c r="J4034" t="str">
        <f>VLOOKUP(I4034,[2]categories!$A$2:$B$8,2,0)</f>
        <v>Children Bicycles</v>
      </c>
    </row>
    <row r="4035" spans="1:10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 s="1">
        <f t="shared" si="63"/>
        <v>1044.981</v>
      </c>
      <c r="H4035" t="str">
        <f>VLOOKUP(C4035,[1]products!$A:$B,2,0)</f>
        <v>Electra Townie Original 21D - 2016</v>
      </c>
      <c r="I4035">
        <f>VLOOKUP(H4035,[1]products!$B:$D,3,0)</f>
        <v>3</v>
      </c>
      <c r="J4035" t="str">
        <f>VLOOKUP(I4035,[2]categories!$A$2:$B$8,2,0)</f>
        <v>Cruisers Bicycles</v>
      </c>
    </row>
    <row r="4036" spans="1:10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0.07</v>
      </c>
      <c r="G4036" s="1">
        <f t="shared" si="63"/>
        <v>1673.9907</v>
      </c>
      <c r="H4036" t="str">
        <f>VLOOKUP(C4036,[1]products!$A:$B,2,0)</f>
        <v>Trek Domane ALR 5 Disc - 2018</v>
      </c>
      <c r="I4036">
        <f>VLOOKUP(H4036,[1]products!$B:$D,3,0)</f>
        <v>7</v>
      </c>
      <c r="J4036" t="str">
        <f>VLOOKUP(I4036,[2]categories!$A$2:$B$8,2,0)</f>
        <v>Road Bikes</v>
      </c>
    </row>
    <row r="4037" spans="1:10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 s="1">
        <f t="shared" si="63"/>
        <v>2699.982</v>
      </c>
      <c r="H4037" t="str">
        <f>VLOOKUP(C4037,[1]products!$A:$B,2,0)</f>
        <v>Trek Stache 5 - 2017</v>
      </c>
      <c r="I4037">
        <f>VLOOKUP(H4037,[1]products!$B:$D,3,0)</f>
        <v>6</v>
      </c>
      <c r="J4037" t="str">
        <f>VLOOKUP(I4037,[2]categories!$A$2:$B$8,2,0)</f>
        <v>Mountain Bikes</v>
      </c>
    </row>
    <row r="4038" spans="1:10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 s="1">
        <f t="shared" si="63"/>
        <v>1424.9905</v>
      </c>
      <c r="H4038" t="str">
        <f>VLOOKUP(C4038,[1]products!$A:$B,2,0)</f>
        <v>Trek X-Caliber Frameset - 2018</v>
      </c>
      <c r="I4038">
        <f>VLOOKUP(H4038,[1]products!$B:$D,3,0)</f>
        <v>6</v>
      </c>
      <c r="J4038" t="str">
        <f>VLOOKUP(I4038,[2]categories!$A$2:$B$8,2,0)</f>
        <v>Mountain Bikes</v>
      </c>
    </row>
    <row r="4039" spans="1:10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 s="1">
        <f t="shared" si="63"/>
        <v>295.992</v>
      </c>
      <c r="H4039" t="str">
        <f>VLOOKUP(C4039,[1]products!$A:$B,2,0)</f>
        <v>Electra Sweet Ride 3i (20-inch) - Girls' - 2018</v>
      </c>
      <c r="I4039">
        <f>VLOOKUP(H4039,[1]products!$B:$D,3,0)</f>
        <v>1</v>
      </c>
      <c r="J4039" t="str">
        <f>VLOOKUP(I4039,[2]categories!$A$2:$B$8,2,0)</f>
        <v>Children Bicycles</v>
      </c>
    </row>
    <row r="4040" spans="1:10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 s="1">
        <f t="shared" si="63"/>
        <v>224.991</v>
      </c>
      <c r="H4040" t="str">
        <f>VLOOKUP(C4040,[1]products!$A:$B,2,0)</f>
        <v>Trek MT 201 - 2018</v>
      </c>
      <c r="I4040">
        <f>VLOOKUP(H4040,[1]products!$B:$D,3,0)</f>
        <v>1</v>
      </c>
      <c r="J4040" t="str">
        <f>VLOOKUP(I4040,[2]categories!$A$2:$B$8,2,0)</f>
        <v>Children Bicycles</v>
      </c>
    </row>
    <row r="4041" spans="1:10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 s="1">
        <f t="shared" si="63"/>
        <v>809.991</v>
      </c>
      <c r="H4041" t="str">
        <f>VLOOKUP(C4041,[1]products!$A:$B,2,0)</f>
        <v>Electra Townie Balloon 7i EQ Ladies' - 2017/2018</v>
      </c>
      <c r="I4041">
        <f>VLOOKUP(H4041,[1]products!$B:$D,3,0)</f>
        <v>3</v>
      </c>
      <c r="J4041" t="str">
        <f>VLOOKUP(I4041,[2]categories!$A$2:$B$8,2,0)</f>
        <v>Cruisers Bicycles</v>
      </c>
    </row>
    <row r="4042" spans="1:10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0.07</v>
      </c>
      <c r="G4042" s="1">
        <f t="shared" si="63"/>
        <v>4184.9907</v>
      </c>
      <c r="H4042" t="str">
        <f>VLOOKUP(C4042,[1]products!$A:$B,2,0)</f>
        <v>Trek Emonda SL 7 - 2018</v>
      </c>
      <c r="I4042">
        <f>VLOOKUP(H4042,[1]products!$B:$D,3,0)</f>
        <v>7</v>
      </c>
      <c r="J4042" t="str">
        <f>VLOOKUP(I4042,[2]categories!$A$2:$B$8,2,0)</f>
        <v>Road Bikes</v>
      </c>
    </row>
    <row r="4043" spans="1:10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 s="1">
        <f t="shared" si="63"/>
        <v>404.991</v>
      </c>
      <c r="H4043" t="str">
        <f>VLOOKUP(C4043,[1]products!$A:$B,2,0)</f>
        <v>Sun Bicycles Cruz 3 - 2017</v>
      </c>
      <c r="I4043">
        <f>VLOOKUP(H4043,[1]products!$B:$D,3,0)</f>
        <v>3</v>
      </c>
      <c r="J4043" t="str">
        <f>VLOOKUP(I4043,[2]categories!$A$2:$B$8,2,0)</f>
        <v>Cruisers Bicycles</v>
      </c>
    </row>
    <row r="4044" spans="1:10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 s="1">
        <f t="shared" si="63"/>
        <v>2699.991</v>
      </c>
      <c r="H4044" t="str">
        <f>VLOOKUP(C4044,[1]products!$A:$B,2,0)</f>
        <v>Electra Townie Commute Go! - 2018</v>
      </c>
      <c r="I4044">
        <f>VLOOKUP(H4044,[1]products!$B:$D,3,0)</f>
        <v>5</v>
      </c>
      <c r="J4044" t="str">
        <f>VLOOKUP(I4044,[2]categories!$A$2:$B$8,2,0)</f>
        <v>Electric Bikes</v>
      </c>
    </row>
    <row r="4045" spans="1:10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 s="1">
        <f t="shared" si="63"/>
        <v>593.982</v>
      </c>
      <c r="H4045" t="str">
        <f>VLOOKUP(C4045,[1]products!$A:$B,2,0)</f>
        <v>Haro Downtown 16 - 2017</v>
      </c>
      <c r="I4045">
        <f>VLOOKUP(H4045,[1]products!$B:$D,3,0)</f>
        <v>1</v>
      </c>
      <c r="J4045" t="str">
        <f>VLOOKUP(I4045,[2]categories!$A$2:$B$8,2,0)</f>
        <v>Children Bicycles</v>
      </c>
    </row>
    <row r="4046" spans="1:10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 s="1">
        <f t="shared" si="63"/>
        <v>6079.981</v>
      </c>
      <c r="H4046" t="str">
        <f>VLOOKUP(C4046,[1]products!$A:$B,2,0)</f>
        <v>Trek Domane SL 6 - 2018</v>
      </c>
      <c r="I4046">
        <f>VLOOKUP(H4046,[1]products!$B:$D,3,0)</f>
        <v>7</v>
      </c>
      <c r="J4046" t="str">
        <f>VLOOKUP(I4046,[2]categories!$A$2:$B$8,2,0)</f>
        <v>Road Bikes</v>
      </c>
    </row>
    <row r="4047" spans="1:10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0.07</v>
      </c>
      <c r="G4047" s="1">
        <f t="shared" si="63"/>
        <v>297.5907</v>
      </c>
      <c r="H4047" t="str">
        <f>VLOOKUP(C4047,[1]products!$A:$B,2,0)</f>
        <v>Electra Cruiser 7D (24-Inch) Ladies' - 2016/2018</v>
      </c>
      <c r="I4047">
        <f>VLOOKUP(H4047,[1]products!$B:$D,3,0)</f>
        <v>3</v>
      </c>
      <c r="J4047" t="str">
        <f>VLOOKUP(I4047,[2]categories!$A$2:$B$8,2,0)</f>
        <v>Cruisers Bicycles</v>
      </c>
    </row>
    <row r="4048" spans="1:10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 s="1">
        <f t="shared" si="63"/>
        <v>2792.981</v>
      </c>
      <c r="H4048" t="str">
        <f>VLOOKUP(C4048,[1]products!$A:$B,2,0)</f>
        <v>Haro Shift R3 - 2017</v>
      </c>
      <c r="I4048">
        <f>VLOOKUP(H4048,[1]products!$B:$D,3,0)</f>
        <v>6</v>
      </c>
      <c r="J4048" t="str">
        <f>VLOOKUP(I4048,[2]categories!$A$2:$B$8,2,0)</f>
        <v>Mountain Bikes</v>
      </c>
    </row>
    <row r="4049" spans="1:10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 s="1">
        <f t="shared" si="63"/>
        <v>1899.981</v>
      </c>
      <c r="H4049" t="str">
        <f>VLOOKUP(C4049,[1]products!$A:$B,2,0)</f>
        <v>Surly Big Dummy Frameset - 2017</v>
      </c>
      <c r="I4049">
        <f>VLOOKUP(H4049,[1]products!$B:$D,3,0)</f>
        <v>6</v>
      </c>
      <c r="J4049" t="str">
        <f>VLOOKUP(I4049,[2]categories!$A$2:$B$8,2,0)</f>
        <v>Mountain Bikes</v>
      </c>
    </row>
    <row r="4050" spans="1:10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 s="1">
        <f t="shared" si="63"/>
        <v>809.991</v>
      </c>
      <c r="H4050" t="str">
        <f>VLOOKUP(C4050,[1]products!$A:$B,2,0)</f>
        <v>Electra Townie Balloon 7i EQ Ladies' - 2017/2018</v>
      </c>
      <c r="I4050">
        <f>VLOOKUP(H4050,[1]products!$B:$D,3,0)</f>
        <v>3</v>
      </c>
      <c r="J4050" t="str">
        <f>VLOOKUP(I4050,[2]categories!$A$2:$B$8,2,0)</f>
        <v>Cruisers Bicycles</v>
      </c>
    </row>
    <row r="4051" spans="1:10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 s="1">
        <f t="shared" si="63"/>
        <v>457.8905</v>
      </c>
      <c r="H4051" t="str">
        <f>VLOOKUP(C4051,[1]products!$A:$B,2,0)</f>
        <v>Sun Bicycles Streamway - 2017</v>
      </c>
      <c r="I4051">
        <f>VLOOKUP(H4051,[1]products!$B:$D,3,0)</f>
        <v>2</v>
      </c>
      <c r="J4051" t="str">
        <f>VLOOKUP(I4051,[2]categories!$A$2:$B$8,2,0)</f>
        <v>Comfort Bicycles</v>
      </c>
    </row>
    <row r="4052" spans="1:10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 s="1">
        <f t="shared" si="63"/>
        <v>3239.982</v>
      </c>
      <c r="H4052" t="str">
        <f>VLOOKUP(C4052,[1]products!$A:$B,2,0)</f>
        <v>Trek Domane ALR 5 Gravel - 2018</v>
      </c>
      <c r="I4052">
        <f>VLOOKUP(H4052,[1]products!$B:$D,3,0)</f>
        <v>7</v>
      </c>
      <c r="J4052" t="str">
        <f>VLOOKUP(I4052,[2]categories!$A$2:$B$8,2,0)</f>
        <v>Road Bikes</v>
      </c>
    </row>
    <row r="4053" spans="1:10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0.07</v>
      </c>
      <c r="G4053" s="1">
        <f t="shared" si="63"/>
        <v>985.7814</v>
      </c>
      <c r="H4053" t="str">
        <f>VLOOKUP(C4053,[1]products!$A:$B,2,0)</f>
        <v>Electra Cruiser Lux 3i - 2018</v>
      </c>
      <c r="I4053">
        <f>VLOOKUP(H4053,[1]products!$B:$D,3,0)</f>
        <v>3</v>
      </c>
      <c r="J4053" t="str">
        <f>VLOOKUP(I4053,[2]categories!$A$2:$B$8,2,0)</f>
        <v>Cruisers Bicycles</v>
      </c>
    </row>
    <row r="4054" spans="1:10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 s="1">
        <f t="shared" si="63"/>
        <v>511.984</v>
      </c>
      <c r="H4054" t="str">
        <f>VLOOKUP(C4054,[1]products!$A:$B,2,0)</f>
        <v>Electra Treasure 1 20" - 2018</v>
      </c>
      <c r="I4054">
        <f>VLOOKUP(H4054,[1]products!$B:$D,3,0)</f>
        <v>1</v>
      </c>
      <c r="J4054" t="str">
        <f>VLOOKUP(I4054,[2]categories!$A$2:$B$8,2,0)</f>
        <v>Children Bicycles</v>
      </c>
    </row>
    <row r="4055" spans="1:10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 s="1">
        <f t="shared" si="63"/>
        <v>295.992</v>
      </c>
      <c r="H4055" t="str">
        <f>VLOOKUP(C4055,[1]products!$A:$B,2,0)</f>
        <v>Trek Precaliber 24 21-speed Boy's - 2018</v>
      </c>
      <c r="I4055">
        <f>VLOOKUP(H4055,[1]products!$B:$D,3,0)</f>
        <v>1</v>
      </c>
      <c r="J4055" t="str">
        <f>VLOOKUP(I4055,[2]categories!$A$2:$B$8,2,0)</f>
        <v>Children Bicycles</v>
      </c>
    </row>
    <row r="4056" spans="1:10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 s="1">
        <f t="shared" si="63"/>
        <v>303.984</v>
      </c>
      <c r="H4056" t="str">
        <f>VLOOKUP(C4056,[1]products!$A:$B,2,0)</f>
        <v>Trek Precaliber 12 Boys - 2017</v>
      </c>
      <c r="I4056">
        <f>VLOOKUP(H4056,[1]products!$B:$D,3,0)</f>
        <v>1</v>
      </c>
      <c r="J4056" t="str">
        <f>VLOOKUP(I4056,[2]categories!$A$2:$B$8,2,0)</f>
        <v>Children Bicycles</v>
      </c>
    </row>
    <row r="4057" spans="1:10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 s="1">
        <f t="shared" si="63"/>
        <v>1709.981</v>
      </c>
      <c r="H4057" t="str">
        <f>VLOOKUP(C4057,[1]products!$A:$B,2,0)</f>
        <v>Electra Townie Commute 27D Ladies - 2018</v>
      </c>
      <c r="I4057">
        <f>VLOOKUP(H4057,[1]products!$B:$D,3,0)</f>
        <v>3</v>
      </c>
      <c r="J4057" t="str">
        <f>VLOOKUP(I4057,[2]categories!$A$2:$B$8,2,0)</f>
        <v>Cruisers Bicycles</v>
      </c>
    </row>
    <row r="4058" spans="1:10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0.07</v>
      </c>
      <c r="G4058" s="1">
        <f t="shared" si="63"/>
        <v>195.2907</v>
      </c>
      <c r="H4058" t="str">
        <f>VLOOKUP(C4058,[1]products!$A:$B,2,0)</f>
        <v>Haro Shredder 20 - 2017</v>
      </c>
      <c r="I4058">
        <f>VLOOKUP(H4058,[1]products!$B:$D,3,0)</f>
        <v>1</v>
      </c>
      <c r="J4058" t="str">
        <f>VLOOKUP(I4058,[2]categories!$A$2:$B$8,2,0)</f>
        <v>Children Bicycles</v>
      </c>
    </row>
    <row r="4059" spans="1:10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0.07</v>
      </c>
      <c r="G4059" s="1">
        <f t="shared" si="63"/>
        <v>613.7907</v>
      </c>
      <c r="H4059" t="str">
        <f>VLOOKUP(C4059,[1]products!$A:$B,2,0)</f>
        <v>Electra Amsterdam Original 3i Ladies' - 2017</v>
      </c>
      <c r="I4059">
        <f>VLOOKUP(H4059,[1]products!$B:$D,3,0)</f>
        <v>3</v>
      </c>
      <c r="J4059" t="str">
        <f>VLOOKUP(I4059,[2]categories!$A$2:$B$8,2,0)</f>
        <v>Cruisers Bicycles</v>
      </c>
    </row>
    <row r="4060" spans="1:10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 s="1">
        <f t="shared" si="63"/>
        <v>10069.981</v>
      </c>
      <c r="H4060" t="str">
        <f>VLOOKUP(C4060,[1]products!$A:$B,2,0)</f>
        <v>Trek Remedy 9.8 - 2017</v>
      </c>
      <c r="I4060">
        <f>VLOOKUP(H4060,[1]products!$B:$D,3,0)</f>
        <v>6</v>
      </c>
      <c r="J4060" t="str">
        <f>VLOOKUP(I4060,[2]categories!$A$2:$B$8,2,0)</f>
        <v>Mountain Bikes</v>
      </c>
    </row>
    <row r="4061" spans="1:10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 s="1">
        <f t="shared" si="63"/>
        <v>303.981</v>
      </c>
      <c r="H4061" t="str">
        <f>VLOOKUP(C4061,[1]products!$A:$B,2,0)</f>
        <v>Trek Kickster - 2018</v>
      </c>
      <c r="I4061">
        <f>VLOOKUP(H4061,[1]products!$B:$D,3,0)</f>
        <v>1</v>
      </c>
      <c r="J4061" t="str">
        <f>VLOOKUP(I4061,[2]categories!$A$2:$B$8,2,0)</f>
        <v>Children Bicycles</v>
      </c>
    </row>
    <row r="4062" spans="1:10">
      <c r="A4062">
        <v>1394</v>
      </c>
      <c r="B4062">
        <v>1</v>
      </c>
      <c r="C4062">
        <v>165</v>
      </c>
      <c r="D4062">
        <v>2</v>
      </c>
      <c r="E4062">
        <v>2499.99</v>
      </c>
      <c r="F4062">
        <v>0.05</v>
      </c>
      <c r="G4062" s="1">
        <f t="shared" si="63"/>
        <v>4749.981</v>
      </c>
      <c r="H4062" t="str">
        <f>VLOOKUP(C4062,[1]products!$A:$B,2,0)</f>
        <v>Trek 1120 - 2018</v>
      </c>
      <c r="I4062">
        <f>VLOOKUP(H4062,[1]products!$B:$D,3,0)</f>
        <v>7</v>
      </c>
      <c r="J4062" t="str">
        <f>VLOOKUP(I4062,[2]categories!$A$2:$B$8,2,0)</f>
        <v>Road Bikes</v>
      </c>
    </row>
    <row r="4063" spans="1:10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 s="1">
        <f t="shared" si="63"/>
        <v>2879.992</v>
      </c>
      <c r="H4063" t="str">
        <f>VLOOKUP(C4063,[1]products!$A:$B,2,0)</f>
        <v>Trek Super Commuter+ 7 - 2018</v>
      </c>
      <c r="I4063">
        <f>VLOOKUP(H4063,[1]products!$B:$D,3,0)</f>
        <v>5</v>
      </c>
      <c r="J4063" t="str">
        <f>VLOOKUP(I4063,[2]categories!$A$2:$B$8,2,0)</f>
        <v>Electric Bikes</v>
      </c>
    </row>
    <row r="4064" spans="1:10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 s="1">
        <f t="shared" si="63"/>
        <v>2699.982</v>
      </c>
      <c r="H4064" t="str">
        <f>VLOOKUP(C4064,[1]products!$A:$B,2,0)</f>
        <v>Trek Emonda S 4 - 2017</v>
      </c>
      <c r="I4064">
        <f>VLOOKUP(H4064,[1]products!$B:$D,3,0)</f>
        <v>7</v>
      </c>
      <c r="J4064" t="str">
        <f>VLOOKUP(I4064,[2]categories!$A$2:$B$8,2,0)</f>
        <v>Road Bikes</v>
      </c>
    </row>
    <row r="4065" spans="1:10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 s="1">
        <f t="shared" si="63"/>
        <v>1471.984</v>
      </c>
      <c r="H4065" t="str">
        <f>VLOOKUP(C4065,[1]products!$A:$B,2,0)</f>
        <v>Trek Domane AL 3 Women's - 2018</v>
      </c>
      <c r="I4065">
        <f>VLOOKUP(H4065,[1]products!$B:$D,3,0)</f>
        <v>7</v>
      </c>
      <c r="J4065" t="str">
        <f>VLOOKUP(I4065,[2]categories!$A$2:$B$8,2,0)</f>
        <v>Road Bikes</v>
      </c>
    </row>
    <row r="4066" spans="1:10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 s="1">
        <f t="shared" si="63"/>
        <v>611.991</v>
      </c>
      <c r="H4066" t="str">
        <f>VLOOKUP(C4066,[1]products!$A:$B,2,0)</f>
        <v>Electra Townie Original 21D EQ - 2017/2018</v>
      </c>
      <c r="I4066">
        <f>VLOOKUP(H4066,[1]products!$B:$D,3,0)</f>
        <v>3</v>
      </c>
      <c r="J4066" t="str">
        <f>VLOOKUP(I4066,[2]categories!$A$2:$B$8,2,0)</f>
        <v>Cruisers Bicycles</v>
      </c>
    </row>
    <row r="4067" spans="1:10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 s="1">
        <f t="shared" si="63"/>
        <v>1899.9905</v>
      </c>
      <c r="H4067" t="str">
        <f>VLOOKUP(C4067,[1]products!$A:$B,2,0)</f>
        <v>Trek Emonda S 5 - 2017</v>
      </c>
      <c r="I4067">
        <f>VLOOKUP(H4067,[1]products!$B:$D,3,0)</f>
        <v>7</v>
      </c>
      <c r="J4067" t="str">
        <f>VLOOKUP(I4067,[2]categories!$A$2:$B$8,2,0)</f>
        <v>Road Bikes</v>
      </c>
    </row>
    <row r="4068" spans="1:10">
      <c r="A4068">
        <v>1396</v>
      </c>
      <c r="B4068">
        <v>2</v>
      </c>
      <c r="C4068">
        <v>181</v>
      </c>
      <c r="D4068">
        <v>1</v>
      </c>
      <c r="E4068">
        <v>2199.99</v>
      </c>
      <c r="F4068">
        <v>0.2</v>
      </c>
      <c r="G4068" s="1">
        <f t="shared" si="63"/>
        <v>1759.992</v>
      </c>
      <c r="H4068" t="str">
        <f>VLOOKUP(C4068,[1]products!$A:$B,2,0)</f>
        <v>Trek Domane SL 5 - 2018</v>
      </c>
      <c r="I4068">
        <f>VLOOKUP(H4068,[1]products!$B:$D,3,0)</f>
        <v>7</v>
      </c>
      <c r="J4068" t="str">
        <f>VLOOKUP(I4068,[2]categories!$A$2:$B$8,2,0)</f>
        <v>Road Bikes</v>
      </c>
    </row>
    <row r="4069" spans="1:10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 s="1">
        <f t="shared" si="63"/>
        <v>845.982</v>
      </c>
      <c r="H4069" t="str">
        <f>VLOOKUP(C4069,[1]products!$A:$B,2,0)</f>
        <v>Surly Pack Rat Frameset - 2018</v>
      </c>
      <c r="I4069">
        <f>VLOOKUP(H4069,[1]products!$B:$D,3,0)</f>
        <v>6</v>
      </c>
      <c r="J4069" t="str">
        <f>VLOOKUP(I4069,[2]categories!$A$2:$B$8,2,0)</f>
        <v>Mountain Bikes</v>
      </c>
    </row>
    <row r="4070" spans="1:10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0.07</v>
      </c>
      <c r="G4070" s="1">
        <f t="shared" si="63"/>
        <v>2789.9907</v>
      </c>
      <c r="H4070" t="str">
        <f>VLOOKUP(C4070,[1]products!$A:$B,2,0)</f>
        <v>Trek Remedy 7 27.5 - 2018</v>
      </c>
      <c r="I4070">
        <f>VLOOKUP(H4070,[1]products!$B:$D,3,0)</f>
        <v>6</v>
      </c>
      <c r="J4070" t="str">
        <f>VLOOKUP(I4070,[2]categories!$A$2:$B$8,2,0)</f>
        <v>Mountain Bikes</v>
      </c>
    </row>
    <row r="4071" spans="1:10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 s="1">
        <f t="shared" si="63"/>
        <v>3799.9905</v>
      </c>
      <c r="H4071" t="str">
        <f>VLOOKUP(C4071,[1]products!$A:$B,2,0)</f>
        <v>Trek Slash 8 27.5 - 2016</v>
      </c>
      <c r="I4071">
        <f>VLOOKUP(H4071,[1]products!$B:$D,3,0)</f>
        <v>6</v>
      </c>
      <c r="J4071" t="str">
        <f>VLOOKUP(I4071,[2]categories!$A$2:$B$8,2,0)</f>
        <v>Mountain Bikes</v>
      </c>
    </row>
    <row r="4072" spans="1:10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 s="1">
        <f t="shared" si="63"/>
        <v>712.4905</v>
      </c>
      <c r="H4072" t="str">
        <f>VLOOKUP(C4072,[1]products!$A:$B,2,0)</f>
        <v>Electra White Water 3i - 2018</v>
      </c>
      <c r="I4072">
        <f>VLOOKUP(H4072,[1]products!$B:$D,3,0)</f>
        <v>3</v>
      </c>
      <c r="J4072" t="str">
        <f>VLOOKUP(I4072,[2]categories!$A$2:$B$8,2,0)</f>
        <v>Cruisers Bicycles</v>
      </c>
    </row>
    <row r="4073" spans="1:10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 s="1">
        <f t="shared" si="63"/>
        <v>1166.382</v>
      </c>
      <c r="H4073" t="str">
        <f>VLOOKUP(C4073,[1]products!$A:$B,2,0)</f>
        <v>Sun Bicycles Biscayne Tandem CB - 2017</v>
      </c>
      <c r="I4073">
        <f>VLOOKUP(H4073,[1]products!$B:$D,3,0)</f>
        <v>3</v>
      </c>
      <c r="J4073" t="str">
        <f>VLOOKUP(I4073,[2]categories!$A$2:$B$8,2,0)</f>
        <v>Cruisers Bicycles</v>
      </c>
    </row>
    <row r="4074" spans="1:10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 s="1">
        <f t="shared" si="63"/>
        <v>792.281</v>
      </c>
      <c r="H4074" t="str">
        <f>VLOOKUP(C4074,[1]products!$A:$B,2,0)</f>
        <v>Sun Bicycles Cruz 7 - 2017</v>
      </c>
      <c r="I4074">
        <f>VLOOKUP(H4074,[1]products!$B:$D,3,0)</f>
        <v>3</v>
      </c>
      <c r="J4074" t="str">
        <f>VLOOKUP(I4074,[2]categories!$A$2:$B$8,2,0)</f>
        <v>Cruisers Bicycles</v>
      </c>
    </row>
    <row r="4075" spans="1:10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 s="1">
        <f t="shared" si="63"/>
        <v>599.992</v>
      </c>
      <c r="H4075" t="str">
        <f>VLOOKUP(C4075,[1]products!$A:$B,2,0)</f>
        <v>Surly Ogre Frameset - 2017</v>
      </c>
      <c r="I4075">
        <f>VLOOKUP(H4075,[1]products!$B:$D,3,0)</f>
        <v>7</v>
      </c>
      <c r="J4075" t="str">
        <f>VLOOKUP(I4075,[2]categories!$A$2:$B$8,2,0)</f>
        <v>Road Bikes</v>
      </c>
    </row>
    <row r="4076" spans="1:10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 s="1">
        <f t="shared" si="63"/>
        <v>2478.4</v>
      </c>
      <c r="H4076" t="str">
        <f>VLOOKUP(C4076,[1]products!$A:$B,2,0)</f>
        <v>Surly Straggler - 2018</v>
      </c>
      <c r="I4076">
        <f>VLOOKUP(H4076,[1]products!$B:$D,3,0)</f>
        <v>7</v>
      </c>
      <c r="J4076" t="str">
        <f>VLOOKUP(I4076,[2]categories!$A$2:$B$8,2,0)</f>
        <v>Road Bikes</v>
      </c>
    </row>
    <row r="4077" spans="1:10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 s="1">
        <f t="shared" si="63"/>
        <v>455.9905</v>
      </c>
      <c r="H4077" t="str">
        <f>VLOOKUP(C4077,[1]products!$A:$B,2,0)</f>
        <v>Electra Cruiser Lux 7D - 2018</v>
      </c>
      <c r="I4077">
        <f>VLOOKUP(H4077,[1]products!$B:$D,3,0)</f>
        <v>3</v>
      </c>
      <c r="J4077" t="str">
        <f>VLOOKUP(I4077,[2]categories!$A$2:$B$8,2,0)</f>
        <v>Cruisers Bicycles</v>
      </c>
    </row>
    <row r="4078" spans="1:10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0.07</v>
      </c>
      <c r="G4078" s="1">
        <f t="shared" si="63"/>
        <v>874.1814</v>
      </c>
      <c r="H4078" t="str">
        <f>VLOOKUP(C4078,[1]products!$A:$B,2,0)</f>
        <v>Surly Pack Rat Frameset - 2018</v>
      </c>
      <c r="I4078">
        <f>VLOOKUP(H4078,[1]products!$B:$D,3,0)</f>
        <v>6</v>
      </c>
      <c r="J4078" t="str">
        <f>VLOOKUP(I4078,[2]categories!$A$2:$B$8,2,0)</f>
        <v>Mountain Bikes</v>
      </c>
    </row>
    <row r="4079" spans="1:10">
      <c r="A4079">
        <v>1399</v>
      </c>
      <c r="B4079">
        <v>4</v>
      </c>
      <c r="C4079">
        <v>28</v>
      </c>
      <c r="D4079">
        <v>1</v>
      </c>
      <c r="E4079">
        <v>2499.99</v>
      </c>
      <c r="F4079">
        <v>0.05</v>
      </c>
      <c r="G4079" s="1">
        <f t="shared" si="63"/>
        <v>2374.9905</v>
      </c>
      <c r="H4079" t="str">
        <f>VLOOKUP(C4079,[1]products!$A:$B,2,0)</f>
        <v>Surly Karate Monkey 27.5+ Frameset - 2017</v>
      </c>
      <c r="I4079">
        <f>VLOOKUP(H4079,[1]products!$B:$D,3,0)</f>
        <v>6</v>
      </c>
      <c r="J4079" t="str">
        <f>VLOOKUP(I4079,[2]categories!$A$2:$B$8,2,0)</f>
        <v>Mountain Bikes</v>
      </c>
    </row>
    <row r="4080" spans="1:10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 s="1">
        <f t="shared" si="63"/>
        <v>879.984</v>
      </c>
      <c r="H4080" t="str">
        <f>VLOOKUP(C4080,[1]products!$A:$B,2,0)</f>
        <v>Electra Townie Original 21D - 2016</v>
      </c>
      <c r="I4080">
        <f>VLOOKUP(H4080,[1]products!$B:$D,3,0)</f>
        <v>3</v>
      </c>
      <c r="J4080" t="str">
        <f>VLOOKUP(I4080,[2]categories!$A$2:$B$8,2,0)</f>
        <v>Cruisers Bicycles</v>
      </c>
    </row>
    <row r="4081" spans="1:10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 s="1">
        <f t="shared" si="63"/>
        <v>1455.984</v>
      </c>
      <c r="H4081" t="str">
        <f>VLOOKUP(C4081,[1]products!$A:$B,2,0)</f>
        <v>Electra Straight 8 3i - 2018</v>
      </c>
      <c r="I4081">
        <f>VLOOKUP(H4081,[1]products!$B:$D,3,0)</f>
        <v>3</v>
      </c>
      <c r="J4081" t="str">
        <f>VLOOKUP(I4081,[2]categories!$A$2:$B$8,2,0)</f>
        <v>Cruisers Bicycles</v>
      </c>
    </row>
    <row r="4082" spans="1:10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 s="1">
        <f t="shared" si="63"/>
        <v>206.991</v>
      </c>
      <c r="H4082" t="str">
        <f>VLOOKUP(C4082,[1]products!$A:$B,2,0)</f>
        <v>Trek Precaliber 20 Girl's - 2018</v>
      </c>
      <c r="I4082">
        <f>VLOOKUP(H4082,[1]products!$B:$D,3,0)</f>
        <v>1</v>
      </c>
      <c r="J4082" t="str">
        <f>VLOOKUP(I4082,[2]categories!$A$2:$B$8,2,0)</f>
        <v>Children Bicycles</v>
      </c>
    </row>
    <row r="4083" spans="1:10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0.07</v>
      </c>
      <c r="G4083" s="1">
        <f t="shared" si="63"/>
        <v>195.2907</v>
      </c>
      <c r="H4083" t="str">
        <f>VLOOKUP(C4083,[1]products!$A:$B,2,0)</f>
        <v>Trek Precaliber 16 Girls - 2017</v>
      </c>
      <c r="I4083">
        <f>VLOOKUP(H4083,[1]products!$B:$D,3,0)</f>
        <v>1</v>
      </c>
      <c r="J4083" t="str">
        <f>VLOOKUP(I4083,[2]categories!$A$2:$B$8,2,0)</f>
        <v>Children Bicycles</v>
      </c>
    </row>
    <row r="4084" spans="1:10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0.07</v>
      </c>
      <c r="G4084" s="1">
        <f t="shared" si="63"/>
        <v>353.3907</v>
      </c>
      <c r="H4084" t="str">
        <f>VLOOKUP(C4084,[1]products!$A:$B,2,0)</f>
        <v>Trek 820 - 2018</v>
      </c>
      <c r="I4084">
        <f>VLOOKUP(H4084,[1]products!$B:$D,3,0)</f>
        <v>6</v>
      </c>
      <c r="J4084" t="str">
        <f>VLOOKUP(I4084,[2]categories!$A$2:$B$8,2,0)</f>
        <v>Mountain Bikes</v>
      </c>
    </row>
    <row r="4085" spans="1:10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 s="1">
        <f t="shared" si="63"/>
        <v>408.4905</v>
      </c>
      <c r="H4085" t="str">
        <f>VLOOKUP(C4085,[1]products!$A:$B,2,0)</f>
        <v>Electra Cruiser Lux 1 Ladies' - 2018</v>
      </c>
      <c r="I4085">
        <f>VLOOKUP(H4085,[1]products!$B:$D,3,0)</f>
        <v>3</v>
      </c>
      <c r="J4085" t="str">
        <f>VLOOKUP(I4085,[2]categories!$A$2:$B$8,2,0)</f>
        <v>Cruisers Bicycles</v>
      </c>
    </row>
    <row r="4086" spans="1:10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 s="1">
        <f t="shared" si="63"/>
        <v>1199.984</v>
      </c>
      <c r="H4086" t="str">
        <f>VLOOKUP(C4086,[1]products!$A:$B,2,0)</f>
        <v>Electra Townie Balloon 3i EQ - 2017/2018</v>
      </c>
      <c r="I4086">
        <f>VLOOKUP(H4086,[1]products!$B:$D,3,0)</f>
        <v>3</v>
      </c>
      <c r="J4086" t="str">
        <f>VLOOKUP(I4086,[2]categories!$A$2:$B$8,2,0)</f>
        <v>Cruisers Bicycles</v>
      </c>
    </row>
    <row r="4087" spans="1:10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 s="1">
        <f t="shared" si="63"/>
        <v>4479.984</v>
      </c>
      <c r="H4087" t="str">
        <f>VLOOKUP(C4087,[1]products!$A:$B,2,0)</f>
        <v>Trek Lift+ Lowstep - 2018</v>
      </c>
      <c r="I4087">
        <f>VLOOKUP(H4087,[1]products!$B:$D,3,0)</f>
        <v>5</v>
      </c>
      <c r="J4087" t="str">
        <f>VLOOKUP(I4087,[2]categories!$A$2:$B$8,2,0)</f>
        <v>Electric Bikes</v>
      </c>
    </row>
    <row r="4088" spans="1:10">
      <c r="A4088">
        <v>1402</v>
      </c>
      <c r="B4088">
        <v>2</v>
      </c>
      <c r="C4088">
        <v>28</v>
      </c>
      <c r="D4088">
        <v>2</v>
      </c>
      <c r="E4088">
        <v>2499.99</v>
      </c>
      <c r="F4088">
        <v>0.05</v>
      </c>
      <c r="G4088" s="1">
        <f t="shared" si="63"/>
        <v>4749.981</v>
      </c>
      <c r="H4088" t="str">
        <f>VLOOKUP(C4088,[1]products!$A:$B,2,0)</f>
        <v>Surly Karate Monkey 27.5+ Frameset - 2017</v>
      </c>
      <c r="I4088">
        <f>VLOOKUP(H4088,[1]products!$B:$D,3,0)</f>
        <v>6</v>
      </c>
      <c r="J4088" t="str">
        <f>VLOOKUP(I4088,[2]categories!$A$2:$B$8,2,0)</f>
        <v>Mountain Bikes</v>
      </c>
    </row>
    <row r="4089" spans="1:10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 s="1">
        <f t="shared" si="63"/>
        <v>4749.9905</v>
      </c>
      <c r="H4089" t="str">
        <f>VLOOKUP(C4089,[1]products!$A:$B,2,0)</f>
        <v>Trek Powerfly 7 FS - 2018</v>
      </c>
      <c r="I4089">
        <f>VLOOKUP(H4089,[1]products!$B:$D,3,0)</f>
        <v>5</v>
      </c>
      <c r="J4089" t="str">
        <f>VLOOKUP(I4089,[2]categories!$A$2:$B$8,2,0)</f>
        <v>Electric Bikes</v>
      </c>
    </row>
    <row r="4090" spans="1:10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0.07</v>
      </c>
      <c r="G4090" s="1">
        <f t="shared" si="63"/>
        <v>269.6907</v>
      </c>
      <c r="H4090" t="str">
        <f>VLOOKUP(C4090,[1]products!$A:$B,2,0)</f>
        <v>Trek Precaliber 20 6-speed Girl's - 2018</v>
      </c>
      <c r="I4090">
        <f>VLOOKUP(H4090,[1]products!$B:$D,3,0)</f>
        <v>1</v>
      </c>
      <c r="J4090" t="str">
        <f>VLOOKUP(I4090,[2]categories!$A$2:$B$8,2,0)</f>
        <v>Children Bicycles</v>
      </c>
    </row>
    <row r="4091" spans="1:10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 s="1">
        <f t="shared" si="63"/>
        <v>377.982</v>
      </c>
      <c r="H4091" t="str">
        <f>VLOOKUP(C4091,[1]products!$A:$B,2,0)</f>
        <v>Haro Shredder 20 Girls - 2017</v>
      </c>
      <c r="I4091">
        <f>VLOOKUP(H4091,[1]products!$B:$D,3,0)</f>
        <v>1</v>
      </c>
      <c r="J4091" t="str">
        <f>VLOOKUP(I4091,[2]categories!$A$2:$B$8,2,0)</f>
        <v>Children Bicycles</v>
      </c>
    </row>
    <row r="4092" spans="1:10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 s="1">
        <f t="shared" si="63"/>
        <v>721.981</v>
      </c>
      <c r="H4092" t="str">
        <f>VLOOKUP(C4092,[1]products!$A:$B,2,0)</f>
        <v>Trek 820 - 2018</v>
      </c>
      <c r="I4092">
        <f>VLOOKUP(H4092,[1]products!$B:$D,3,0)</f>
        <v>6</v>
      </c>
      <c r="J4092" t="str">
        <f>VLOOKUP(I4092,[2]categories!$A$2:$B$8,2,0)</f>
        <v>Mountain Bikes</v>
      </c>
    </row>
    <row r="4093" spans="1:10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 s="1">
        <f t="shared" si="63"/>
        <v>242.991</v>
      </c>
      <c r="H4093" t="str">
        <f>VLOOKUP(C4093,[1]products!$A:$B,2,0)</f>
        <v>Electra Cruiser 1 Ladies' - 2018</v>
      </c>
      <c r="I4093">
        <f>VLOOKUP(H4093,[1]products!$B:$D,3,0)</f>
        <v>3</v>
      </c>
      <c r="J4093" t="str">
        <f>VLOOKUP(I4093,[2]categories!$A$2:$B$8,2,0)</f>
        <v>Cruisers Bicycles</v>
      </c>
    </row>
    <row r="4094" spans="1:10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 s="1">
        <f t="shared" si="63"/>
        <v>4479.984</v>
      </c>
      <c r="H4094" t="str">
        <f>VLOOKUP(C4094,[1]products!$A:$B,2,0)</f>
        <v>Trek Lift+ - 2018</v>
      </c>
      <c r="I4094">
        <f>VLOOKUP(H4094,[1]products!$B:$D,3,0)</f>
        <v>5</v>
      </c>
      <c r="J4094" t="str">
        <f>VLOOKUP(I4094,[2]categories!$A$2:$B$8,2,0)</f>
        <v>Electric Bikes</v>
      </c>
    </row>
    <row r="4095" spans="1:10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 s="1">
        <f t="shared" si="63"/>
        <v>5399.982</v>
      </c>
      <c r="H4095" t="str">
        <f>VLOOKUP(C4095,[1]products!$A:$B,2,0)</f>
        <v>Trek Emonda SL 6 Disc - 2018</v>
      </c>
      <c r="I4095">
        <f>VLOOKUP(H4095,[1]products!$B:$D,3,0)</f>
        <v>7</v>
      </c>
      <c r="J4095" t="str">
        <f>VLOOKUP(I4095,[2]categories!$A$2:$B$8,2,0)</f>
        <v>Road Bikes</v>
      </c>
    </row>
    <row r="4096" spans="1:10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 s="1">
        <f t="shared" si="63"/>
        <v>816.981</v>
      </c>
      <c r="H4096" t="str">
        <f>VLOOKUP(C4096,[1]products!$A:$B,2,0)</f>
        <v>Electra Cruiser Lux 1 Ladies' - 2018</v>
      </c>
      <c r="I4096">
        <f>VLOOKUP(H4096,[1]products!$B:$D,3,0)</f>
        <v>3</v>
      </c>
      <c r="J4096" t="str">
        <f>VLOOKUP(I4096,[2]categories!$A$2:$B$8,2,0)</f>
        <v>Cruisers Bicycles</v>
      </c>
    </row>
    <row r="4097" spans="1:10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 s="1">
        <f t="shared" si="63"/>
        <v>440.991</v>
      </c>
      <c r="H4097" t="str">
        <f>VLOOKUP(C4097,[1]products!$A:$B,2,0)</f>
        <v>Trek Marlin 5 - 2018</v>
      </c>
      <c r="I4097">
        <f>VLOOKUP(H4097,[1]products!$B:$D,3,0)</f>
        <v>6</v>
      </c>
      <c r="J4097" t="str">
        <f>VLOOKUP(I4097,[2]categories!$A$2:$B$8,2,0)</f>
        <v>Mountain Bikes</v>
      </c>
    </row>
    <row r="4098" spans="1:10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 s="1">
        <f t="shared" ref="G4098:G4161" si="64">D4098*E4098*(1-F4098)</f>
        <v>759.9905</v>
      </c>
      <c r="H4098" t="str">
        <f>VLOOKUP(C4098,[1]products!$A:$B,2,0)</f>
        <v>Electra Townie Balloon 3i EQ Ladies' - 2018</v>
      </c>
      <c r="I4098">
        <f>VLOOKUP(H4098,[1]products!$B:$D,3,0)</f>
        <v>3</v>
      </c>
      <c r="J4098" t="str">
        <f>VLOOKUP(I4098,[2]categories!$A$2:$B$8,2,0)</f>
        <v>Cruisers Bicycles</v>
      </c>
    </row>
    <row r="4099" spans="1:10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 s="1">
        <f t="shared" si="64"/>
        <v>1499.382</v>
      </c>
      <c r="H4099" t="str">
        <f>VLOOKUP(C4099,[1]products!$A:$B,2,0)</f>
        <v>Surly Troll Frameset - 2017</v>
      </c>
      <c r="I4099">
        <f>VLOOKUP(H4099,[1]products!$B:$D,3,0)</f>
        <v>6</v>
      </c>
      <c r="J4099" t="str">
        <f>VLOOKUP(I4099,[2]categories!$A$2:$B$8,2,0)</f>
        <v>Mountain Bikes</v>
      </c>
    </row>
    <row r="4100" spans="1:10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 s="1">
        <f t="shared" si="64"/>
        <v>359.991</v>
      </c>
      <c r="H4100" t="str">
        <f>VLOOKUP(C4100,[1]products!$A:$B,2,0)</f>
        <v>Trek Superfly 20 - 2018</v>
      </c>
      <c r="I4100">
        <f>VLOOKUP(H4100,[1]products!$B:$D,3,0)</f>
        <v>1</v>
      </c>
      <c r="J4100" t="str">
        <f>VLOOKUP(I4100,[2]categories!$A$2:$B$8,2,0)</f>
        <v>Children Bicycles</v>
      </c>
    </row>
    <row r="4101" spans="1:10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 s="1">
        <f t="shared" si="64"/>
        <v>666.392</v>
      </c>
      <c r="H4101" t="str">
        <f>VLOOKUP(C4101,[1]products!$A:$B,2,0)</f>
        <v>Sun Bicycles Spider 3i - 2017</v>
      </c>
      <c r="I4101">
        <f>VLOOKUP(H4101,[1]products!$B:$D,3,0)</f>
        <v>6</v>
      </c>
      <c r="J4101" t="str">
        <f>VLOOKUP(I4101,[2]categories!$A$2:$B$8,2,0)</f>
        <v>Mountain Bikes</v>
      </c>
    </row>
    <row r="4102" spans="1:10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 s="1">
        <f t="shared" si="64"/>
        <v>479.984</v>
      </c>
      <c r="H4102" t="str">
        <f>VLOOKUP(C4102,[1]products!$A:$B,2,0)</f>
        <v>Electra Girl's Hawaii 1 (20-inch) - 2015/2016</v>
      </c>
      <c r="I4102">
        <f>VLOOKUP(H4102,[1]products!$B:$D,3,0)</f>
        <v>1</v>
      </c>
      <c r="J4102" t="str">
        <f>VLOOKUP(I4102,[2]categories!$A$2:$B$8,2,0)</f>
        <v>Children Bicycles</v>
      </c>
    </row>
    <row r="4103" spans="1:10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 s="1">
        <f t="shared" si="64"/>
        <v>599.992</v>
      </c>
      <c r="H4103" t="str">
        <f>VLOOKUP(C4103,[1]products!$A:$B,2,0)</f>
        <v>Trek Domane AL 2 Women's - 2018</v>
      </c>
      <c r="I4103">
        <f>VLOOKUP(H4103,[1]products!$B:$D,3,0)</f>
        <v>7</v>
      </c>
      <c r="J4103" t="str">
        <f>VLOOKUP(I4103,[2]categories!$A$2:$B$8,2,0)</f>
        <v>Road Bikes</v>
      </c>
    </row>
    <row r="4104" spans="1:10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0.07</v>
      </c>
      <c r="G4104" s="1">
        <f t="shared" si="64"/>
        <v>539.3907</v>
      </c>
      <c r="H4104" t="str">
        <f>VLOOKUP(C4104,[1]products!$A:$B,2,0)</f>
        <v>Trek Marlin 6 - 2018</v>
      </c>
      <c r="I4104">
        <f>VLOOKUP(H4104,[1]products!$B:$D,3,0)</f>
        <v>6</v>
      </c>
      <c r="J4104" t="str">
        <f>VLOOKUP(I4104,[2]categories!$A$2:$B$8,2,0)</f>
        <v>Mountain Bikes</v>
      </c>
    </row>
    <row r="4105" spans="1:10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 s="1">
        <f t="shared" si="64"/>
        <v>4158.4</v>
      </c>
      <c r="H4105" t="str">
        <f>VLOOKUP(C4105,[1]products!$A:$B,2,0)</f>
        <v>Heller Shagamaw GX1 - 2018</v>
      </c>
      <c r="I4105">
        <f>VLOOKUP(H4105,[1]products!$B:$D,3,0)</f>
        <v>6</v>
      </c>
      <c r="J4105" t="str">
        <f>VLOOKUP(I4105,[2]categories!$A$2:$B$8,2,0)</f>
        <v>Mountain Bikes</v>
      </c>
    </row>
    <row r="4106" spans="1:10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0.07</v>
      </c>
      <c r="G4106" s="1">
        <f t="shared" si="64"/>
        <v>1673.9814</v>
      </c>
      <c r="H4106" t="str">
        <f>VLOOKUP(C4106,[1]products!$A:$B,2,0)</f>
        <v>Electra Townie Balloon 7i EQ - 2018</v>
      </c>
      <c r="I4106">
        <f>VLOOKUP(H4106,[1]products!$B:$D,3,0)</f>
        <v>3</v>
      </c>
      <c r="J4106" t="str">
        <f>VLOOKUP(I4106,[2]categories!$A$2:$B$8,2,0)</f>
        <v>Cruisers Bicycles</v>
      </c>
    </row>
    <row r="4107" spans="1:10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0.07</v>
      </c>
      <c r="G4107" s="1">
        <f t="shared" si="64"/>
        <v>1208.9907</v>
      </c>
      <c r="H4107" t="str">
        <f>VLOOKUP(C4107,[1]products!$A:$B,2,0)</f>
        <v>Trek CrossRip 2 - 2018</v>
      </c>
      <c r="I4107">
        <f>VLOOKUP(H4107,[1]products!$B:$D,3,0)</f>
        <v>7</v>
      </c>
      <c r="J4107" t="str">
        <f>VLOOKUP(I4107,[2]categories!$A$2:$B$8,2,0)</f>
        <v>Road Bikes</v>
      </c>
    </row>
    <row r="4108" spans="1:10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 s="1">
        <f t="shared" si="64"/>
        <v>6079.981</v>
      </c>
      <c r="H4108" t="str">
        <f>VLOOKUP(C4108,[1]products!$A:$B,2,0)</f>
        <v>Trek Domane SL 6 - 2018</v>
      </c>
      <c r="I4108">
        <f>VLOOKUP(H4108,[1]products!$B:$D,3,0)</f>
        <v>7</v>
      </c>
      <c r="J4108" t="str">
        <f>VLOOKUP(I4108,[2]categories!$A$2:$B$8,2,0)</f>
        <v>Road Bikes</v>
      </c>
    </row>
    <row r="4109" spans="1:10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 s="1">
        <f t="shared" si="64"/>
        <v>275.4905</v>
      </c>
      <c r="H4109" t="str">
        <f>VLOOKUP(C4109,[1]products!$A:$B,2,0)</f>
        <v>Strider Strider 20 Sport - 2018</v>
      </c>
      <c r="I4109">
        <f>VLOOKUP(H4109,[1]products!$B:$D,3,0)</f>
        <v>1</v>
      </c>
      <c r="J4109" t="str">
        <f>VLOOKUP(I4109,[2]categories!$A$2:$B$8,2,0)</f>
        <v>Children Bicycles</v>
      </c>
    </row>
    <row r="4110" spans="1:10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 s="1">
        <f t="shared" si="64"/>
        <v>242.991</v>
      </c>
      <c r="H4110" t="str">
        <f>VLOOKUP(C4110,[1]products!$A:$B,2,0)</f>
        <v>Electra Cruiser 1 Tall - 2016/2018</v>
      </c>
      <c r="I4110">
        <f>VLOOKUP(H4110,[1]products!$B:$D,3,0)</f>
        <v>3</v>
      </c>
      <c r="J4110" t="str">
        <f>VLOOKUP(I4110,[2]categories!$A$2:$B$8,2,0)</f>
        <v>Cruisers Bicycles</v>
      </c>
    </row>
    <row r="4111" spans="1:10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 s="1">
        <f t="shared" si="64"/>
        <v>8999.982</v>
      </c>
      <c r="H4111" t="str">
        <f>VLOOKUP(C4111,[1]products!$A:$B,2,0)</f>
        <v>Trek Super Commuter+ 8S - 2018</v>
      </c>
      <c r="I4111">
        <f>VLOOKUP(H4111,[1]products!$B:$D,3,0)</f>
        <v>5</v>
      </c>
      <c r="J4111" t="str">
        <f>VLOOKUP(I4111,[2]categories!$A$2:$B$8,2,0)</f>
        <v>Electric Bikes</v>
      </c>
    </row>
    <row r="4112" spans="1:10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 s="1">
        <f t="shared" si="64"/>
        <v>7999.984</v>
      </c>
      <c r="H4112" t="str">
        <f>VLOOKUP(C4112,[1]products!$A:$B,2,0)</f>
        <v>Trek Powerfly 7 FS - 2018</v>
      </c>
      <c r="I4112">
        <f>VLOOKUP(H4112,[1]products!$B:$D,3,0)</f>
        <v>5</v>
      </c>
      <c r="J4112" t="str">
        <f>VLOOKUP(I4112,[2]categories!$A$2:$B$8,2,0)</f>
        <v>Electric Bikes</v>
      </c>
    </row>
    <row r="4113" spans="1:10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 s="1">
        <f t="shared" si="64"/>
        <v>611.991</v>
      </c>
      <c r="H4113" t="str">
        <f>VLOOKUP(C4113,[1]products!$A:$B,2,0)</f>
        <v>Electra Townie Original 21D EQ - 2017/2018</v>
      </c>
      <c r="I4113">
        <f>VLOOKUP(H4113,[1]products!$B:$D,3,0)</f>
        <v>3</v>
      </c>
      <c r="J4113" t="str">
        <f>VLOOKUP(I4113,[2]categories!$A$2:$B$8,2,0)</f>
        <v>Cruisers Bicycles</v>
      </c>
    </row>
    <row r="4114" spans="1:10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 s="1">
        <f t="shared" si="64"/>
        <v>2699.991</v>
      </c>
      <c r="H4114" t="str">
        <f>VLOOKUP(C4114,[1]products!$A:$B,2,0)</f>
        <v>Trek Conduit+ - 2016</v>
      </c>
      <c r="I4114">
        <f>VLOOKUP(H4114,[1]products!$B:$D,3,0)</f>
        <v>5</v>
      </c>
      <c r="J4114" t="str">
        <f>VLOOKUP(I4114,[2]categories!$A$2:$B$8,2,0)</f>
        <v>Electric Bikes</v>
      </c>
    </row>
    <row r="4115" spans="1:10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 s="1">
        <f t="shared" si="64"/>
        <v>1199.984</v>
      </c>
      <c r="H4115" t="str">
        <f>VLOOKUP(C4115,[1]products!$A:$B,2,0)</f>
        <v>Electra Townie Balloon 8D EQ Ladies' - 2016/2017/2018</v>
      </c>
      <c r="I4115">
        <f>VLOOKUP(H4115,[1]products!$B:$D,3,0)</f>
        <v>3</v>
      </c>
      <c r="J4115" t="str">
        <f>VLOOKUP(I4115,[2]categories!$A$2:$B$8,2,0)</f>
        <v>Cruisers Bicycles</v>
      </c>
    </row>
    <row r="4116" spans="1:10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0.07</v>
      </c>
      <c r="G4116" s="1">
        <f t="shared" si="64"/>
        <v>1711.1814</v>
      </c>
      <c r="H4116" t="str">
        <f>VLOOKUP(C4116,[1]products!$A:$B,2,0)</f>
        <v>Trek Domane AL 3 Women's - 2018</v>
      </c>
      <c r="I4116">
        <f>VLOOKUP(H4116,[1]products!$B:$D,3,0)</f>
        <v>7</v>
      </c>
      <c r="J4116" t="str">
        <f>VLOOKUP(I4116,[2]categories!$A$2:$B$8,2,0)</f>
        <v>Road Bikes</v>
      </c>
    </row>
    <row r="4117" spans="1:10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 s="1">
        <f t="shared" si="64"/>
        <v>4769.991</v>
      </c>
      <c r="H4117" t="str">
        <f>VLOOKUP(C4117,[1]products!$A:$B,2,0)</f>
        <v>Trek Fuel EX 9.8 27.5 Plus - 2017</v>
      </c>
      <c r="I4117">
        <f>VLOOKUP(H4117,[1]products!$B:$D,3,0)</f>
        <v>6</v>
      </c>
      <c r="J4117" t="str">
        <f>VLOOKUP(I4117,[2]categories!$A$2:$B$8,2,0)</f>
        <v>Mountain Bikes</v>
      </c>
    </row>
    <row r="4118" spans="1:10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0.07</v>
      </c>
      <c r="G4118" s="1">
        <f t="shared" si="64"/>
        <v>775.6014</v>
      </c>
      <c r="H4118" t="str">
        <f>VLOOKUP(C4118,[1]products!$A:$B,2,0)</f>
        <v>Sun Bicycles Cruz 7 - Women's - 2017</v>
      </c>
      <c r="I4118">
        <f>VLOOKUP(H4118,[1]products!$B:$D,3,0)</f>
        <v>2</v>
      </c>
      <c r="J4118" t="str">
        <f>VLOOKUP(I4118,[2]categories!$A$2:$B$8,2,0)</f>
        <v>Comfort Bicycles</v>
      </c>
    </row>
    <row r="4119" spans="1:10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 s="1">
        <f t="shared" si="64"/>
        <v>531.981</v>
      </c>
      <c r="H4119" t="str">
        <f>VLOOKUP(C4119,[1]products!$A:$B,2,0)</f>
        <v>Electra Under-The-Sea 1 16" - 2018</v>
      </c>
      <c r="I4119">
        <f>VLOOKUP(H4119,[1]products!$B:$D,3,0)</f>
        <v>1</v>
      </c>
      <c r="J4119" t="str">
        <f>VLOOKUP(I4119,[2]categories!$A$2:$B$8,2,0)</f>
        <v>Children Bicycles</v>
      </c>
    </row>
    <row r="4120" spans="1:10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 s="1">
        <f t="shared" si="64"/>
        <v>5399.982</v>
      </c>
      <c r="H4120" t="str">
        <f>VLOOKUP(C4120,[1]products!$A:$B,2,0)</f>
        <v>Trek Emonda SL 6 Disc - 2018</v>
      </c>
      <c r="I4120">
        <f>VLOOKUP(H4120,[1]products!$B:$D,3,0)</f>
        <v>7</v>
      </c>
      <c r="J4120" t="str">
        <f>VLOOKUP(I4120,[2]categories!$A$2:$B$8,2,0)</f>
        <v>Road Bikes</v>
      </c>
    </row>
    <row r="4121" spans="1:10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 s="1">
        <f t="shared" si="64"/>
        <v>702.981</v>
      </c>
      <c r="H4121" t="str">
        <f>VLOOKUP(C4121,[1]products!$A:$B,2,0)</f>
        <v>Electra Sweet Ride 3i (20-inch) - Girls' - 2018</v>
      </c>
      <c r="I4121">
        <f>VLOOKUP(H4121,[1]products!$B:$D,3,0)</f>
        <v>1</v>
      </c>
      <c r="J4121" t="str">
        <f>VLOOKUP(I4121,[2]categories!$A$2:$B$8,2,0)</f>
        <v>Children Bicycles</v>
      </c>
    </row>
    <row r="4122" spans="1:10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0.07</v>
      </c>
      <c r="G4122" s="1">
        <f t="shared" si="64"/>
        <v>3037.3614</v>
      </c>
      <c r="H4122" t="str">
        <f>VLOOKUP(C4122,[1]products!$A:$B,2,0)</f>
        <v>Surly Wednesday - 2017</v>
      </c>
      <c r="I4122">
        <f>VLOOKUP(H4122,[1]products!$B:$D,3,0)</f>
        <v>6</v>
      </c>
      <c r="J4122" t="str">
        <f>VLOOKUP(I4122,[2]categories!$A$2:$B$8,2,0)</f>
        <v>Mountain Bikes</v>
      </c>
    </row>
    <row r="4123" spans="1:10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 s="1">
        <f t="shared" si="64"/>
        <v>407.55</v>
      </c>
      <c r="H4123" t="str">
        <f>VLOOKUP(C4123,[1]products!$A:$B,2,0)</f>
        <v>Pure Cycles Vine 8-Speed - 2016</v>
      </c>
      <c r="I4123">
        <f>VLOOKUP(H4123,[1]products!$B:$D,3,0)</f>
        <v>3</v>
      </c>
      <c r="J4123" t="str">
        <f>VLOOKUP(I4123,[2]categories!$A$2:$B$8,2,0)</f>
        <v>Cruisers Bicycles</v>
      </c>
    </row>
    <row r="4124" spans="1:10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 s="1">
        <f t="shared" si="64"/>
        <v>449.982</v>
      </c>
      <c r="H4124" t="str">
        <f>VLOOKUP(C4124,[1]products!$A:$B,2,0)</f>
        <v>Strider Sport 16 - 2018</v>
      </c>
      <c r="I4124">
        <f>VLOOKUP(H4124,[1]products!$B:$D,3,0)</f>
        <v>1</v>
      </c>
      <c r="J4124" t="str">
        <f>VLOOKUP(I4124,[2]categories!$A$2:$B$8,2,0)</f>
        <v>Children Bicycles</v>
      </c>
    </row>
    <row r="4125" spans="1:10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 s="1">
        <f t="shared" si="64"/>
        <v>626.9905</v>
      </c>
      <c r="H4125" t="str">
        <f>VLOOKUP(C4125,[1]products!$A:$B,2,0)</f>
        <v>Electra Townie Original 3i EQ - 2017/2018</v>
      </c>
      <c r="I4125">
        <f>VLOOKUP(H4125,[1]products!$B:$D,3,0)</f>
        <v>3</v>
      </c>
      <c r="J4125" t="str">
        <f>VLOOKUP(I4125,[2]categories!$A$2:$B$8,2,0)</f>
        <v>Cruisers Bicycles</v>
      </c>
    </row>
    <row r="4126" spans="1:10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 s="1">
        <f t="shared" si="64"/>
        <v>2799.992</v>
      </c>
      <c r="H4126" t="str">
        <f>VLOOKUP(C4126,[1]products!$A:$B,2,0)</f>
        <v>Trek XM700+ - 2018</v>
      </c>
      <c r="I4126">
        <f>VLOOKUP(H4126,[1]products!$B:$D,3,0)</f>
        <v>5</v>
      </c>
      <c r="J4126" t="str">
        <f>VLOOKUP(I4126,[2]categories!$A$2:$B$8,2,0)</f>
        <v>Electric Bikes</v>
      </c>
    </row>
    <row r="4127" spans="1:10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 s="1">
        <f t="shared" si="64"/>
        <v>1259.982</v>
      </c>
      <c r="H4127" t="str">
        <f>VLOOKUP(C4127,[1]products!$A:$B,2,0)</f>
        <v>Electra Townie Commute 8D Ladies' - 2018</v>
      </c>
      <c r="I4127">
        <f>VLOOKUP(H4127,[1]products!$B:$D,3,0)</f>
        <v>3</v>
      </c>
      <c r="J4127" t="str">
        <f>VLOOKUP(I4127,[2]categories!$A$2:$B$8,2,0)</f>
        <v>Cruisers Bicycles</v>
      </c>
    </row>
    <row r="4128" spans="1:10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 s="1">
        <f t="shared" si="64"/>
        <v>398.981</v>
      </c>
      <c r="H4128" t="str">
        <f>VLOOKUP(C4128,[1]products!$A:$B,2,0)</f>
        <v>Haro Shredder 20 - 2017</v>
      </c>
      <c r="I4128">
        <f>VLOOKUP(H4128,[1]products!$B:$D,3,0)</f>
        <v>1</v>
      </c>
      <c r="J4128" t="str">
        <f>VLOOKUP(I4128,[2]categories!$A$2:$B$8,2,0)</f>
        <v>Children Bicycles</v>
      </c>
    </row>
    <row r="4129" spans="1:10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 s="1">
        <f t="shared" si="64"/>
        <v>1023.984</v>
      </c>
      <c r="H4129" t="str">
        <f>VLOOKUP(C4129,[1]products!$A:$B,2,0)</f>
        <v>Electra Moto 3i - 2018</v>
      </c>
      <c r="I4129">
        <f>VLOOKUP(H4129,[1]products!$B:$D,3,0)</f>
        <v>3</v>
      </c>
      <c r="J4129" t="str">
        <f>VLOOKUP(I4129,[2]categories!$A$2:$B$8,2,0)</f>
        <v>Cruisers Bicycles</v>
      </c>
    </row>
    <row r="4130" spans="1:10">
      <c r="A4130">
        <v>1418</v>
      </c>
      <c r="B4130">
        <v>1</v>
      </c>
      <c r="C4130">
        <v>120</v>
      </c>
      <c r="D4130">
        <v>2</v>
      </c>
      <c r="E4130">
        <v>2499.99</v>
      </c>
      <c r="F4130">
        <v>0.2</v>
      </c>
      <c r="G4130" s="1">
        <f t="shared" si="64"/>
        <v>3999.984</v>
      </c>
      <c r="H4130" t="str">
        <f>VLOOKUP(C4130,[1]products!$A:$B,2,0)</f>
        <v>Trek Fuel EX 7 29 - 2018</v>
      </c>
      <c r="I4130">
        <f>VLOOKUP(H4130,[1]products!$B:$D,3,0)</f>
        <v>6</v>
      </c>
      <c r="J4130" t="str">
        <f>VLOOKUP(I4130,[2]categories!$A$2:$B$8,2,0)</f>
        <v>Mountain Bikes</v>
      </c>
    </row>
    <row r="4131" spans="1:10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 s="1">
        <f t="shared" si="64"/>
        <v>1291.981</v>
      </c>
      <c r="H4131" t="str">
        <f>VLOOKUP(C4131,[1]products!$A:$B,2,0)</f>
        <v>Electra Townie Original 21D EQ Ladies' - 2018</v>
      </c>
      <c r="I4131">
        <f>VLOOKUP(H4131,[1]products!$B:$D,3,0)</f>
        <v>3</v>
      </c>
      <c r="J4131" t="str">
        <f>VLOOKUP(I4131,[2]categories!$A$2:$B$8,2,0)</f>
        <v>Cruisers Bicycles</v>
      </c>
    </row>
    <row r="4132" spans="1:10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0.07</v>
      </c>
      <c r="G4132" s="1">
        <f t="shared" si="64"/>
        <v>1394.07</v>
      </c>
      <c r="H4132" t="str">
        <f>VLOOKUP(C4132,[1]products!$A:$B,2,0)</f>
        <v>Surly Krampus - 2018</v>
      </c>
      <c r="I4132">
        <f>VLOOKUP(H4132,[1]products!$B:$D,3,0)</f>
        <v>6</v>
      </c>
      <c r="J4132" t="str">
        <f>VLOOKUP(I4132,[2]categories!$A$2:$B$8,2,0)</f>
        <v>Mountain Bikes</v>
      </c>
    </row>
    <row r="4133" spans="1:10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 s="1">
        <f t="shared" si="64"/>
        <v>1439.984</v>
      </c>
      <c r="H4133" t="str">
        <f>VLOOKUP(C4133,[1]products!$A:$B,2,0)</f>
        <v>Electra Koa 3i Ladies' - 2018</v>
      </c>
      <c r="I4133">
        <f>VLOOKUP(H4133,[1]products!$B:$D,3,0)</f>
        <v>3</v>
      </c>
      <c r="J4133" t="str">
        <f>VLOOKUP(I4133,[2]categories!$A$2:$B$8,2,0)</f>
        <v>Cruisers Bicycles</v>
      </c>
    </row>
    <row r="4134" spans="1:10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 s="1">
        <f t="shared" si="64"/>
        <v>809.991</v>
      </c>
      <c r="H4134" t="str">
        <f>VLOOKUP(C4134,[1]products!$A:$B,2,0)</f>
        <v>Electra Daydreamer 3i Ladies' - 2018</v>
      </c>
      <c r="I4134">
        <f>VLOOKUP(H4134,[1]products!$B:$D,3,0)</f>
        <v>3</v>
      </c>
      <c r="J4134" t="str">
        <f>VLOOKUP(I4134,[2]categories!$A$2:$B$8,2,0)</f>
        <v>Cruisers Bicycles</v>
      </c>
    </row>
    <row r="4135" spans="1:10">
      <c r="A4135">
        <v>1420</v>
      </c>
      <c r="B4135">
        <v>1</v>
      </c>
      <c r="C4135">
        <v>197</v>
      </c>
      <c r="D4135">
        <v>1</v>
      </c>
      <c r="E4135">
        <v>2299.99</v>
      </c>
      <c r="F4135">
        <v>0.2</v>
      </c>
      <c r="G4135" s="1">
        <f t="shared" si="64"/>
        <v>1839.992</v>
      </c>
      <c r="H4135" t="str">
        <f>VLOOKUP(C4135,[1]products!$A:$B,2,0)</f>
        <v>Trek Verve+ Lowstep - 2018</v>
      </c>
      <c r="I4135">
        <f>VLOOKUP(H4135,[1]products!$B:$D,3,0)</f>
        <v>5</v>
      </c>
      <c r="J4135" t="str">
        <f>VLOOKUP(I4135,[2]categories!$A$2:$B$8,2,0)</f>
        <v>Electric Bikes</v>
      </c>
    </row>
    <row r="4136" spans="1:10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 s="1">
        <f t="shared" si="64"/>
        <v>6299.982</v>
      </c>
      <c r="H4136" t="str">
        <f>VLOOKUP(C4136,[1]products!$A:$B,2,0)</f>
        <v>Trek XM700+ - 2018</v>
      </c>
      <c r="I4136">
        <f>VLOOKUP(H4136,[1]products!$B:$D,3,0)</f>
        <v>5</v>
      </c>
      <c r="J4136" t="str">
        <f>VLOOKUP(I4136,[2]categories!$A$2:$B$8,2,0)</f>
        <v>Electric Bikes</v>
      </c>
    </row>
    <row r="4137" spans="1:10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 s="1">
        <f t="shared" si="64"/>
        <v>1709.1</v>
      </c>
      <c r="H4137" t="str">
        <f>VLOOKUP(C4137,[1]products!$A:$B,2,0)</f>
        <v>Surly ECR 27.5 - 2018</v>
      </c>
      <c r="I4137">
        <f>VLOOKUP(H4137,[1]products!$B:$D,3,0)</f>
        <v>6</v>
      </c>
      <c r="J4137" t="str">
        <f>VLOOKUP(I4137,[2]categories!$A$2:$B$8,2,0)</f>
        <v>Mountain Bikes</v>
      </c>
    </row>
    <row r="4138" spans="1:10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 s="1">
        <f t="shared" si="64"/>
        <v>531.981</v>
      </c>
      <c r="H4138" t="str">
        <f>VLOOKUP(C4138,[1]products!$A:$B,2,0)</f>
        <v>Electra Water Lily 1 (16-inch) - Girl's - 2018</v>
      </c>
      <c r="I4138">
        <f>VLOOKUP(H4138,[1]products!$B:$D,3,0)</f>
        <v>1</v>
      </c>
      <c r="J4138" t="str">
        <f>VLOOKUP(I4138,[2]categories!$A$2:$B$8,2,0)</f>
        <v>Children Bicycles</v>
      </c>
    </row>
    <row r="4139" spans="1:10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0.07</v>
      </c>
      <c r="G4139" s="1">
        <f t="shared" si="64"/>
        <v>1417.3014</v>
      </c>
      <c r="H4139" t="str">
        <f>VLOOKUP(C4139,[1]products!$A:$B,2,0)</f>
        <v>Sun Bicycles Brickell Tandem CB - 2017</v>
      </c>
      <c r="I4139">
        <f>VLOOKUP(H4139,[1]products!$B:$D,3,0)</f>
        <v>3</v>
      </c>
      <c r="J4139" t="str">
        <f>VLOOKUP(I4139,[2]categories!$A$2:$B$8,2,0)</f>
        <v>Cruisers Bicycles</v>
      </c>
    </row>
    <row r="4140" spans="1:10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 s="1">
        <f t="shared" si="64"/>
        <v>1471.984</v>
      </c>
      <c r="H4140" t="str">
        <f>VLOOKUP(C4140,[1]products!$A:$B,2,0)</f>
        <v>Trek Domane AL 3 Women's - 2018</v>
      </c>
      <c r="I4140">
        <f>VLOOKUP(H4140,[1]products!$B:$D,3,0)</f>
        <v>7</v>
      </c>
      <c r="J4140" t="str">
        <f>VLOOKUP(I4140,[2]categories!$A$2:$B$8,2,0)</f>
        <v>Road Bikes</v>
      </c>
    </row>
    <row r="4141" spans="1:10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 s="1">
        <f t="shared" si="64"/>
        <v>645.9905</v>
      </c>
      <c r="H4141" t="str">
        <f>VLOOKUP(C4141,[1]products!$A:$B,2,0)</f>
        <v>Electra Townie Original 21D EQ Ladies' - 2018</v>
      </c>
      <c r="I4141">
        <f>VLOOKUP(H4141,[1]products!$B:$D,3,0)</f>
        <v>3</v>
      </c>
      <c r="J4141" t="str">
        <f>VLOOKUP(I4141,[2]categories!$A$2:$B$8,2,0)</f>
        <v>Cruisers Bicycles</v>
      </c>
    </row>
    <row r="4142" spans="1:10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 s="1">
        <f t="shared" si="64"/>
        <v>599.992</v>
      </c>
      <c r="H4142" t="str">
        <f>VLOOKUP(C4142,[1]products!$A:$B,2,0)</f>
        <v>Electra White Water 3i - 2018</v>
      </c>
      <c r="I4142">
        <f>VLOOKUP(H4142,[1]products!$B:$D,3,0)</f>
        <v>3</v>
      </c>
      <c r="J4142" t="str">
        <f>VLOOKUP(I4142,[2]categories!$A$2:$B$8,2,0)</f>
        <v>Cruisers Bicycles</v>
      </c>
    </row>
    <row r="4143" spans="1:10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 s="1">
        <f t="shared" si="64"/>
        <v>375.291</v>
      </c>
      <c r="H4143" t="str">
        <f>VLOOKUP(C4143,[1]products!$A:$B,2,0)</f>
        <v>Sun Bicycles Atlas X-Type - 2017</v>
      </c>
      <c r="I4143">
        <f>VLOOKUP(H4143,[1]products!$B:$D,3,0)</f>
        <v>3</v>
      </c>
      <c r="J4143" t="str">
        <f>VLOOKUP(I4143,[2]categories!$A$2:$B$8,2,0)</f>
        <v>Cruisers Bicycles</v>
      </c>
    </row>
    <row r="4144" spans="1:10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 s="1">
        <f t="shared" si="64"/>
        <v>359.992</v>
      </c>
      <c r="H4144" t="str">
        <f>VLOOKUP(C4144,[1]products!$A:$B,2,0)</f>
        <v>Electra Townie Original 1 - 2018</v>
      </c>
      <c r="I4144">
        <f>VLOOKUP(H4144,[1]products!$B:$D,3,0)</f>
        <v>2</v>
      </c>
      <c r="J4144" t="str">
        <f>VLOOKUP(I4144,[2]categories!$A$2:$B$8,2,0)</f>
        <v>Comfort Bicycles</v>
      </c>
    </row>
    <row r="4145" spans="1:10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 s="1">
        <f t="shared" si="64"/>
        <v>783.984</v>
      </c>
      <c r="H4145" t="str">
        <f>VLOOKUP(C4145,[1]products!$A:$B,2,0)</f>
        <v>Trek Marlin 5 - 2018</v>
      </c>
      <c r="I4145">
        <f>VLOOKUP(H4145,[1]products!$B:$D,3,0)</f>
        <v>6</v>
      </c>
      <c r="J4145" t="str">
        <f>VLOOKUP(I4145,[2]categories!$A$2:$B$8,2,0)</f>
        <v>Mountain Bikes</v>
      </c>
    </row>
    <row r="4146" spans="1:10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 s="1">
        <f t="shared" si="64"/>
        <v>7999.984</v>
      </c>
      <c r="H4146" t="str">
        <f>VLOOKUP(C4146,[1]products!$A:$B,2,0)</f>
        <v>Trek Remedy 9.8 27.5 - 2018</v>
      </c>
      <c r="I4146">
        <f>VLOOKUP(H4146,[1]products!$B:$D,3,0)</f>
        <v>6</v>
      </c>
      <c r="J4146" t="str">
        <f>VLOOKUP(I4146,[2]categories!$A$2:$B$8,2,0)</f>
        <v>Mountain Bikes</v>
      </c>
    </row>
    <row r="4147" spans="1:10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 s="1">
        <f t="shared" si="64"/>
        <v>607.981</v>
      </c>
      <c r="H4147" t="str">
        <f>VLOOKUP(C4147,[1]products!$A:$B,2,0)</f>
        <v>Electra Cruiser 7D (24-Inch) Ladies' - 2016/2018</v>
      </c>
      <c r="I4147">
        <f>VLOOKUP(H4147,[1]products!$B:$D,3,0)</f>
        <v>3</v>
      </c>
      <c r="J4147" t="str">
        <f>VLOOKUP(I4147,[2]categories!$A$2:$B$8,2,0)</f>
        <v>Cruisers Bicycles</v>
      </c>
    </row>
    <row r="4148" spans="1:10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0.07</v>
      </c>
      <c r="G4148" s="1">
        <f t="shared" si="64"/>
        <v>83.6907</v>
      </c>
      <c r="H4148" t="str">
        <f>VLOOKUP(C4148,[1]products!$A:$B,2,0)</f>
        <v>Strider Classic 12 Balance Bike - 2018</v>
      </c>
      <c r="I4148">
        <f>VLOOKUP(H4148,[1]products!$B:$D,3,0)</f>
        <v>1</v>
      </c>
      <c r="J4148" t="str">
        <f>VLOOKUP(I4148,[2]categories!$A$2:$B$8,2,0)</f>
        <v>Children Bicycles</v>
      </c>
    </row>
    <row r="4149" spans="1:10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0.07</v>
      </c>
      <c r="G4149" s="1">
        <f t="shared" si="64"/>
        <v>195.2907</v>
      </c>
      <c r="H4149" t="str">
        <f>VLOOKUP(C4149,[1]products!$A:$B,2,0)</f>
        <v>Haro Shredder 20 Girls - 2017</v>
      </c>
      <c r="I4149">
        <f>VLOOKUP(H4149,[1]products!$B:$D,3,0)</f>
        <v>1</v>
      </c>
      <c r="J4149" t="str">
        <f>VLOOKUP(I4149,[2]categories!$A$2:$B$8,2,0)</f>
        <v>Children Bicycles</v>
      </c>
    </row>
    <row r="4150" spans="1:10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 s="1">
        <f t="shared" si="64"/>
        <v>6079.981</v>
      </c>
      <c r="H4150" t="str">
        <f>VLOOKUP(C4150,[1]products!$A:$B,2,0)</f>
        <v>Trek Domane SL Disc Frameset - 2017</v>
      </c>
      <c r="I4150">
        <f>VLOOKUP(H4150,[1]products!$B:$D,3,0)</f>
        <v>7</v>
      </c>
      <c r="J4150" t="str">
        <f>VLOOKUP(I4150,[2]categories!$A$2:$B$8,2,0)</f>
        <v>Road Bikes</v>
      </c>
    </row>
    <row r="4151" spans="1:10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0.07</v>
      </c>
      <c r="G4151" s="1">
        <f t="shared" si="64"/>
        <v>3347.9814</v>
      </c>
      <c r="H4151" t="str">
        <f>VLOOKUP(C4151,[1]products!$A:$B,2,0)</f>
        <v>Trek Domane ALR 5 Disc - 2018</v>
      </c>
      <c r="I4151">
        <f>VLOOKUP(H4151,[1]products!$B:$D,3,0)</f>
        <v>7</v>
      </c>
      <c r="J4151" t="str">
        <f>VLOOKUP(I4151,[2]categories!$A$2:$B$8,2,0)</f>
        <v>Road Bikes</v>
      </c>
    </row>
    <row r="4152" spans="1:10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0.07</v>
      </c>
      <c r="G4152" s="1">
        <f t="shared" si="64"/>
        <v>697.4907</v>
      </c>
      <c r="H4152" t="str">
        <f>VLOOKUP(C4152,[1]products!$A:$B,2,0)</f>
        <v>Electra Queen of Hearts 3i - 2018</v>
      </c>
      <c r="I4152">
        <f>VLOOKUP(H4152,[1]products!$B:$D,3,0)</f>
        <v>3</v>
      </c>
      <c r="J4152" t="str">
        <f>VLOOKUP(I4152,[2]categories!$A$2:$B$8,2,0)</f>
        <v>Cruisers Bicycles</v>
      </c>
    </row>
    <row r="4153" spans="1:10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 s="1">
        <f t="shared" si="64"/>
        <v>1139.981</v>
      </c>
      <c r="H4153" t="str">
        <f>VLOOKUP(C4153,[1]products!$A:$B,2,0)</f>
        <v>Electra Townie Original 7D EQ - Women's - 2016</v>
      </c>
      <c r="I4153">
        <f>VLOOKUP(H4153,[1]products!$B:$D,3,0)</f>
        <v>3</v>
      </c>
      <c r="J4153" t="str">
        <f>VLOOKUP(I4153,[2]categories!$A$2:$B$8,2,0)</f>
        <v>Cruisers Bicycles</v>
      </c>
    </row>
    <row r="4154" spans="1:10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0.07</v>
      </c>
      <c r="G4154" s="1">
        <f t="shared" si="64"/>
        <v>297.5907</v>
      </c>
      <c r="H4154" t="str">
        <f>VLOOKUP(C4154,[1]products!$A:$B,2,0)</f>
        <v>Electra Cruiser 7D (24-Inch) Ladies' - 2016/2018</v>
      </c>
      <c r="I4154">
        <f>VLOOKUP(H4154,[1]products!$B:$D,3,0)</f>
        <v>3</v>
      </c>
      <c r="J4154" t="str">
        <f>VLOOKUP(I4154,[2]categories!$A$2:$B$8,2,0)</f>
        <v>Cruisers Bicycles</v>
      </c>
    </row>
    <row r="4155" spans="1:10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0.07</v>
      </c>
      <c r="G4155" s="1">
        <f t="shared" si="64"/>
        <v>799.7814</v>
      </c>
      <c r="H4155" t="str">
        <f>VLOOKUP(C4155,[1]products!$A:$B,2,0)</f>
        <v>Electra Cruiser Lux 1 Ladies' - 2018</v>
      </c>
      <c r="I4155">
        <f>VLOOKUP(H4155,[1]products!$B:$D,3,0)</f>
        <v>3</v>
      </c>
      <c r="J4155" t="str">
        <f>VLOOKUP(I4155,[2]categories!$A$2:$B$8,2,0)</f>
        <v>Cruisers Bicycles</v>
      </c>
    </row>
    <row r="4156" spans="1:10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 s="1">
        <f t="shared" si="64"/>
        <v>2849.9905</v>
      </c>
      <c r="H4156" t="str">
        <f>VLOOKUP(C4156,[1]products!$A:$B,2,0)</f>
        <v>Trek Remedy 7 27.5 - 2018</v>
      </c>
      <c r="I4156">
        <f>VLOOKUP(H4156,[1]products!$B:$D,3,0)</f>
        <v>6</v>
      </c>
      <c r="J4156" t="str">
        <f>VLOOKUP(I4156,[2]categories!$A$2:$B$8,2,0)</f>
        <v>Mountain Bikes</v>
      </c>
    </row>
    <row r="4157" spans="1:10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0.07</v>
      </c>
      <c r="G4157" s="1">
        <f t="shared" si="64"/>
        <v>2881.14</v>
      </c>
      <c r="H4157" t="str">
        <f>VLOOKUP(C4157,[1]products!$A:$B,2,0)</f>
        <v>Surly Straggler 650b - 2018</v>
      </c>
      <c r="I4157">
        <f>VLOOKUP(H4157,[1]products!$B:$D,3,0)</f>
        <v>7</v>
      </c>
      <c r="J4157" t="str">
        <f>VLOOKUP(I4157,[2]categories!$A$2:$B$8,2,0)</f>
        <v>Road Bikes</v>
      </c>
    </row>
    <row r="4158" spans="1:10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 s="1">
        <f t="shared" si="64"/>
        <v>1439.984</v>
      </c>
      <c r="H4158" t="str">
        <f>VLOOKUP(C4158,[1]products!$A:$B,2,0)</f>
        <v>Electra Super Moto 8i - 2018</v>
      </c>
      <c r="I4158">
        <f>VLOOKUP(H4158,[1]products!$B:$D,3,0)</f>
        <v>3</v>
      </c>
      <c r="J4158" t="str">
        <f>VLOOKUP(I4158,[2]categories!$A$2:$B$8,2,0)</f>
        <v>Cruisers Bicycles</v>
      </c>
    </row>
    <row r="4159" spans="1:10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0.07</v>
      </c>
      <c r="G4159" s="1">
        <f t="shared" si="64"/>
        <v>437.0907</v>
      </c>
      <c r="H4159" t="str">
        <f>VLOOKUP(C4159,[1]products!$A:$B,2,0)</f>
        <v>Surly Big Fat Dummy Frameset - 2018</v>
      </c>
      <c r="I4159">
        <f>VLOOKUP(H4159,[1]products!$B:$D,3,0)</f>
        <v>6</v>
      </c>
      <c r="J4159" t="str">
        <f>VLOOKUP(I4159,[2]categories!$A$2:$B$8,2,0)</f>
        <v>Mountain Bikes</v>
      </c>
    </row>
    <row r="4160" spans="1:10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0.07</v>
      </c>
      <c r="G4160" s="1">
        <f t="shared" si="64"/>
        <v>5207.9814</v>
      </c>
      <c r="H4160" t="str">
        <f>VLOOKUP(C4160,[1]products!$A:$B,2,0)</f>
        <v>Trek Neko+ - 2018</v>
      </c>
      <c r="I4160">
        <f>VLOOKUP(H4160,[1]products!$B:$D,3,0)</f>
        <v>5</v>
      </c>
      <c r="J4160" t="str">
        <f>VLOOKUP(I4160,[2]categories!$A$2:$B$8,2,0)</f>
        <v>Electric Bikes</v>
      </c>
    </row>
    <row r="4161" spans="1:10">
      <c r="A4161">
        <v>1428</v>
      </c>
      <c r="B4161">
        <v>4</v>
      </c>
      <c r="C4161">
        <v>28</v>
      </c>
      <c r="D4161">
        <v>1</v>
      </c>
      <c r="E4161">
        <v>2499.99</v>
      </c>
      <c r="F4161">
        <v>0.1</v>
      </c>
      <c r="G4161" s="1">
        <f t="shared" si="64"/>
        <v>2249.991</v>
      </c>
      <c r="H4161" t="str">
        <f>VLOOKUP(C4161,[1]products!$A:$B,2,0)</f>
        <v>Surly Karate Monkey 27.5+ Frameset - 2017</v>
      </c>
      <c r="I4161">
        <f>VLOOKUP(H4161,[1]products!$B:$D,3,0)</f>
        <v>6</v>
      </c>
      <c r="J4161" t="str">
        <f>VLOOKUP(I4161,[2]categories!$A$2:$B$8,2,0)</f>
        <v>Mountain Bikes</v>
      </c>
    </row>
    <row r="4162" spans="1:10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 s="1">
        <f t="shared" ref="G4162:G4225" si="65">D4162*E4162*(1-F4162)</f>
        <v>5599.984</v>
      </c>
      <c r="H4162" t="str">
        <f>VLOOKUP(C4162,[1]products!$A:$B,2,0)</f>
        <v>Trek XM700+ - 2018</v>
      </c>
      <c r="I4162">
        <f>VLOOKUP(H4162,[1]products!$B:$D,3,0)</f>
        <v>5</v>
      </c>
      <c r="J4162" t="str">
        <f>VLOOKUP(I4162,[2]categories!$A$2:$B$8,2,0)</f>
        <v>Electric Bikes</v>
      </c>
    </row>
    <row r="4163" spans="1:10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 s="1">
        <f t="shared" si="65"/>
        <v>1055.984</v>
      </c>
      <c r="H4163" t="str">
        <f>VLOOKUP(C4163,[1]products!$A:$B,2,0)</f>
        <v>Electra Amsterdam Original 3i - 2015/2017</v>
      </c>
      <c r="I4163">
        <f>VLOOKUP(H4163,[1]products!$B:$D,3,0)</f>
        <v>3</v>
      </c>
      <c r="J4163" t="str">
        <f>VLOOKUP(I4163,[2]categories!$A$2:$B$8,2,0)</f>
        <v>Cruisers Bicycles</v>
      </c>
    </row>
    <row r="4164" spans="1:10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 s="1">
        <f t="shared" si="65"/>
        <v>303.9905</v>
      </c>
      <c r="H4164" t="str">
        <f>VLOOKUP(C4164,[1]products!$A:$B,2,0)</f>
        <v>Electra Cruiser 7D Ladies' - 2016/2018</v>
      </c>
      <c r="I4164">
        <f>VLOOKUP(H4164,[1]products!$B:$D,3,0)</f>
        <v>3</v>
      </c>
      <c r="J4164" t="str">
        <f>VLOOKUP(I4164,[2]categories!$A$2:$B$8,2,0)</f>
        <v>Cruisers Bicycles</v>
      </c>
    </row>
    <row r="4165" spans="1:10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0.07</v>
      </c>
      <c r="G4165" s="1">
        <f t="shared" si="65"/>
        <v>297.5907</v>
      </c>
      <c r="H4165" t="str">
        <f>VLOOKUP(C4165,[1]products!$A:$B,2,0)</f>
        <v>Electra Cruiser 7D (24-Inch) Ladies' - 2016/2018</v>
      </c>
      <c r="I4165">
        <f>VLOOKUP(H4165,[1]products!$B:$D,3,0)</f>
        <v>3</v>
      </c>
      <c r="J4165" t="str">
        <f>VLOOKUP(I4165,[2]categories!$A$2:$B$8,2,0)</f>
        <v>Cruisers Bicycles</v>
      </c>
    </row>
    <row r="4166" spans="1:10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 s="1">
        <f t="shared" si="65"/>
        <v>3599.991</v>
      </c>
      <c r="H4166" t="str">
        <f>VLOOKUP(C4166,[1]products!$A:$B,2,0)</f>
        <v>Trek Boone 7 Disc - 2018</v>
      </c>
      <c r="I4166">
        <f>VLOOKUP(H4166,[1]products!$B:$D,3,0)</f>
        <v>4</v>
      </c>
      <c r="J4166" t="str">
        <f>VLOOKUP(I4166,[2]categories!$A$2:$B$8,2,0)</f>
        <v>Cyclocross Bicycles</v>
      </c>
    </row>
    <row r="4167" spans="1:10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0.07</v>
      </c>
      <c r="G4167" s="1">
        <f t="shared" si="65"/>
        <v>697.4907</v>
      </c>
      <c r="H4167" t="str">
        <f>VLOOKUP(C4167,[1]products!$A:$B,2,0)</f>
        <v>Surly Ogre Frameset - 2017</v>
      </c>
      <c r="I4167">
        <f>VLOOKUP(H4167,[1]products!$B:$D,3,0)</f>
        <v>7</v>
      </c>
      <c r="J4167" t="str">
        <f>VLOOKUP(I4167,[2]categories!$A$2:$B$8,2,0)</f>
        <v>Road Bikes</v>
      </c>
    </row>
    <row r="4168" spans="1:10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 s="1">
        <f t="shared" si="65"/>
        <v>2399.992</v>
      </c>
      <c r="H4168" t="str">
        <f>VLOOKUP(C4168,[1]products!$A:$B,2,0)</f>
        <v>Electra Townie Commute Go! Ladies' - 2018</v>
      </c>
      <c r="I4168">
        <f>VLOOKUP(H4168,[1]products!$B:$D,3,0)</f>
        <v>5</v>
      </c>
      <c r="J4168" t="str">
        <f>VLOOKUP(I4168,[2]categories!$A$2:$B$8,2,0)</f>
        <v>Electric Bikes</v>
      </c>
    </row>
    <row r="4169" spans="1:10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0.07</v>
      </c>
      <c r="G4169" s="1">
        <f t="shared" si="65"/>
        <v>697.4907</v>
      </c>
      <c r="H4169" t="str">
        <f>VLOOKUP(C4169,[1]products!$A:$B,2,0)</f>
        <v>Electra Townie Balloon 3i EQ - 2017/2018</v>
      </c>
      <c r="I4169">
        <f>VLOOKUP(H4169,[1]products!$B:$D,3,0)</f>
        <v>3</v>
      </c>
      <c r="J4169" t="str">
        <f>VLOOKUP(I4169,[2]categories!$A$2:$B$8,2,0)</f>
        <v>Cruisers Bicycles</v>
      </c>
    </row>
    <row r="4170" spans="1:10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 s="1">
        <f t="shared" si="65"/>
        <v>1519.2</v>
      </c>
      <c r="H4170" t="str">
        <f>VLOOKUP(C4170,[1]products!$A:$B,2,0)</f>
        <v>Surly ECR - 2018</v>
      </c>
      <c r="I4170">
        <f>VLOOKUP(H4170,[1]products!$B:$D,3,0)</f>
        <v>7</v>
      </c>
      <c r="J4170" t="str">
        <f>VLOOKUP(I4170,[2]categories!$A$2:$B$8,2,0)</f>
        <v>Road Bikes</v>
      </c>
    </row>
    <row r="4171" spans="1:10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0.07</v>
      </c>
      <c r="G4171" s="1">
        <f t="shared" si="65"/>
        <v>232.4907</v>
      </c>
      <c r="H4171" t="str">
        <f>VLOOKUP(C4171,[1]products!$A:$B,2,0)</f>
        <v>Strider Sport 16 - 2018</v>
      </c>
      <c r="I4171">
        <f>VLOOKUP(H4171,[1]products!$B:$D,3,0)</f>
        <v>1</v>
      </c>
      <c r="J4171" t="str">
        <f>VLOOKUP(I4171,[2]categories!$A$2:$B$8,2,0)</f>
        <v>Children Bicycles</v>
      </c>
    </row>
    <row r="4172" spans="1:10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 s="1">
        <f t="shared" si="65"/>
        <v>687.984</v>
      </c>
      <c r="H4172" t="str">
        <f>VLOOKUP(C4172,[1]products!$A:$B,2,0)</f>
        <v>Electra Cruiser Lux 1 - 2016/2018</v>
      </c>
      <c r="I4172">
        <f>VLOOKUP(H4172,[1]products!$B:$D,3,0)</f>
        <v>3</v>
      </c>
      <c r="J4172" t="str">
        <f>VLOOKUP(I4172,[2]categories!$A$2:$B$8,2,0)</f>
        <v>Cruisers Bicycles</v>
      </c>
    </row>
    <row r="4173" spans="1:10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 s="1">
        <f t="shared" si="65"/>
        <v>2699.991</v>
      </c>
      <c r="H4173" t="str">
        <f>VLOOKUP(C4173,[1]products!$A:$B,2,0)</f>
        <v>Electra Townie Commute Go! - 2018</v>
      </c>
      <c r="I4173">
        <f>VLOOKUP(H4173,[1]products!$B:$D,3,0)</f>
        <v>5</v>
      </c>
      <c r="J4173" t="str">
        <f>VLOOKUP(I4173,[2]categories!$A$2:$B$8,2,0)</f>
        <v>Electric Bikes</v>
      </c>
    </row>
    <row r="4174" spans="1:10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 s="1">
        <f t="shared" si="65"/>
        <v>503.982</v>
      </c>
      <c r="H4174" t="str">
        <f>VLOOKUP(C4174,[1]products!$A:$B,2,0)</f>
        <v>Electra Starship 1 16" - 2018</v>
      </c>
      <c r="I4174">
        <f>VLOOKUP(H4174,[1]products!$B:$D,3,0)</f>
        <v>1</v>
      </c>
      <c r="J4174" t="str">
        <f>VLOOKUP(I4174,[2]categories!$A$2:$B$8,2,0)</f>
        <v>Children Bicycles</v>
      </c>
    </row>
    <row r="4175" spans="1:10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0.07</v>
      </c>
      <c r="G4175" s="1">
        <f t="shared" si="65"/>
        <v>9299.9814</v>
      </c>
      <c r="H4175" t="str">
        <f>VLOOKUP(C4175,[1]products!$A:$B,2,0)</f>
        <v>Trek Powerfly 8 FS Plus - 2017</v>
      </c>
      <c r="I4175">
        <f>VLOOKUP(H4175,[1]products!$B:$D,3,0)</f>
        <v>5</v>
      </c>
      <c r="J4175" t="str">
        <f>VLOOKUP(I4175,[2]categories!$A$2:$B$8,2,0)</f>
        <v>Electric Bikes</v>
      </c>
    </row>
    <row r="4176" spans="1:10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0.07</v>
      </c>
      <c r="G4176" s="1">
        <f t="shared" si="65"/>
        <v>2975.9814</v>
      </c>
      <c r="H4176" t="str">
        <f>VLOOKUP(C4176,[1]products!$A:$B,2,0)</f>
        <v>Trek Stache 5 - 2018</v>
      </c>
      <c r="I4176">
        <f>VLOOKUP(H4176,[1]products!$B:$D,3,0)</f>
        <v>6</v>
      </c>
      <c r="J4176" t="str">
        <f>VLOOKUP(I4176,[2]categories!$A$2:$B$8,2,0)</f>
        <v>Mountain Bikes</v>
      </c>
    </row>
    <row r="4177" spans="1:10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 s="1">
        <f t="shared" si="65"/>
        <v>799.992</v>
      </c>
      <c r="H4177" t="str">
        <f>VLOOKUP(C4177,[1]products!$A:$B,2,0)</f>
        <v>Trek X-Caliber 8 - 2017</v>
      </c>
      <c r="I4177">
        <f>VLOOKUP(H4177,[1]products!$B:$D,3,0)</f>
        <v>6</v>
      </c>
      <c r="J4177" t="str">
        <f>VLOOKUP(I4177,[2]categories!$A$2:$B$8,2,0)</f>
        <v>Mountain Bikes</v>
      </c>
    </row>
    <row r="4178" spans="1:10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 s="1">
        <f t="shared" si="65"/>
        <v>1403.991</v>
      </c>
      <c r="H4178" t="str">
        <f>VLOOKUP(C4178,[1]products!$A:$B,2,0)</f>
        <v>Sun Bicycles ElectroLite - 2017</v>
      </c>
      <c r="I4178">
        <f>VLOOKUP(H4178,[1]products!$B:$D,3,0)</f>
        <v>5</v>
      </c>
      <c r="J4178" t="str">
        <f>VLOOKUP(I4178,[2]categories!$A$2:$B$8,2,0)</f>
        <v>Electric Bikes</v>
      </c>
    </row>
    <row r="4179" spans="1:10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0.07</v>
      </c>
      <c r="G4179" s="1">
        <f t="shared" si="65"/>
        <v>743.9907</v>
      </c>
      <c r="H4179" t="str">
        <f>VLOOKUP(C4179,[1]products!$A:$B,2,0)</f>
        <v>Electra Townie Balloon 3i EQ Ladies' - 2018</v>
      </c>
      <c r="I4179">
        <f>VLOOKUP(H4179,[1]products!$B:$D,3,0)</f>
        <v>3</v>
      </c>
      <c r="J4179" t="str">
        <f>VLOOKUP(I4179,[2]categories!$A$2:$B$8,2,0)</f>
        <v>Cruisers Bicycles</v>
      </c>
    </row>
    <row r="4180" spans="1:10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0.07</v>
      </c>
      <c r="G4180" s="1">
        <f t="shared" si="65"/>
        <v>1041.5814</v>
      </c>
      <c r="H4180" t="str">
        <f>VLOOKUP(C4180,[1]products!$A:$B,2,0)</f>
        <v>Electra Townie Original 21D Ladies' - 2018</v>
      </c>
      <c r="I4180">
        <f>VLOOKUP(H4180,[1]products!$B:$D,3,0)</f>
        <v>3</v>
      </c>
      <c r="J4180" t="str">
        <f>VLOOKUP(I4180,[2]categories!$A$2:$B$8,2,0)</f>
        <v>Cruisers Bicycles</v>
      </c>
    </row>
    <row r="4181" spans="1:10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 s="1">
        <f t="shared" si="65"/>
        <v>3039.981</v>
      </c>
      <c r="H4181" t="str">
        <f>VLOOKUP(C4181,[1]products!$A:$B,2,0)</f>
        <v>Trek Stache 5 - 2018</v>
      </c>
      <c r="I4181">
        <f>VLOOKUP(H4181,[1]products!$B:$D,3,0)</f>
        <v>6</v>
      </c>
      <c r="J4181" t="str">
        <f>VLOOKUP(I4181,[2]categories!$A$2:$B$8,2,0)</f>
        <v>Mountain Bikes</v>
      </c>
    </row>
    <row r="4182" spans="1:10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 s="1">
        <f t="shared" si="65"/>
        <v>767.992</v>
      </c>
      <c r="H4182" t="str">
        <f>VLOOKUP(C4182,[1]products!$A:$B,2,0)</f>
        <v>Electra Delivery 3i - 2016/2017/2018</v>
      </c>
      <c r="I4182">
        <f>VLOOKUP(H4182,[1]products!$B:$D,3,0)</f>
        <v>3</v>
      </c>
      <c r="J4182" t="str">
        <f>VLOOKUP(I4182,[2]categories!$A$2:$B$8,2,0)</f>
        <v>Cruisers Bicycles</v>
      </c>
    </row>
    <row r="4183" spans="1:10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 s="1">
        <f t="shared" si="65"/>
        <v>3999.992</v>
      </c>
      <c r="H4183" t="str">
        <f>VLOOKUP(C4183,[1]products!$A:$B,2,0)</f>
        <v>Trek Remedy 9.8 27.5 - 2018</v>
      </c>
      <c r="I4183">
        <f>VLOOKUP(H4183,[1]products!$B:$D,3,0)</f>
        <v>6</v>
      </c>
      <c r="J4183" t="str">
        <f>VLOOKUP(I4183,[2]categories!$A$2:$B$8,2,0)</f>
        <v>Mountain Bikes</v>
      </c>
    </row>
    <row r="4184" spans="1:10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 s="1">
        <f t="shared" si="65"/>
        <v>2089.981</v>
      </c>
      <c r="H4184" t="str">
        <f>VLOOKUP(C4184,[1]products!$A:$B,2,0)</f>
        <v>Electra Amsterdam Fashion 7i Ladies' - 2017</v>
      </c>
      <c r="I4184">
        <f>VLOOKUP(H4184,[1]products!$B:$D,3,0)</f>
        <v>3</v>
      </c>
      <c r="J4184" t="str">
        <f>VLOOKUP(I4184,[2]categories!$A$2:$B$8,2,0)</f>
        <v>Cruisers Bicycles</v>
      </c>
    </row>
    <row r="4185" spans="1:10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 s="1">
        <f t="shared" si="65"/>
        <v>2339.1</v>
      </c>
      <c r="H4185" t="str">
        <f>VLOOKUP(C4185,[1]products!$A:$B,2,0)</f>
        <v>Heller Shagamaw GX1 - 2018</v>
      </c>
      <c r="I4185">
        <f>VLOOKUP(H4185,[1]products!$B:$D,3,0)</f>
        <v>6</v>
      </c>
      <c r="J4185" t="str">
        <f>VLOOKUP(I4185,[2]categories!$A$2:$B$8,2,0)</f>
        <v>Mountain Bikes</v>
      </c>
    </row>
    <row r="4186" spans="1:10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0.07</v>
      </c>
      <c r="G4186" s="1">
        <f t="shared" si="65"/>
        <v>5207.9814</v>
      </c>
      <c r="H4186" t="str">
        <f>VLOOKUP(C4186,[1]products!$A:$B,2,0)</f>
        <v>Trek Dual Sport+ - 2018</v>
      </c>
      <c r="I4186">
        <f>VLOOKUP(H4186,[1]products!$B:$D,3,0)</f>
        <v>5</v>
      </c>
      <c r="J4186" t="str">
        <f>VLOOKUP(I4186,[2]categories!$A$2:$B$8,2,0)</f>
        <v>Electric Bikes</v>
      </c>
    </row>
    <row r="4187" spans="1:10">
      <c r="A4187">
        <v>1439</v>
      </c>
      <c r="B4187">
        <v>1</v>
      </c>
      <c r="C4187">
        <v>42</v>
      </c>
      <c r="D4187">
        <v>1</v>
      </c>
      <c r="E4187">
        <v>2299.99</v>
      </c>
      <c r="F4187">
        <v>0.07</v>
      </c>
      <c r="G4187" s="1">
        <f t="shared" si="65"/>
        <v>2138.9907</v>
      </c>
      <c r="H4187" t="str">
        <f>VLOOKUP(C4187,[1]products!$A:$B,2,0)</f>
        <v>Trek Fuel EX 5 27.5 Plus - 2017</v>
      </c>
      <c r="I4187">
        <f>VLOOKUP(H4187,[1]products!$B:$D,3,0)</f>
        <v>6</v>
      </c>
      <c r="J4187" t="str">
        <f>VLOOKUP(I4187,[2]categories!$A$2:$B$8,2,0)</f>
        <v>Mountain Bikes</v>
      </c>
    </row>
    <row r="4188" spans="1:10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 s="1">
        <f t="shared" si="65"/>
        <v>71.992</v>
      </c>
      <c r="H4188" t="str">
        <f>VLOOKUP(C4188,[1]products!$A:$B,2,0)</f>
        <v>Strider Classic 12 Balance Bike - 2018</v>
      </c>
      <c r="I4188">
        <f>VLOOKUP(H4188,[1]products!$B:$D,3,0)</f>
        <v>1</v>
      </c>
      <c r="J4188" t="str">
        <f>VLOOKUP(I4188,[2]categories!$A$2:$B$8,2,0)</f>
        <v>Children Bicycles</v>
      </c>
    </row>
    <row r="4189" spans="1:10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 s="1">
        <f t="shared" si="65"/>
        <v>930.981</v>
      </c>
      <c r="H4189" t="str">
        <f>VLOOKUP(C4189,[1]products!$A:$B,2,0)</f>
        <v>Electra Townie Original 7D - 2017</v>
      </c>
      <c r="I4189">
        <f>VLOOKUP(H4189,[1]products!$B:$D,3,0)</f>
        <v>3</v>
      </c>
      <c r="J4189" t="str">
        <f>VLOOKUP(I4189,[2]categories!$A$2:$B$8,2,0)</f>
        <v>Cruisers Bicycles</v>
      </c>
    </row>
    <row r="4190" spans="1:10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 s="1">
        <f t="shared" si="65"/>
        <v>7124.9905</v>
      </c>
      <c r="H4190" t="str">
        <f>VLOOKUP(C4190,[1]products!$A:$B,2,0)</f>
        <v>Trek Domane SLR 8 Disc - 2018</v>
      </c>
      <c r="I4190">
        <f>VLOOKUP(H4190,[1]products!$B:$D,3,0)</f>
        <v>7</v>
      </c>
      <c r="J4190" t="str">
        <f>VLOOKUP(I4190,[2]categories!$A$2:$B$8,2,0)</f>
        <v>Road Bikes</v>
      </c>
    </row>
    <row r="4191" spans="1:10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0.07</v>
      </c>
      <c r="G4191" s="1">
        <f t="shared" si="65"/>
        <v>1394.9814</v>
      </c>
      <c r="H4191" t="str">
        <f>VLOOKUP(C4191,[1]products!$A:$B,2,0)</f>
        <v>Trek Marlin 7 - 2017/2018</v>
      </c>
      <c r="I4191">
        <f>VLOOKUP(H4191,[1]products!$B:$D,3,0)</f>
        <v>6</v>
      </c>
      <c r="J4191" t="str">
        <f>VLOOKUP(I4191,[2]categories!$A$2:$B$8,2,0)</f>
        <v>Mountain Bikes</v>
      </c>
    </row>
    <row r="4192" spans="1:10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0.07</v>
      </c>
      <c r="G4192" s="1">
        <f t="shared" si="65"/>
        <v>387.8007</v>
      </c>
      <c r="H4192" t="str">
        <f>VLOOKUP(C4192,[1]products!$A:$B,2,0)</f>
        <v>Sun Bicycles Cruz 7 - Women's - 2017</v>
      </c>
      <c r="I4192">
        <f>VLOOKUP(H4192,[1]products!$B:$D,3,0)</f>
        <v>2</v>
      </c>
      <c r="J4192" t="str">
        <f>VLOOKUP(I4192,[2]categories!$A$2:$B$8,2,0)</f>
        <v>Comfort Bicycles</v>
      </c>
    </row>
    <row r="4193" spans="1:10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 s="1">
        <f t="shared" si="65"/>
        <v>4049.991</v>
      </c>
      <c r="H4193" t="str">
        <f>VLOOKUP(C4193,[1]products!$A:$B,2,0)</f>
        <v>Trek CrossRip+ - 2018</v>
      </c>
      <c r="I4193">
        <f>VLOOKUP(H4193,[1]products!$B:$D,3,0)</f>
        <v>5</v>
      </c>
      <c r="J4193" t="str">
        <f>VLOOKUP(I4193,[2]categories!$A$2:$B$8,2,0)</f>
        <v>Electric Bikes</v>
      </c>
    </row>
    <row r="4194" spans="1:10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 s="1">
        <f t="shared" si="65"/>
        <v>1424.981</v>
      </c>
      <c r="H4194" t="str">
        <f>VLOOKUP(C4194,[1]products!$A:$B,2,0)</f>
        <v>Trek Domane AL 2 - 2018</v>
      </c>
      <c r="I4194">
        <f>VLOOKUP(H4194,[1]products!$B:$D,3,0)</f>
        <v>7</v>
      </c>
      <c r="J4194" t="str">
        <f>VLOOKUP(I4194,[2]categories!$A$2:$B$8,2,0)</f>
        <v>Road Bikes</v>
      </c>
    </row>
    <row r="4195" spans="1:10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 s="1">
        <f t="shared" si="65"/>
        <v>401.584</v>
      </c>
      <c r="H4195" t="str">
        <f>VLOOKUP(C4195,[1]products!$A:$B,2,0)</f>
        <v>Sun Bicycles Revolutions 24 - Girl's - 2017</v>
      </c>
      <c r="I4195">
        <f>VLOOKUP(H4195,[1]products!$B:$D,3,0)</f>
        <v>3</v>
      </c>
      <c r="J4195" t="str">
        <f>VLOOKUP(I4195,[2]categories!$A$2:$B$8,2,0)</f>
        <v>Cruisers Bicycles</v>
      </c>
    </row>
    <row r="4196" spans="1:10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 s="1">
        <f t="shared" si="65"/>
        <v>446.4905</v>
      </c>
      <c r="H4196" t="str">
        <f>VLOOKUP(C4196,[1]products!$A:$B,2,0)</f>
        <v>Surly Ice Cream Truck Frameset - 2016</v>
      </c>
      <c r="I4196">
        <f>VLOOKUP(H4196,[1]products!$B:$D,3,0)</f>
        <v>6</v>
      </c>
      <c r="J4196" t="str">
        <f>VLOOKUP(I4196,[2]categories!$A$2:$B$8,2,0)</f>
        <v>Mountain Bikes</v>
      </c>
    </row>
    <row r="4197" spans="1:10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 s="1">
        <f t="shared" si="65"/>
        <v>1119.984</v>
      </c>
      <c r="H4197" t="str">
        <f>VLOOKUP(C4197,[1]products!$A:$B,2,0)</f>
        <v>Electra Townie Commute 8D Ladies' - 2018</v>
      </c>
      <c r="I4197">
        <f>VLOOKUP(H4197,[1]products!$B:$D,3,0)</f>
        <v>3</v>
      </c>
      <c r="J4197" t="str">
        <f>VLOOKUP(I4197,[2]categories!$A$2:$B$8,2,0)</f>
        <v>Cruisers Bicycles</v>
      </c>
    </row>
    <row r="4198" spans="1:10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0.07</v>
      </c>
      <c r="G4198" s="1">
        <f t="shared" si="65"/>
        <v>1311.2907</v>
      </c>
      <c r="H4198" t="str">
        <f>VLOOKUP(C4198,[1]products!$A:$B,2,0)</f>
        <v>Haro SR 1.3 - 2017</v>
      </c>
      <c r="I4198">
        <f>VLOOKUP(H4198,[1]products!$B:$D,3,0)</f>
        <v>6</v>
      </c>
      <c r="J4198" t="str">
        <f>VLOOKUP(I4198,[2]categories!$A$2:$B$8,2,0)</f>
        <v>Mountain Bikes</v>
      </c>
    </row>
    <row r="4199" spans="1:10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 s="1">
        <f t="shared" si="65"/>
        <v>4049.991</v>
      </c>
      <c r="H4199" t="str">
        <f>VLOOKUP(C4199,[1]products!$A:$B,2,0)</f>
        <v>Trek Emonda SLR 6 - 2018</v>
      </c>
      <c r="I4199">
        <f>VLOOKUP(H4199,[1]products!$B:$D,3,0)</f>
        <v>7</v>
      </c>
      <c r="J4199" t="str">
        <f>VLOOKUP(I4199,[2]categories!$A$2:$B$8,2,0)</f>
        <v>Road Bikes</v>
      </c>
    </row>
    <row r="4200" spans="1:10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0.07</v>
      </c>
      <c r="G4200" s="1">
        <f t="shared" si="65"/>
        <v>251.0907</v>
      </c>
      <c r="H4200" t="str">
        <f>VLOOKUP(C4200,[1]products!$A:$B,2,0)</f>
        <v>Electra Cruiser 1 Ladies' - 2018</v>
      </c>
      <c r="I4200">
        <f>VLOOKUP(H4200,[1]products!$B:$D,3,0)</f>
        <v>3</v>
      </c>
      <c r="J4200" t="str">
        <f>VLOOKUP(I4200,[2]categories!$A$2:$B$8,2,0)</f>
        <v>Cruisers Bicycles</v>
      </c>
    </row>
    <row r="4201" spans="1:10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 s="1">
        <f t="shared" si="65"/>
        <v>398.981</v>
      </c>
      <c r="H4201" t="str">
        <f>VLOOKUP(C4201,[1]products!$A:$B,2,0)</f>
        <v>Trek Precaliber 16 Girl's - 2018</v>
      </c>
      <c r="I4201">
        <f>VLOOKUP(H4201,[1]products!$B:$D,3,0)</f>
        <v>1</v>
      </c>
      <c r="J4201" t="str">
        <f>VLOOKUP(I4201,[2]categories!$A$2:$B$8,2,0)</f>
        <v>Children Bicycles</v>
      </c>
    </row>
    <row r="4202" spans="1:10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0.07</v>
      </c>
      <c r="G4202" s="1">
        <f t="shared" si="65"/>
        <v>4184.9907</v>
      </c>
      <c r="H4202" t="str">
        <f>VLOOKUP(C4202,[1]products!$A:$B,2,0)</f>
        <v>Trek Emonda SLR 6 - 2018</v>
      </c>
      <c r="I4202">
        <f>VLOOKUP(H4202,[1]products!$B:$D,3,0)</f>
        <v>7</v>
      </c>
      <c r="J4202" t="str">
        <f>VLOOKUP(I4202,[2]categories!$A$2:$B$8,2,0)</f>
        <v>Road Bikes</v>
      </c>
    </row>
    <row r="4203" spans="1:10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 s="1">
        <f t="shared" si="65"/>
        <v>1599.992</v>
      </c>
      <c r="H4203" t="str">
        <f>VLOOKUP(C4203,[1]products!$A:$B,2,0)</f>
        <v>Trek Emonda S 5 - 2017</v>
      </c>
      <c r="I4203">
        <f>VLOOKUP(H4203,[1]products!$B:$D,3,0)</f>
        <v>7</v>
      </c>
      <c r="J4203" t="str">
        <f>VLOOKUP(I4203,[2]categories!$A$2:$B$8,2,0)</f>
        <v>Road Bikes</v>
      </c>
    </row>
    <row r="4204" spans="1:10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 s="1">
        <f t="shared" si="65"/>
        <v>611.982</v>
      </c>
      <c r="H4204" t="str">
        <f>VLOOKUP(C4204,[1]products!$A:$B,2,0)</f>
        <v>Electra Townie 7D (20-inch) - Boys' - 2017</v>
      </c>
      <c r="I4204">
        <f>VLOOKUP(H4204,[1]products!$B:$D,3,0)</f>
        <v>1</v>
      </c>
      <c r="J4204" t="str">
        <f>VLOOKUP(I4204,[2]categories!$A$2:$B$8,2,0)</f>
        <v>Children Bicycles</v>
      </c>
    </row>
    <row r="4205" spans="1:10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 s="1">
        <f t="shared" si="65"/>
        <v>188.991</v>
      </c>
      <c r="H4205" t="str">
        <f>VLOOKUP(C4205,[1]products!$A:$B,2,0)</f>
        <v>Trek Precaliber 16 Girls - 2017</v>
      </c>
      <c r="I4205">
        <f>VLOOKUP(H4205,[1]products!$B:$D,3,0)</f>
        <v>1</v>
      </c>
      <c r="J4205" t="str">
        <f>VLOOKUP(I4205,[2]categories!$A$2:$B$8,2,0)</f>
        <v>Children Bicycles</v>
      </c>
    </row>
    <row r="4206" spans="1:10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 s="1">
        <f t="shared" si="65"/>
        <v>3038.4</v>
      </c>
      <c r="H4206" t="str">
        <f>VLOOKUP(C4206,[1]products!$A:$B,2,0)</f>
        <v>Surly ECR 27.5 - 2018</v>
      </c>
      <c r="I4206">
        <f>VLOOKUP(H4206,[1]products!$B:$D,3,0)</f>
        <v>6</v>
      </c>
      <c r="J4206" t="str">
        <f>VLOOKUP(I4206,[2]categories!$A$2:$B$8,2,0)</f>
        <v>Mountain Bikes</v>
      </c>
    </row>
    <row r="4207" spans="1:10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 s="1">
        <f t="shared" si="65"/>
        <v>1151.982</v>
      </c>
      <c r="H4207" t="str">
        <f>VLOOKUP(C4207,[1]products!$A:$B,2,0)</f>
        <v>Electra Moto 3i - 2018</v>
      </c>
      <c r="I4207">
        <f>VLOOKUP(H4207,[1]products!$B:$D,3,0)</f>
        <v>3</v>
      </c>
      <c r="J4207" t="str">
        <f>VLOOKUP(I4207,[2]categories!$A$2:$B$8,2,0)</f>
        <v>Cruisers Bicycles</v>
      </c>
    </row>
    <row r="4208" spans="1:10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0.07</v>
      </c>
      <c r="G4208" s="1">
        <f t="shared" si="65"/>
        <v>814.6707</v>
      </c>
      <c r="H4208" t="str">
        <f>VLOOKUP(C4208,[1]products!$A:$B,2,0)</f>
        <v>Surly Steamroller - 2017</v>
      </c>
      <c r="I4208">
        <f>VLOOKUP(H4208,[1]products!$B:$D,3,0)</f>
        <v>7</v>
      </c>
      <c r="J4208" t="str">
        <f>VLOOKUP(I4208,[2]categories!$A$2:$B$8,2,0)</f>
        <v>Road Bikes</v>
      </c>
    </row>
    <row r="4209" spans="1:10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 s="1">
        <f t="shared" si="65"/>
        <v>1799.982</v>
      </c>
      <c r="H4209" t="str">
        <f>VLOOKUP(C4209,[1]products!$A:$B,2,0)</f>
        <v>Trek Farley Carbon Frameset - 2018</v>
      </c>
      <c r="I4209">
        <f>VLOOKUP(H4209,[1]products!$B:$D,3,0)</f>
        <v>6</v>
      </c>
      <c r="J4209" t="str">
        <f>VLOOKUP(I4209,[2]categories!$A$2:$B$8,2,0)</f>
        <v>Mountain Bikes</v>
      </c>
    </row>
    <row r="4210" spans="1:10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 s="1">
        <f t="shared" si="65"/>
        <v>303.9905</v>
      </c>
      <c r="H4210" t="str">
        <f>VLOOKUP(C4210,[1]products!$A:$B,2,0)</f>
        <v>Electra Cruiser 7D (24-Inch) Ladies' - 2016/2018</v>
      </c>
      <c r="I4210">
        <f>VLOOKUP(H4210,[1]products!$B:$D,3,0)</f>
        <v>3</v>
      </c>
      <c r="J4210" t="str">
        <f>VLOOKUP(I4210,[2]categories!$A$2:$B$8,2,0)</f>
        <v>Cruisers Bicycles</v>
      </c>
    </row>
    <row r="4211" spans="1:10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 s="1">
        <f t="shared" si="65"/>
        <v>1215.981</v>
      </c>
      <c r="H4211" t="str">
        <f>VLOOKUP(C4211,[1]products!$A:$B,2,0)</f>
        <v>Electra Cruiser Lux Fat Tire 7D - 2018</v>
      </c>
      <c r="I4211">
        <f>VLOOKUP(H4211,[1]products!$B:$D,3,0)</f>
        <v>3</v>
      </c>
      <c r="J4211" t="str">
        <f>VLOOKUP(I4211,[2]categories!$A$2:$B$8,2,0)</f>
        <v>Cruisers Bicycles</v>
      </c>
    </row>
    <row r="4212" spans="1:10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 s="1">
        <f t="shared" si="65"/>
        <v>1709.981</v>
      </c>
      <c r="H4212" t="str">
        <f>VLOOKUP(C4212,[1]products!$A:$B,2,0)</f>
        <v>Electra Daydreamer 3i Ladies' - 2018</v>
      </c>
      <c r="I4212">
        <f>VLOOKUP(H4212,[1]products!$B:$D,3,0)</f>
        <v>3</v>
      </c>
      <c r="J4212" t="str">
        <f>VLOOKUP(I4212,[2]categories!$A$2:$B$8,2,0)</f>
        <v>Cruisers Bicycles</v>
      </c>
    </row>
    <row r="4213" spans="1:10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 s="1">
        <f t="shared" si="65"/>
        <v>4399.992</v>
      </c>
      <c r="H4213" t="str">
        <f>VLOOKUP(C4213,[1]products!$A:$B,2,0)</f>
        <v>Trek Domane SL 8 Disc - 2018</v>
      </c>
      <c r="I4213">
        <f>VLOOKUP(H4213,[1]products!$B:$D,3,0)</f>
        <v>7</v>
      </c>
      <c r="J4213" t="str">
        <f>VLOOKUP(I4213,[2]categories!$A$2:$B$8,2,0)</f>
        <v>Road Bikes</v>
      </c>
    </row>
    <row r="4214" spans="1:10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 s="1">
        <f t="shared" si="65"/>
        <v>674.991</v>
      </c>
      <c r="H4214" t="str">
        <f>VLOOKUP(C4214,[1]products!$A:$B,2,0)</f>
        <v>Electra Townie Balloon 8D EQ Ladies' - 2016/2017/2018</v>
      </c>
      <c r="I4214">
        <f>VLOOKUP(H4214,[1]products!$B:$D,3,0)</f>
        <v>3</v>
      </c>
      <c r="J4214" t="str">
        <f>VLOOKUP(I4214,[2]categories!$A$2:$B$8,2,0)</f>
        <v>Cruisers Bicycles</v>
      </c>
    </row>
    <row r="4215" spans="1:10">
      <c r="A4215">
        <v>1449</v>
      </c>
      <c r="B4215">
        <v>1</v>
      </c>
      <c r="C4215">
        <v>159</v>
      </c>
      <c r="D4215">
        <v>1</v>
      </c>
      <c r="E4215">
        <v>2299.99</v>
      </c>
      <c r="F4215">
        <v>0.07</v>
      </c>
      <c r="G4215" s="1">
        <f t="shared" si="65"/>
        <v>2138.9907</v>
      </c>
      <c r="H4215" t="str">
        <f>VLOOKUP(C4215,[1]products!$A:$B,2,0)</f>
        <v>Trek Emonda ALR 6 - 2018</v>
      </c>
      <c r="I4215">
        <f>VLOOKUP(H4215,[1]products!$B:$D,3,0)</f>
        <v>7</v>
      </c>
      <c r="J4215" t="str">
        <f>VLOOKUP(I4215,[2]categories!$A$2:$B$8,2,0)</f>
        <v>Road Bikes</v>
      </c>
    </row>
    <row r="4216" spans="1:10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 s="1">
        <f t="shared" si="65"/>
        <v>2159.992</v>
      </c>
      <c r="H4216" t="str">
        <f>VLOOKUP(C4216,[1]products!$A:$B,2,0)</f>
        <v>Trek Domane S 6 - 2017</v>
      </c>
      <c r="I4216">
        <f>VLOOKUP(H4216,[1]products!$B:$D,3,0)</f>
        <v>7</v>
      </c>
      <c r="J4216" t="str">
        <f>VLOOKUP(I4216,[2]categories!$A$2:$B$8,2,0)</f>
        <v>Road Bikes</v>
      </c>
    </row>
    <row r="4217" spans="1:10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0.07</v>
      </c>
      <c r="G4217" s="1">
        <f t="shared" si="65"/>
        <v>1487.9814</v>
      </c>
      <c r="H4217" t="str">
        <f>VLOOKUP(C4217,[1]products!$A:$B,2,0)</f>
        <v>Electra Townie Balloon 3i EQ Ladies' - 2018</v>
      </c>
      <c r="I4217">
        <f>VLOOKUP(H4217,[1]products!$B:$D,3,0)</f>
        <v>3</v>
      </c>
      <c r="J4217" t="str">
        <f>VLOOKUP(I4217,[2]categories!$A$2:$B$8,2,0)</f>
        <v>Cruisers Bicycles</v>
      </c>
    </row>
    <row r="4218" spans="1:10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 s="1">
        <f t="shared" si="65"/>
        <v>5699.981</v>
      </c>
      <c r="H4218" t="str">
        <f>VLOOKUP(C4218,[1]products!$A:$B,2,0)</f>
        <v>Electra Townie Commute Go! Ladies' - 2018</v>
      </c>
      <c r="I4218">
        <f>VLOOKUP(H4218,[1]products!$B:$D,3,0)</f>
        <v>5</v>
      </c>
      <c r="J4218" t="str">
        <f>VLOOKUP(I4218,[2]categories!$A$2:$B$8,2,0)</f>
        <v>Electric Bikes</v>
      </c>
    </row>
    <row r="4219" spans="1:10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 s="1">
        <f t="shared" si="65"/>
        <v>485.982</v>
      </c>
      <c r="H4219" t="str">
        <f>VLOOKUP(C4219,[1]products!$A:$B,2,0)</f>
        <v>Electra Girl's Hawaii 1 (16-inch) - 2015/2016</v>
      </c>
      <c r="I4219">
        <f>VLOOKUP(H4219,[1]products!$B:$D,3,0)</f>
        <v>3</v>
      </c>
      <c r="J4219" t="str">
        <f>VLOOKUP(I4219,[2]categories!$A$2:$B$8,2,0)</f>
        <v>Cruisers Bicycles</v>
      </c>
    </row>
    <row r="4220" spans="1:10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0.07</v>
      </c>
      <c r="G4220" s="1">
        <f t="shared" si="65"/>
        <v>455.6907</v>
      </c>
      <c r="H4220" t="str">
        <f>VLOOKUP(C4220,[1]products!$A:$B,2,0)</f>
        <v>Electra Straight 8 3i (20-inch) - Boy's - 2017</v>
      </c>
      <c r="I4220">
        <f>VLOOKUP(H4220,[1]products!$B:$D,3,0)</f>
        <v>1</v>
      </c>
      <c r="J4220" t="str">
        <f>VLOOKUP(I4220,[2]categories!$A$2:$B$8,2,0)</f>
        <v>Children Bicycles</v>
      </c>
    </row>
    <row r="4221" spans="1:10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 s="1">
        <f t="shared" si="65"/>
        <v>5759.982</v>
      </c>
      <c r="H4221" t="str">
        <f>VLOOKUP(C4221,[1]products!$A:$B,2,0)</f>
        <v>Trek Domane ALR Frameset - 2018</v>
      </c>
      <c r="I4221">
        <f>VLOOKUP(H4221,[1]products!$B:$D,3,0)</f>
        <v>7</v>
      </c>
      <c r="J4221" t="str">
        <f>VLOOKUP(I4221,[2]categories!$A$2:$B$8,2,0)</f>
        <v>Road Bikes</v>
      </c>
    </row>
    <row r="4222" spans="1:10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 s="1">
        <f t="shared" si="65"/>
        <v>447.992</v>
      </c>
      <c r="H4222" t="str">
        <f>VLOOKUP(C4222,[1]products!$A:$B,2,0)</f>
        <v>Electra Townie Original 21D - 2018</v>
      </c>
      <c r="I4222">
        <f>VLOOKUP(H4222,[1]products!$B:$D,3,0)</f>
        <v>3</v>
      </c>
      <c r="J4222" t="str">
        <f>VLOOKUP(I4222,[2]categories!$A$2:$B$8,2,0)</f>
        <v>Cruisers Bicycles</v>
      </c>
    </row>
    <row r="4223" spans="1:10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 s="1">
        <f t="shared" si="65"/>
        <v>5399.982</v>
      </c>
      <c r="H4223" t="str">
        <f>VLOOKUP(C4223,[1]products!$A:$B,2,0)</f>
        <v>Trek Crockett 7 Disc - 2018</v>
      </c>
      <c r="I4223">
        <f>VLOOKUP(H4223,[1]products!$B:$D,3,0)</f>
        <v>4</v>
      </c>
      <c r="J4223" t="str">
        <f>VLOOKUP(I4223,[2]categories!$A$2:$B$8,2,0)</f>
        <v>Cyclocross Bicycles</v>
      </c>
    </row>
    <row r="4224" spans="1:10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 s="1">
        <f t="shared" si="65"/>
        <v>1709.981</v>
      </c>
      <c r="H4224" t="str">
        <f>VLOOKUP(C4224,[1]products!$A:$B,2,0)</f>
        <v>Electra Koa 3i Ladies' - 2018</v>
      </c>
      <c r="I4224">
        <f>VLOOKUP(H4224,[1]products!$B:$D,3,0)</f>
        <v>3</v>
      </c>
      <c r="J4224" t="str">
        <f>VLOOKUP(I4224,[2]categories!$A$2:$B$8,2,0)</f>
        <v>Cruisers Bicycles</v>
      </c>
    </row>
    <row r="4225" spans="1:10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 s="1">
        <f t="shared" si="65"/>
        <v>1396.4905</v>
      </c>
      <c r="H4225" t="str">
        <f>VLOOKUP(C4225,[1]products!$A:$B,2,0)</f>
        <v>Trek Ticket S Frame - 2018</v>
      </c>
      <c r="I4225">
        <f>VLOOKUP(H4225,[1]products!$B:$D,3,0)</f>
        <v>6</v>
      </c>
      <c r="J4225" t="str">
        <f>VLOOKUP(I4225,[2]categories!$A$2:$B$8,2,0)</f>
        <v>Mountain Bikes</v>
      </c>
    </row>
    <row r="4226" spans="1:10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 s="1">
        <f t="shared" ref="G4226:G4289" si="66">D4226*E4226*(1-F4226)</f>
        <v>539.982</v>
      </c>
      <c r="H4226" t="str">
        <f>VLOOKUP(C4226,[1]products!$A:$B,2,0)</f>
        <v>Electra Sugar Skulls 1 (20-inch) - Girl's - 2017</v>
      </c>
      <c r="I4226">
        <f>VLOOKUP(H4226,[1]products!$B:$D,3,0)</f>
        <v>1</v>
      </c>
      <c r="J4226" t="str">
        <f>VLOOKUP(I4226,[2]categories!$A$2:$B$8,2,0)</f>
        <v>Children Bicycles</v>
      </c>
    </row>
    <row r="4227" spans="1:10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 s="1">
        <f t="shared" si="66"/>
        <v>719.992</v>
      </c>
      <c r="H4227" t="str">
        <f>VLOOKUP(C4227,[1]products!$A:$B,2,0)</f>
        <v>Electra Daydreamer 3i Ladies' - 2018</v>
      </c>
      <c r="I4227">
        <f>VLOOKUP(H4227,[1]products!$B:$D,3,0)</f>
        <v>3</v>
      </c>
      <c r="J4227" t="str">
        <f>VLOOKUP(I4227,[2]categories!$A$2:$B$8,2,0)</f>
        <v>Cruisers Bicycles</v>
      </c>
    </row>
    <row r="4228" spans="1:10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 s="1">
        <f t="shared" si="66"/>
        <v>284.981</v>
      </c>
      <c r="H4228" t="str">
        <f>VLOOKUP(C4228,[1]products!$A:$B,2,0)</f>
        <v>Trek Girl's Kickster - 2017</v>
      </c>
      <c r="I4228">
        <f>VLOOKUP(H4228,[1]products!$B:$D,3,0)</f>
        <v>1</v>
      </c>
      <c r="J4228" t="str">
        <f>VLOOKUP(I4228,[2]categories!$A$2:$B$8,2,0)</f>
        <v>Children Bicycles</v>
      </c>
    </row>
    <row r="4229" spans="1:10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0.07</v>
      </c>
      <c r="G4229" s="1">
        <f t="shared" si="66"/>
        <v>775.6014</v>
      </c>
      <c r="H4229" t="str">
        <f>VLOOKUP(C4229,[1]products!$A:$B,2,0)</f>
        <v>Sun Bicycles Cruz 7 - Women's - 2017</v>
      </c>
      <c r="I4229">
        <f>VLOOKUP(H4229,[1]products!$B:$D,3,0)</f>
        <v>2</v>
      </c>
      <c r="J4229" t="str">
        <f>VLOOKUP(I4229,[2]categories!$A$2:$B$8,2,0)</f>
        <v>Comfort Bicycles</v>
      </c>
    </row>
    <row r="4230" spans="1:10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 s="1">
        <f t="shared" si="66"/>
        <v>377.982</v>
      </c>
      <c r="H4230" t="str">
        <f>VLOOKUP(C4230,[1]products!$A:$B,2,0)</f>
        <v>Trek Precaliber 16 Boys - 2017</v>
      </c>
      <c r="I4230">
        <f>VLOOKUP(H4230,[1]products!$B:$D,3,0)</f>
        <v>1</v>
      </c>
      <c r="J4230" t="str">
        <f>VLOOKUP(I4230,[2]categories!$A$2:$B$8,2,0)</f>
        <v>Children Bicycles</v>
      </c>
    </row>
    <row r="4231" spans="1:10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0.07</v>
      </c>
      <c r="G4231" s="1">
        <f t="shared" si="66"/>
        <v>297.5907</v>
      </c>
      <c r="H4231" t="str">
        <f>VLOOKUP(C4231,[1]products!$A:$B,2,0)</f>
        <v>Electra Heartchya 1 (20-inch) - Girl's - 2018</v>
      </c>
      <c r="I4231">
        <f>VLOOKUP(H4231,[1]products!$B:$D,3,0)</f>
        <v>1</v>
      </c>
      <c r="J4231" t="str">
        <f>VLOOKUP(I4231,[2]categories!$A$2:$B$8,2,0)</f>
        <v>Children Bicycles</v>
      </c>
    </row>
    <row r="4232" spans="1:10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 s="1">
        <f t="shared" si="66"/>
        <v>1499.382</v>
      </c>
      <c r="H4232" t="str">
        <f>VLOOKUP(C4232,[1]products!$A:$B,2,0)</f>
        <v>Sun Bicycles Spider 3i - 2017</v>
      </c>
      <c r="I4232">
        <f>VLOOKUP(H4232,[1]products!$B:$D,3,0)</f>
        <v>6</v>
      </c>
      <c r="J4232" t="str">
        <f>VLOOKUP(I4232,[2]categories!$A$2:$B$8,2,0)</f>
        <v>Mountain Bikes</v>
      </c>
    </row>
    <row r="4233" spans="1:10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 s="1">
        <f t="shared" si="66"/>
        <v>1199.2</v>
      </c>
      <c r="H4233" t="str">
        <f>VLOOKUP(C4233,[1]products!$A:$B,2,0)</f>
        <v>Surly Krampus - 2018</v>
      </c>
      <c r="I4233">
        <f>VLOOKUP(H4233,[1]products!$B:$D,3,0)</f>
        <v>6</v>
      </c>
      <c r="J4233" t="str">
        <f>VLOOKUP(I4233,[2]categories!$A$2:$B$8,2,0)</f>
        <v>Mountain Bikes</v>
      </c>
    </row>
    <row r="4234" spans="1:10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 s="1">
        <f t="shared" si="66"/>
        <v>1044.981</v>
      </c>
      <c r="H4234" t="str">
        <f>VLOOKUP(C4234,[1]products!$A:$B,2,0)</f>
        <v>Haro Flightline Two 26 Plus - 2017</v>
      </c>
      <c r="I4234">
        <f>VLOOKUP(H4234,[1]products!$B:$D,3,0)</f>
        <v>6</v>
      </c>
      <c r="J4234" t="str">
        <f>VLOOKUP(I4234,[2]categories!$A$2:$B$8,2,0)</f>
        <v>Mountain Bikes</v>
      </c>
    </row>
    <row r="4235" spans="1:10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 s="1">
        <f t="shared" si="66"/>
        <v>645.981</v>
      </c>
      <c r="H4235" t="str">
        <f>VLOOKUP(C4235,[1]products!$A:$B,2,0)</f>
        <v>Electra Townie 7D (20-inch) - Boys' - 2017</v>
      </c>
      <c r="I4235">
        <f>VLOOKUP(H4235,[1]products!$B:$D,3,0)</f>
        <v>1</v>
      </c>
      <c r="J4235" t="str">
        <f>VLOOKUP(I4235,[2]categories!$A$2:$B$8,2,0)</f>
        <v>Children Bicycles</v>
      </c>
    </row>
    <row r="4236" spans="1:10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 s="1">
        <f t="shared" si="66"/>
        <v>599.992</v>
      </c>
      <c r="H4236" t="str">
        <f>VLOOKUP(C4236,[1]products!$A:$B,2,0)</f>
        <v>Electra Townie Balloon 3i EQ - 2017/2018</v>
      </c>
      <c r="I4236">
        <f>VLOOKUP(H4236,[1]products!$B:$D,3,0)</f>
        <v>3</v>
      </c>
      <c r="J4236" t="str">
        <f>VLOOKUP(I4236,[2]categories!$A$2:$B$8,2,0)</f>
        <v>Cruisers Bicycles</v>
      </c>
    </row>
    <row r="4237" spans="1:10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 s="1">
        <f t="shared" si="66"/>
        <v>5319.981</v>
      </c>
      <c r="H4237" t="str">
        <f>VLOOKUP(C4237,[1]products!$A:$B,2,0)</f>
        <v>Trek Lift+ - 2018</v>
      </c>
      <c r="I4237">
        <f>VLOOKUP(H4237,[1]products!$B:$D,3,0)</f>
        <v>5</v>
      </c>
      <c r="J4237" t="str">
        <f>VLOOKUP(I4237,[2]categories!$A$2:$B$8,2,0)</f>
        <v>Electric Bikes</v>
      </c>
    </row>
    <row r="4238" spans="1:10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0.07</v>
      </c>
      <c r="G4238" s="1">
        <f t="shared" si="66"/>
        <v>595.1907</v>
      </c>
      <c r="H4238" t="str">
        <f>VLOOKUP(C4238,[1]products!$A:$B,2,0)</f>
        <v>Electra Townie Original 3i EQ Ladies' - 2018</v>
      </c>
      <c r="I4238">
        <f>VLOOKUP(H4238,[1]products!$B:$D,3,0)</f>
        <v>3</v>
      </c>
      <c r="J4238" t="str">
        <f>VLOOKUP(I4238,[2]categories!$A$2:$B$8,2,0)</f>
        <v>Cruisers Bicycles</v>
      </c>
    </row>
    <row r="4239" spans="1:10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 s="1">
        <f t="shared" si="66"/>
        <v>287.982</v>
      </c>
      <c r="H4239" t="str">
        <f>VLOOKUP(C4239,[1]products!$A:$B,2,0)</f>
        <v>Trek Kickster - 2018</v>
      </c>
      <c r="I4239">
        <f>VLOOKUP(H4239,[1]products!$B:$D,3,0)</f>
        <v>1</v>
      </c>
      <c r="J4239" t="str">
        <f>VLOOKUP(I4239,[2]categories!$A$2:$B$8,2,0)</f>
        <v>Children Bicycles</v>
      </c>
    </row>
    <row r="4240" spans="1:10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 s="1">
        <f t="shared" si="66"/>
        <v>260.991</v>
      </c>
      <c r="H4240" t="str">
        <f>VLOOKUP(C4240,[1]products!$A:$B,2,0)</f>
        <v>Trek Precaliber 20 6-speed Boy's - 2018</v>
      </c>
      <c r="I4240">
        <f>VLOOKUP(H4240,[1]products!$B:$D,3,0)</f>
        <v>1</v>
      </c>
      <c r="J4240" t="str">
        <f>VLOOKUP(I4240,[2]categories!$A$2:$B$8,2,0)</f>
        <v>Children Bicycles</v>
      </c>
    </row>
    <row r="4241" spans="1:10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 s="1">
        <f t="shared" si="66"/>
        <v>422.991</v>
      </c>
      <c r="H4241" t="str">
        <f>VLOOKUP(C4241,[1]products!$A:$B,2,0)</f>
        <v>Surly Big Fat Dummy Frameset - 2018</v>
      </c>
      <c r="I4241">
        <f>VLOOKUP(H4241,[1]products!$B:$D,3,0)</f>
        <v>6</v>
      </c>
      <c r="J4241" t="str">
        <f>VLOOKUP(I4241,[2]categories!$A$2:$B$8,2,0)</f>
        <v>Mountain Bikes</v>
      </c>
    </row>
    <row r="4242" spans="1:10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0.07</v>
      </c>
      <c r="G4242" s="1">
        <f t="shared" si="66"/>
        <v>455.6907</v>
      </c>
      <c r="H4242" t="str">
        <f>VLOOKUP(C4242,[1]products!$A:$B,2,0)</f>
        <v>Trek Marlin 5 - 2018</v>
      </c>
      <c r="I4242">
        <f>VLOOKUP(H4242,[1]products!$B:$D,3,0)</f>
        <v>6</v>
      </c>
      <c r="J4242" t="str">
        <f>VLOOKUP(I4242,[2]categories!$A$2:$B$8,2,0)</f>
        <v>Mountain Bikes</v>
      </c>
    </row>
    <row r="4243" spans="1:10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 s="1">
        <f t="shared" si="66"/>
        <v>376.792</v>
      </c>
      <c r="H4243" t="str">
        <f>VLOOKUP(C4243,[1]products!$A:$B,2,0)</f>
        <v>Sun Bicycles Drifter 7 - Women's - 2017</v>
      </c>
      <c r="I4243">
        <f>VLOOKUP(H4243,[1]products!$B:$D,3,0)</f>
        <v>2</v>
      </c>
      <c r="J4243" t="str">
        <f>VLOOKUP(I4243,[2]categories!$A$2:$B$8,2,0)</f>
        <v>Comfort Bicycles</v>
      </c>
    </row>
    <row r="4244" spans="1:10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 s="1">
        <f t="shared" si="66"/>
        <v>127.992</v>
      </c>
      <c r="H4244" t="str">
        <f>VLOOKUP(C4244,[1]products!$A:$B,2,0)</f>
        <v>Trek Kickster - 2018</v>
      </c>
      <c r="I4244">
        <f>VLOOKUP(H4244,[1]products!$B:$D,3,0)</f>
        <v>1</v>
      </c>
      <c r="J4244" t="str">
        <f>VLOOKUP(I4244,[2]categories!$A$2:$B$8,2,0)</f>
        <v>Children Bicycles</v>
      </c>
    </row>
    <row r="4245" spans="1:10">
      <c r="A4245">
        <v>1457</v>
      </c>
      <c r="B4245">
        <v>4</v>
      </c>
      <c r="C4245">
        <v>152</v>
      </c>
      <c r="D4245">
        <v>2</v>
      </c>
      <c r="E4245">
        <v>2499.99</v>
      </c>
      <c r="F4245">
        <v>0.2</v>
      </c>
      <c r="G4245" s="1">
        <f t="shared" si="66"/>
        <v>3999.984</v>
      </c>
      <c r="H4245" t="str">
        <f>VLOOKUP(C4245,[1]products!$A:$B,2,0)</f>
        <v>Trek Domane SL 5 Disc Women's - 2018</v>
      </c>
      <c r="I4245">
        <f>VLOOKUP(H4245,[1]products!$B:$D,3,0)</f>
        <v>7</v>
      </c>
      <c r="J4245" t="str">
        <f>VLOOKUP(I4245,[2]categories!$A$2:$B$8,2,0)</f>
        <v>Road Bikes</v>
      </c>
    </row>
    <row r="4246" spans="1:10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 s="1">
        <f t="shared" si="66"/>
        <v>607.981</v>
      </c>
      <c r="H4246" t="str">
        <f>VLOOKUP(C4246,[1]products!$A:$B,2,0)</f>
        <v>Electra Treasure 1 20" - 2018</v>
      </c>
      <c r="I4246">
        <f>VLOOKUP(H4246,[1]products!$B:$D,3,0)</f>
        <v>1</v>
      </c>
      <c r="J4246" t="str">
        <f>VLOOKUP(I4246,[2]categories!$A$2:$B$8,2,0)</f>
        <v>Children Bicycles</v>
      </c>
    </row>
    <row r="4247" spans="1:10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 s="1">
        <f t="shared" si="66"/>
        <v>507.2905</v>
      </c>
      <c r="H4247" t="str">
        <f>VLOOKUP(C4247,[1]products!$A:$B,2,0)</f>
        <v>Sun Bicycles Streamway 7 - 2017</v>
      </c>
      <c r="I4247">
        <f>VLOOKUP(H4247,[1]products!$B:$D,3,0)</f>
        <v>2</v>
      </c>
      <c r="J4247" t="str">
        <f>VLOOKUP(I4247,[2]categories!$A$2:$B$8,2,0)</f>
        <v>Comfort Bicycles</v>
      </c>
    </row>
    <row r="4248" spans="1:10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 s="1">
        <f t="shared" si="66"/>
        <v>522.4905</v>
      </c>
      <c r="H4248" t="str">
        <f>VLOOKUP(C4248,[1]products!$A:$B,2,0)</f>
        <v>Electra Townie Original 21D - 2016</v>
      </c>
      <c r="I4248">
        <f>VLOOKUP(H4248,[1]products!$B:$D,3,0)</f>
        <v>3</v>
      </c>
      <c r="J4248" t="str">
        <f>VLOOKUP(I4248,[2]categories!$A$2:$B$8,2,0)</f>
        <v>Cruisers Bicycles</v>
      </c>
    </row>
    <row r="4249" spans="1:10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 s="1">
        <f t="shared" si="66"/>
        <v>1166.382</v>
      </c>
      <c r="H4249" t="str">
        <f>VLOOKUP(C4249,[1]products!$A:$B,2,0)</f>
        <v>Sun Bicycles Biscayne Tandem CB - 2017</v>
      </c>
      <c r="I4249">
        <f>VLOOKUP(H4249,[1]products!$B:$D,3,0)</f>
        <v>3</v>
      </c>
      <c r="J4249" t="str">
        <f>VLOOKUP(I4249,[2]categories!$A$2:$B$8,2,0)</f>
        <v>Cruisers Bicycles</v>
      </c>
    </row>
    <row r="4250" spans="1:10">
      <c r="A4250">
        <v>1459</v>
      </c>
      <c r="B4250">
        <v>1</v>
      </c>
      <c r="C4250">
        <v>258</v>
      </c>
      <c r="D4250">
        <v>1</v>
      </c>
      <c r="E4250">
        <v>1259.9</v>
      </c>
      <c r="F4250">
        <v>0.1</v>
      </c>
      <c r="G4250" s="1">
        <f t="shared" si="66"/>
        <v>1133.91</v>
      </c>
      <c r="H4250" t="str">
        <f>VLOOKUP(C4250,[1]products!$A:$B,2,0)</f>
        <v>Electra Amsterdam Royal 8i - 2017/2018</v>
      </c>
      <c r="I4250">
        <f>VLOOKUP(H4250,[1]products!$B:$D,3,0)</f>
        <v>3</v>
      </c>
      <c r="J4250" t="str">
        <f>VLOOKUP(I4250,[2]categories!$A$2:$B$8,2,0)</f>
        <v>Cruisers Bicycles</v>
      </c>
    </row>
    <row r="4251" spans="1:10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 s="1">
        <f t="shared" si="66"/>
        <v>4274.9905</v>
      </c>
      <c r="H4251" t="str">
        <f>VLOOKUP(C4251,[1]products!$A:$B,2,0)</f>
        <v>Trek Powerfly 5 FS - 2018</v>
      </c>
      <c r="I4251">
        <f>VLOOKUP(H4251,[1]products!$B:$D,3,0)</f>
        <v>5</v>
      </c>
      <c r="J4251" t="str">
        <f>VLOOKUP(I4251,[2]categories!$A$2:$B$8,2,0)</f>
        <v>Electric Bikes</v>
      </c>
    </row>
    <row r="4252" spans="1:10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0.07</v>
      </c>
      <c r="G4252" s="1">
        <f t="shared" si="66"/>
        <v>278.9907</v>
      </c>
      <c r="H4252" t="str">
        <f>VLOOKUP(C4252,[1]products!$A:$B,2,0)</f>
        <v>Electra Girl's Hawaii 1 16" - 2017</v>
      </c>
      <c r="I4252">
        <f>VLOOKUP(H4252,[1]products!$B:$D,3,0)</f>
        <v>3</v>
      </c>
      <c r="J4252" t="str">
        <f>VLOOKUP(I4252,[2]categories!$A$2:$B$8,2,0)</f>
        <v>Cruisers Bicycles</v>
      </c>
    </row>
    <row r="4253" spans="1:10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 s="1">
        <f t="shared" si="66"/>
        <v>712.4905</v>
      </c>
      <c r="H4253" t="str">
        <f>VLOOKUP(C4253,[1]products!$A:$B,2,0)</f>
        <v>Surly ECR Frameset - 2018</v>
      </c>
      <c r="I4253">
        <f>VLOOKUP(H4253,[1]products!$B:$D,3,0)</f>
        <v>7</v>
      </c>
      <c r="J4253" t="str">
        <f>VLOOKUP(I4253,[2]categories!$A$2:$B$8,2,0)</f>
        <v>Road Bikes</v>
      </c>
    </row>
    <row r="4254" spans="1:10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0.07</v>
      </c>
      <c r="G4254" s="1">
        <f t="shared" si="66"/>
        <v>7439.9814</v>
      </c>
      <c r="H4254" t="str">
        <f>VLOOKUP(C4254,[1]products!$A:$B,2,0)</f>
        <v>Trek Slash 8 27.5 - 2016</v>
      </c>
      <c r="I4254">
        <f>VLOOKUP(H4254,[1]products!$B:$D,3,0)</f>
        <v>6</v>
      </c>
      <c r="J4254" t="str">
        <f>VLOOKUP(I4254,[2]categories!$A$2:$B$8,2,0)</f>
        <v>Mountain Bikes</v>
      </c>
    </row>
    <row r="4255" spans="1:10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0.07</v>
      </c>
      <c r="G4255" s="1">
        <f t="shared" si="66"/>
        <v>1859.9814</v>
      </c>
      <c r="H4255" t="str">
        <f>VLOOKUP(C4255,[1]products!$A:$B,2,0)</f>
        <v>Trek Farley Carbon Frameset - 2018</v>
      </c>
      <c r="I4255">
        <f>VLOOKUP(H4255,[1]products!$B:$D,3,0)</f>
        <v>6</v>
      </c>
      <c r="J4255" t="str">
        <f>VLOOKUP(I4255,[2]categories!$A$2:$B$8,2,0)</f>
        <v>Mountain Bikes</v>
      </c>
    </row>
    <row r="4256" spans="1:10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 s="1">
        <f t="shared" si="66"/>
        <v>1199.992</v>
      </c>
      <c r="H4256" t="str">
        <f>VLOOKUP(C4256,[1]products!$A:$B,2,0)</f>
        <v>Trek Emonda S 4 - 2017</v>
      </c>
      <c r="I4256">
        <f>VLOOKUP(H4256,[1]products!$B:$D,3,0)</f>
        <v>7</v>
      </c>
      <c r="J4256" t="str">
        <f>VLOOKUP(I4256,[2]categories!$A$2:$B$8,2,0)</f>
        <v>Road Bikes</v>
      </c>
    </row>
    <row r="4257" spans="1:10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 s="1">
        <f t="shared" si="66"/>
        <v>1119.984</v>
      </c>
      <c r="H4257" t="str">
        <f>VLOOKUP(C4257,[1]products!$A:$B,2,0)</f>
        <v>Electra Townie Commute 8D Ladies' - 2018</v>
      </c>
      <c r="I4257">
        <f>VLOOKUP(H4257,[1]products!$B:$D,3,0)</f>
        <v>3</v>
      </c>
      <c r="J4257" t="str">
        <f>VLOOKUP(I4257,[2]categories!$A$2:$B$8,2,0)</f>
        <v>Cruisers Bicycles</v>
      </c>
    </row>
    <row r="4258" spans="1:10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 s="1">
        <f t="shared" si="66"/>
        <v>71.992</v>
      </c>
      <c r="H4258" t="str">
        <f>VLOOKUP(C4258,[1]products!$A:$B,2,0)</f>
        <v>Strider Classic 12 Balance Bike - 2018</v>
      </c>
      <c r="I4258">
        <f>VLOOKUP(H4258,[1]products!$B:$D,3,0)</f>
        <v>1</v>
      </c>
      <c r="J4258" t="str">
        <f>VLOOKUP(I4258,[2]categories!$A$2:$B$8,2,0)</f>
        <v>Children Bicycles</v>
      </c>
    </row>
    <row r="4259" spans="1:10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0.07</v>
      </c>
      <c r="G4259" s="1">
        <f t="shared" si="66"/>
        <v>464.9907</v>
      </c>
      <c r="H4259" t="str">
        <f>VLOOKUP(C4259,[1]products!$A:$B,2,0)</f>
        <v>Electra Townie Original 7D - 2015/2016</v>
      </c>
      <c r="I4259">
        <f>VLOOKUP(H4259,[1]products!$B:$D,3,0)</f>
        <v>2</v>
      </c>
      <c r="J4259" t="str">
        <f>VLOOKUP(I4259,[2]categories!$A$2:$B$8,2,0)</f>
        <v>Comfort Bicycles</v>
      </c>
    </row>
    <row r="4260" spans="1:10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 s="1">
        <f t="shared" si="66"/>
        <v>476.991</v>
      </c>
      <c r="H4260" t="str">
        <f>VLOOKUP(C4260,[1]products!$A:$B,2,0)</f>
        <v>Electra Cruiser Lux 3i - 2018</v>
      </c>
      <c r="I4260">
        <f>VLOOKUP(H4260,[1]products!$B:$D,3,0)</f>
        <v>3</v>
      </c>
      <c r="J4260" t="str">
        <f>VLOOKUP(I4260,[2]categories!$A$2:$B$8,2,0)</f>
        <v>Cruisers Bicycles</v>
      </c>
    </row>
    <row r="4261" spans="1:10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 s="1">
        <f t="shared" si="66"/>
        <v>332.991</v>
      </c>
      <c r="H4261" t="str">
        <f>VLOOKUP(C4261,[1]products!$A:$B,2,0)</f>
        <v>Electra Tiger Shark 3i (20-inch) - Boys' - 2018</v>
      </c>
      <c r="I4261">
        <f>VLOOKUP(H4261,[1]products!$B:$D,3,0)</f>
        <v>1</v>
      </c>
      <c r="J4261" t="str">
        <f>VLOOKUP(I4261,[2]categories!$A$2:$B$8,2,0)</f>
        <v>Children Bicycles</v>
      </c>
    </row>
    <row r="4262" spans="1:10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 s="1">
        <f t="shared" si="66"/>
        <v>2849.9905</v>
      </c>
      <c r="H4262" t="str">
        <f>VLOOKUP(C4262,[1]products!$A:$B,2,0)</f>
        <v>Electra Townie Commute Go! - 2018</v>
      </c>
      <c r="I4262">
        <f>VLOOKUP(H4262,[1]products!$B:$D,3,0)</f>
        <v>5</v>
      </c>
      <c r="J4262" t="str">
        <f>VLOOKUP(I4262,[2]categories!$A$2:$B$8,2,0)</f>
        <v>Electric Bikes</v>
      </c>
    </row>
    <row r="4263" spans="1:10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 s="1">
        <f t="shared" si="66"/>
        <v>12349.981</v>
      </c>
      <c r="H4263" t="str">
        <f>VLOOKUP(C4263,[1]products!$A:$B,2,0)</f>
        <v>Trek Silque SLR 8 Women's - 2017</v>
      </c>
      <c r="I4263">
        <f>VLOOKUP(H4263,[1]products!$B:$D,3,0)</f>
        <v>7</v>
      </c>
      <c r="J4263" t="str">
        <f>VLOOKUP(I4263,[2]categories!$A$2:$B$8,2,0)</f>
        <v>Road Bikes</v>
      </c>
    </row>
    <row r="4264" spans="1:10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 s="1">
        <f t="shared" si="66"/>
        <v>1471.55</v>
      </c>
      <c r="H4264" t="str">
        <f>VLOOKUP(C4264,[1]products!$A:$B,2,0)</f>
        <v>Surly Straggler - 2018</v>
      </c>
      <c r="I4264">
        <f>VLOOKUP(H4264,[1]products!$B:$D,3,0)</f>
        <v>7</v>
      </c>
      <c r="J4264" t="str">
        <f>VLOOKUP(I4264,[2]categories!$A$2:$B$8,2,0)</f>
        <v>Road Bikes</v>
      </c>
    </row>
    <row r="4265" spans="1:10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 s="1">
        <f t="shared" si="66"/>
        <v>792.281</v>
      </c>
      <c r="H4265" t="str">
        <f>VLOOKUP(C4265,[1]products!$A:$B,2,0)</f>
        <v>Sun Bicycles Cruz 7 - Women's - 2017</v>
      </c>
      <c r="I4265">
        <f>VLOOKUP(H4265,[1]products!$B:$D,3,0)</f>
        <v>2</v>
      </c>
      <c r="J4265" t="str">
        <f>VLOOKUP(I4265,[2]categories!$A$2:$B$8,2,0)</f>
        <v>Comfort Bicycles</v>
      </c>
    </row>
    <row r="4266" spans="1:10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 s="1">
        <f t="shared" si="66"/>
        <v>1199.2</v>
      </c>
      <c r="H4266" t="str">
        <f>VLOOKUP(C4266,[1]products!$A:$B,2,0)</f>
        <v>Surly Krampus - 2018</v>
      </c>
      <c r="I4266">
        <f>VLOOKUP(H4266,[1]products!$B:$D,3,0)</f>
        <v>6</v>
      </c>
      <c r="J4266" t="str">
        <f>VLOOKUP(I4266,[2]categories!$A$2:$B$8,2,0)</f>
        <v>Mountain Bikes</v>
      </c>
    </row>
    <row r="4267" spans="1:10">
      <c r="A4267">
        <v>1464</v>
      </c>
      <c r="B4267">
        <v>3</v>
      </c>
      <c r="C4267">
        <v>165</v>
      </c>
      <c r="D4267">
        <v>2</v>
      </c>
      <c r="E4267">
        <v>2499.99</v>
      </c>
      <c r="F4267">
        <v>0.2</v>
      </c>
      <c r="G4267" s="1">
        <f t="shared" si="66"/>
        <v>3999.984</v>
      </c>
      <c r="H4267" t="str">
        <f>VLOOKUP(C4267,[1]products!$A:$B,2,0)</f>
        <v>Trek 1120 - 2018</v>
      </c>
      <c r="I4267">
        <f>VLOOKUP(H4267,[1]products!$B:$D,3,0)</f>
        <v>7</v>
      </c>
      <c r="J4267" t="str">
        <f>VLOOKUP(I4267,[2]categories!$A$2:$B$8,2,0)</f>
        <v>Road Bikes</v>
      </c>
    </row>
    <row r="4268" spans="1:10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 s="1">
        <f t="shared" si="66"/>
        <v>2944.981</v>
      </c>
      <c r="H4268" t="str">
        <f>VLOOKUP(C4268,[1]products!$A:$B,2,0)</f>
        <v>Trek Domane ALR 4 Disc Women's - 2018</v>
      </c>
      <c r="I4268">
        <f>VLOOKUP(H4268,[1]products!$B:$D,3,0)</f>
        <v>7</v>
      </c>
      <c r="J4268" t="str">
        <f>VLOOKUP(I4268,[2]categories!$A$2:$B$8,2,0)</f>
        <v>Road Bikes</v>
      </c>
    </row>
    <row r="4269" spans="1:10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 s="1">
        <f t="shared" si="66"/>
        <v>1253.981</v>
      </c>
      <c r="H4269" t="str">
        <f>VLOOKUP(C4269,[1]products!$A:$B,2,0)</f>
        <v>Electra Amsterdam Original 3i - 2015/2017</v>
      </c>
      <c r="I4269">
        <f>VLOOKUP(H4269,[1]products!$B:$D,3,0)</f>
        <v>3</v>
      </c>
      <c r="J4269" t="str">
        <f>VLOOKUP(I4269,[2]categories!$A$2:$B$8,2,0)</f>
        <v>Cruisers Bicycles</v>
      </c>
    </row>
    <row r="4270" spans="1:10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0.07</v>
      </c>
      <c r="G4270" s="1">
        <f t="shared" si="66"/>
        <v>1673.9814</v>
      </c>
      <c r="H4270" t="str">
        <f>VLOOKUP(C4270,[1]products!$A:$B,2,0)</f>
        <v>Electra Townie Commute 27D Ladies - 2018</v>
      </c>
      <c r="I4270">
        <f>VLOOKUP(H4270,[1]products!$B:$D,3,0)</f>
        <v>3</v>
      </c>
      <c r="J4270" t="str">
        <f>VLOOKUP(I4270,[2]categories!$A$2:$B$8,2,0)</f>
        <v>Cruisers Bicycles</v>
      </c>
    </row>
    <row r="4271" spans="1:10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 s="1">
        <f t="shared" si="66"/>
        <v>2849.9905</v>
      </c>
      <c r="H4271" t="str">
        <f>VLOOKUP(C4271,[1]products!$A:$B,2,0)</f>
        <v>Electra Townie Commute Go! - 2018</v>
      </c>
      <c r="I4271">
        <f>VLOOKUP(H4271,[1]products!$B:$D,3,0)</f>
        <v>5</v>
      </c>
      <c r="J4271" t="str">
        <f>VLOOKUP(I4271,[2]categories!$A$2:$B$8,2,0)</f>
        <v>Electric Bikes</v>
      </c>
    </row>
    <row r="4272" spans="1:10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 s="1">
        <f t="shared" si="66"/>
        <v>2158.4</v>
      </c>
      <c r="H4272" t="str">
        <f>VLOOKUP(C4272,[1]products!$A:$B,2,0)</f>
        <v>Surly Pack Rat - 2018</v>
      </c>
      <c r="I4272">
        <f>VLOOKUP(H4272,[1]products!$B:$D,3,0)</f>
        <v>7</v>
      </c>
      <c r="J4272" t="str">
        <f>VLOOKUP(I4272,[2]categories!$A$2:$B$8,2,0)</f>
        <v>Road Bikes</v>
      </c>
    </row>
    <row r="4273" spans="1:10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 s="1">
        <f t="shared" si="66"/>
        <v>2849.981</v>
      </c>
      <c r="H4273" t="str">
        <f>VLOOKUP(C4273,[1]products!$A:$B,2,0)</f>
        <v>Trek Stache 5 - 2017</v>
      </c>
      <c r="I4273">
        <f>VLOOKUP(H4273,[1]products!$B:$D,3,0)</f>
        <v>6</v>
      </c>
      <c r="J4273" t="str">
        <f>VLOOKUP(I4273,[2]categories!$A$2:$B$8,2,0)</f>
        <v>Mountain Bikes</v>
      </c>
    </row>
    <row r="4274" spans="1:10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0.07</v>
      </c>
      <c r="G4274" s="1">
        <f t="shared" si="66"/>
        <v>417.57</v>
      </c>
      <c r="H4274" t="str">
        <f>VLOOKUP(C4274,[1]products!$A:$B,2,0)</f>
        <v>Pure Cycles Western 3-Speed - Women's - 2015/2016</v>
      </c>
      <c r="I4274">
        <f>VLOOKUP(H4274,[1]products!$B:$D,3,0)</f>
        <v>3</v>
      </c>
      <c r="J4274" t="str">
        <f>VLOOKUP(I4274,[2]categories!$A$2:$B$8,2,0)</f>
        <v>Cruisers Bicycles</v>
      </c>
    </row>
    <row r="4275" spans="1:10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 s="1">
        <f t="shared" si="66"/>
        <v>2559.992</v>
      </c>
      <c r="H4275" t="str">
        <f>VLOOKUP(C4275,[1]products!$A:$B,2,0)</f>
        <v>Trek Fuel EX 8 29 - 2018</v>
      </c>
      <c r="I4275">
        <f>VLOOKUP(H4275,[1]products!$B:$D,3,0)</f>
        <v>6</v>
      </c>
      <c r="J4275" t="str">
        <f>VLOOKUP(I4275,[2]categories!$A$2:$B$8,2,0)</f>
        <v>Mountain Bikes</v>
      </c>
    </row>
    <row r="4276" spans="1:10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 s="1">
        <f t="shared" si="66"/>
        <v>665.982</v>
      </c>
      <c r="H4276" t="str">
        <f>VLOOKUP(C4276,[1]products!$A:$B,2,0)</f>
        <v>Trek Precaliber 24 21-speed Girl's - 2018</v>
      </c>
      <c r="I4276">
        <f>VLOOKUP(H4276,[1]products!$B:$D,3,0)</f>
        <v>1</v>
      </c>
      <c r="J4276" t="str">
        <f>VLOOKUP(I4276,[2]categories!$A$2:$B$8,2,0)</f>
        <v>Children Bicycles</v>
      </c>
    </row>
    <row r="4277" spans="1:10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 s="1">
        <f t="shared" si="66"/>
        <v>189.9905</v>
      </c>
      <c r="H4277" t="str">
        <f>VLOOKUP(C4277,[1]products!$A:$B,2,0)</f>
        <v>Trek Precaliber 12 Boy's - 2018</v>
      </c>
      <c r="I4277">
        <f>VLOOKUP(H4277,[1]products!$B:$D,3,0)</f>
        <v>1</v>
      </c>
      <c r="J4277" t="str">
        <f>VLOOKUP(I4277,[2]categories!$A$2:$B$8,2,0)</f>
        <v>Children Bicycles</v>
      </c>
    </row>
    <row r="4278" spans="1:10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0.07</v>
      </c>
      <c r="G4278" s="1">
        <f t="shared" si="66"/>
        <v>4649.9907</v>
      </c>
      <c r="H4278" t="str">
        <f>VLOOKUP(C4278,[1]products!$A:$B,2,0)</f>
        <v>Trek Madone 9.2 - 2017</v>
      </c>
      <c r="I4278">
        <f>VLOOKUP(H4278,[1]products!$B:$D,3,0)</f>
        <v>7</v>
      </c>
      <c r="J4278" t="str">
        <f>VLOOKUP(I4278,[2]categories!$A$2:$B$8,2,0)</f>
        <v>Road Bikes</v>
      </c>
    </row>
    <row r="4279" spans="1:10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0.07</v>
      </c>
      <c r="G4279" s="1">
        <f t="shared" si="66"/>
        <v>11159.9814</v>
      </c>
      <c r="H4279" t="str">
        <f>VLOOKUP(C4279,[1]products!$A:$B,2,0)</f>
        <v>Trek Silque SLR 7 Women's - 2017</v>
      </c>
      <c r="I4279">
        <f>VLOOKUP(H4279,[1]products!$B:$D,3,0)</f>
        <v>7</v>
      </c>
      <c r="J4279" t="str">
        <f>VLOOKUP(I4279,[2]categories!$A$2:$B$8,2,0)</f>
        <v>Road Bikes</v>
      </c>
    </row>
    <row r="4280" spans="1:10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 s="1">
        <f t="shared" si="66"/>
        <v>1279.984</v>
      </c>
      <c r="H4280" t="str">
        <f>VLOOKUP(C4280,[1]products!$A:$B,2,0)</f>
        <v>Electra Glam Punk 3i Ladies' - 2017</v>
      </c>
      <c r="I4280">
        <f>VLOOKUP(H4280,[1]products!$B:$D,3,0)</f>
        <v>3</v>
      </c>
      <c r="J4280" t="str">
        <f>VLOOKUP(I4280,[2]categories!$A$2:$B$8,2,0)</f>
        <v>Cruisers Bicycles</v>
      </c>
    </row>
    <row r="4281" spans="1:10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 s="1">
        <f t="shared" si="66"/>
        <v>1614.981</v>
      </c>
      <c r="H4281" t="str">
        <f>VLOOKUP(C4281,[1]products!$A:$B,2,0)</f>
        <v>Electra Relic 3i - 2018</v>
      </c>
      <c r="I4281">
        <f>VLOOKUP(H4281,[1]products!$B:$D,3,0)</f>
        <v>3</v>
      </c>
      <c r="J4281" t="str">
        <f>VLOOKUP(I4281,[2]categories!$A$2:$B$8,2,0)</f>
        <v>Cruisers Bicycles</v>
      </c>
    </row>
    <row r="4282" spans="1:10">
      <c r="A4282">
        <v>1469</v>
      </c>
      <c r="B4282">
        <v>3</v>
      </c>
      <c r="C4282">
        <v>182</v>
      </c>
      <c r="D4282">
        <v>1</v>
      </c>
      <c r="E4282">
        <v>2499.99</v>
      </c>
      <c r="F4282">
        <v>0.07</v>
      </c>
      <c r="G4282" s="1">
        <f t="shared" si="66"/>
        <v>2324.9907</v>
      </c>
      <c r="H4282" t="str">
        <f>VLOOKUP(C4282,[1]products!$A:$B,2,0)</f>
        <v>Trek Domane SL 5 Disc - 2018</v>
      </c>
      <c r="I4282">
        <f>VLOOKUP(H4282,[1]products!$B:$D,3,0)</f>
        <v>7</v>
      </c>
      <c r="J4282" t="str">
        <f>VLOOKUP(I4282,[2]categories!$A$2:$B$8,2,0)</f>
        <v>Road Bikes</v>
      </c>
    </row>
    <row r="4283" spans="1:10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 s="1">
        <f t="shared" si="66"/>
        <v>930.981</v>
      </c>
      <c r="H4283" t="str">
        <f>VLOOKUP(C4283,[1]products!$A:$B,2,0)</f>
        <v>Electra Townie 3i EQ (20-inch) - Boys' - 2017</v>
      </c>
      <c r="I4283">
        <f>VLOOKUP(H4283,[1]products!$B:$D,3,0)</f>
        <v>1</v>
      </c>
      <c r="J4283" t="str">
        <f>VLOOKUP(I4283,[2]categories!$A$2:$B$8,2,0)</f>
        <v>Children Bicycles</v>
      </c>
    </row>
    <row r="4284" spans="1:10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 s="1">
        <f t="shared" si="66"/>
        <v>847.782</v>
      </c>
      <c r="H4284" t="str">
        <f>VLOOKUP(C4284,[1]products!$A:$B,2,0)</f>
        <v>Sun Bicycles Drifter 7 - 2017</v>
      </c>
      <c r="I4284">
        <f>VLOOKUP(H4284,[1]products!$B:$D,3,0)</f>
        <v>2</v>
      </c>
      <c r="J4284" t="str">
        <f>VLOOKUP(I4284,[2]categories!$A$2:$B$8,2,0)</f>
        <v>Comfort Bicycles</v>
      </c>
    </row>
    <row r="4285" spans="1:10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 s="1">
        <f t="shared" si="66"/>
        <v>265.9905</v>
      </c>
      <c r="H4285" t="str">
        <f>VLOOKUP(C4285,[1]products!$A:$B,2,0)</f>
        <v>Electra Straight 8 1 (16-inch) - Boy's - 2018</v>
      </c>
      <c r="I4285">
        <f>VLOOKUP(H4285,[1]products!$B:$D,3,0)</f>
        <v>1</v>
      </c>
      <c r="J4285" t="str">
        <f>VLOOKUP(I4285,[2]categories!$A$2:$B$8,2,0)</f>
        <v>Children Bicycles</v>
      </c>
    </row>
    <row r="4286" spans="1:10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 s="1">
        <f t="shared" si="66"/>
        <v>5699.981</v>
      </c>
      <c r="H4286" t="str">
        <f>VLOOKUP(C4286,[1]products!$A:$B,2,0)</f>
        <v>Electra Townie Commute Go! Ladies' - 2018</v>
      </c>
      <c r="I4286">
        <f>VLOOKUP(H4286,[1]products!$B:$D,3,0)</f>
        <v>5</v>
      </c>
      <c r="J4286" t="str">
        <f>VLOOKUP(I4286,[2]categories!$A$2:$B$8,2,0)</f>
        <v>Electric Bikes</v>
      </c>
    </row>
    <row r="4287" spans="1:10">
      <c r="A4287">
        <v>1471</v>
      </c>
      <c r="B4287">
        <v>1</v>
      </c>
      <c r="C4287">
        <v>59</v>
      </c>
      <c r="D4287">
        <v>2</v>
      </c>
      <c r="E4287">
        <v>2599.99</v>
      </c>
      <c r="F4287">
        <v>0.2</v>
      </c>
      <c r="G4287" s="1">
        <f t="shared" si="66"/>
        <v>4159.984</v>
      </c>
      <c r="H4287" t="str">
        <f>VLOOKUP(C4287,[1]products!$A:$B,2,0)</f>
        <v>Trek Domane S 5 Disc - 2017</v>
      </c>
      <c r="I4287">
        <f>VLOOKUP(H4287,[1]products!$B:$D,3,0)</f>
        <v>7</v>
      </c>
      <c r="J4287" t="str">
        <f>VLOOKUP(I4287,[2]categories!$A$2:$B$8,2,0)</f>
        <v>Road Bikes</v>
      </c>
    </row>
    <row r="4288" spans="1:10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0.07</v>
      </c>
      <c r="G4288" s="1">
        <f t="shared" si="66"/>
        <v>1673.9907</v>
      </c>
      <c r="H4288" t="str">
        <f>VLOOKUP(C4288,[1]products!$A:$B,2,0)</f>
        <v>Trek Procaliber 6 - 2018</v>
      </c>
      <c r="I4288">
        <f>VLOOKUP(H4288,[1]products!$B:$D,3,0)</f>
        <v>6</v>
      </c>
      <c r="J4288" t="str">
        <f>VLOOKUP(I4288,[2]categories!$A$2:$B$8,2,0)</f>
        <v>Mountain Bikes</v>
      </c>
    </row>
    <row r="4289" spans="1:10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 s="1">
        <f t="shared" si="66"/>
        <v>87.992</v>
      </c>
      <c r="H4289" t="str">
        <f>VLOOKUP(C4289,[1]products!$A:$B,2,0)</f>
        <v>Sun Bicycles Lil Kitt'n - 2017</v>
      </c>
      <c r="I4289">
        <f>VLOOKUP(H4289,[1]products!$B:$D,3,0)</f>
        <v>1</v>
      </c>
      <c r="J4289" t="str">
        <f>VLOOKUP(I4289,[2]categories!$A$2:$B$8,2,0)</f>
        <v>Children Bicycles</v>
      </c>
    </row>
    <row r="4290" spans="1:10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 s="1">
        <f t="shared" ref="G4290:G4353" si="67">D4290*E4290*(1-F4290)</f>
        <v>639.992</v>
      </c>
      <c r="H4290" t="str">
        <f>VLOOKUP(C4290,[1]products!$A:$B,2,0)</f>
        <v>Electra Townie Balloon 3i EQ Ladies' - 2018</v>
      </c>
      <c r="I4290">
        <f>VLOOKUP(H4290,[1]products!$B:$D,3,0)</f>
        <v>3</v>
      </c>
      <c r="J4290" t="str">
        <f>VLOOKUP(I4290,[2]categories!$A$2:$B$8,2,0)</f>
        <v>Cruisers Bicycles</v>
      </c>
    </row>
    <row r="4291" spans="1:10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 s="1">
        <f t="shared" si="67"/>
        <v>175.984</v>
      </c>
      <c r="H4291" t="str">
        <f>VLOOKUP(C4291,[1]products!$A:$B,2,0)</f>
        <v>Sun Bicycles Lil Kitt'n - 2017</v>
      </c>
      <c r="I4291">
        <f>VLOOKUP(H4291,[1]products!$B:$D,3,0)</f>
        <v>1</v>
      </c>
      <c r="J4291" t="str">
        <f>VLOOKUP(I4291,[2]categories!$A$2:$B$8,2,0)</f>
        <v>Children Bicycles</v>
      </c>
    </row>
    <row r="4292" spans="1:10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0.07</v>
      </c>
      <c r="G4292" s="1">
        <f t="shared" si="67"/>
        <v>455.6907</v>
      </c>
      <c r="H4292" t="str">
        <f>VLOOKUP(C4292,[1]products!$A:$B,2,0)</f>
        <v>Electra Townie Original 7D - 2017</v>
      </c>
      <c r="I4292">
        <f>VLOOKUP(H4292,[1]products!$B:$D,3,0)</f>
        <v>3</v>
      </c>
      <c r="J4292" t="str">
        <f>VLOOKUP(I4292,[2]categories!$A$2:$B$8,2,0)</f>
        <v>Cruisers Bicycles</v>
      </c>
    </row>
    <row r="4293" spans="1:10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 s="1">
        <f t="shared" si="67"/>
        <v>719.992</v>
      </c>
      <c r="H4293" t="str">
        <f>VLOOKUP(C4293,[1]products!$A:$B,2,0)</f>
        <v>Electra Townie Balloon 7i EQ - 2018</v>
      </c>
      <c r="I4293">
        <f>VLOOKUP(H4293,[1]products!$B:$D,3,0)</f>
        <v>3</v>
      </c>
      <c r="J4293" t="str">
        <f>VLOOKUP(I4293,[2]categories!$A$2:$B$8,2,0)</f>
        <v>Cruisers Bicycles</v>
      </c>
    </row>
    <row r="4294" spans="1:10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 s="1">
        <f t="shared" si="67"/>
        <v>949.9905</v>
      </c>
      <c r="H4294" t="str">
        <f>VLOOKUP(C4294,[1]products!$A:$B,2,0)</f>
        <v>Trek Farley Carbon Frameset - 2018</v>
      </c>
      <c r="I4294">
        <f>VLOOKUP(H4294,[1]products!$B:$D,3,0)</f>
        <v>6</v>
      </c>
      <c r="J4294" t="str">
        <f>VLOOKUP(I4294,[2]categories!$A$2:$B$8,2,0)</f>
        <v>Mountain Bikes</v>
      </c>
    </row>
    <row r="4295" spans="1:10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 s="1">
        <f t="shared" si="67"/>
        <v>1709.981</v>
      </c>
      <c r="H4295" t="str">
        <f>VLOOKUP(C4295,[1]products!$A:$B,2,0)</f>
        <v>Electra Townie Balloon 7i EQ Ladies' - 2017/2018</v>
      </c>
      <c r="I4295">
        <f>VLOOKUP(H4295,[1]products!$B:$D,3,0)</f>
        <v>3</v>
      </c>
      <c r="J4295" t="str">
        <f>VLOOKUP(I4295,[2]categories!$A$2:$B$8,2,0)</f>
        <v>Cruisers Bicycles</v>
      </c>
    </row>
    <row r="4296" spans="1:10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0.07</v>
      </c>
      <c r="G4296" s="1">
        <f t="shared" si="67"/>
        <v>1673.9814</v>
      </c>
      <c r="H4296" t="str">
        <f>VLOOKUP(C4296,[1]products!$A:$B,2,0)</f>
        <v>Electra Townie Balloon 7i EQ - 2018</v>
      </c>
      <c r="I4296">
        <f>VLOOKUP(H4296,[1]products!$B:$D,3,0)</f>
        <v>3</v>
      </c>
      <c r="J4296" t="str">
        <f>VLOOKUP(I4296,[2]categories!$A$2:$B$8,2,0)</f>
        <v>Cruisers Bicycles</v>
      </c>
    </row>
    <row r="4297" spans="1:10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 s="1">
        <f t="shared" si="67"/>
        <v>3608.1</v>
      </c>
      <c r="H4297" t="str">
        <f>VLOOKUP(C4297,[1]products!$A:$B,2,0)</f>
        <v>Surly ECR - 2018</v>
      </c>
      <c r="I4297">
        <f>VLOOKUP(H4297,[1]products!$B:$D,3,0)</f>
        <v>7</v>
      </c>
      <c r="J4297" t="str">
        <f>VLOOKUP(I4297,[2]categories!$A$2:$B$8,2,0)</f>
        <v>Road Bikes</v>
      </c>
    </row>
    <row r="4298" spans="1:10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 s="1">
        <f t="shared" si="67"/>
        <v>959.984</v>
      </c>
      <c r="H4298" t="str">
        <f>VLOOKUP(C4298,[1]products!$A:$B,2,0)</f>
        <v>Electra Townie Original 7D EQ Ladies' - 2017/2018</v>
      </c>
      <c r="I4298">
        <f>VLOOKUP(H4298,[1]products!$B:$D,3,0)</f>
        <v>3</v>
      </c>
      <c r="J4298" t="str">
        <f>VLOOKUP(I4298,[2]categories!$A$2:$B$8,2,0)</f>
        <v>Cruisers Bicycles</v>
      </c>
    </row>
    <row r="4299" spans="1:10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0.07</v>
      </c>
      <c r="G4299" s="1">
        <f t="shared" si="67"/>
        <v>5951.9814</v>
      </c>
      <c r="H4299" t="str">
        <f>VLOOKUP(C4299,[1]products!$A:$B,2,0)</f>
        <v>Trek Fuel EX 8 29 XT - 2018</v>
      </c>
      <c r="I4299">
        <f>VLOOKUP(H4299,[1]products!$B:$D,3,0)</f>
        <v>6</v>
      </c>
      <c r="J4299" t="str">
        <f>VLOOKUP(I4299,[2]categories!$A$2:$B$8,2,0)</f>
        <v>Mountain Bikes</v>
      </c>
    </row>
    <row r="4300" spans="1:10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0.07</v>
      </c>
      <c r="G4300" s="1">
        <f t="shared" si="67"/>
        <v>650.9814</v>
      </c>
      <c r="H4300" t="str">
        <f>VLOOKUP(C4300,[1]products!$A:$B,2,0)</f>
        <v>Trek Precaliber 24 (21-Speed) - Girls - 2017</v>
      </c>
      <c r="I4300">
        <f>VLOOKUP(H4300,[1]products!$B:$D,3,0)</f>
        <v>1</v>
      </c>
      <c r="J4300" t="str">
        <f>VLOOKUP(I4300,[2]categories!$A$2:$B$8,2,0)</f>
        <v>Children Bicycles</v>
      </c>
    </row>
    <row r="4301" spans="1:10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0.07</v>
      </c>
      <c r="G4301" s="1">
        <f t="shared" si="67"/>
        <v>4928.9907</v>
      </c>
      <c r="H4301" t="str">
        <f>VLOOKUP(C4301,[1]products!$A:$B,2,0)</f>
        <v>Trek Fuel EX 9.8 27.5 Plus - 2017</v>
      </c>
      <c r="I4301">
        <f>VLOOKUP(H4301,[1]products!$B:$D,3,0)</f>
        <v>6</v>
      </c>
      <c r="J4301" t="str">
        <f>VLOOKUP(I4301,[2]categories!$A$2:$B$8,2,0)</f>
        <v>Mountain Bikes</v>
      </c>
    </row>
    <row r="4302" spans="1:10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 s="1">
        <f t="shared" si="67"/>
        <v>2519.991</v>
      </c>
      <c r="H4302" t="str">
        <f>VLOOKUP(C4302,[1]products!$A:$B,2,0)</f>
        <v>Electra Loft Go! 8i - 2018</v>
      </c>
      <c r="I4302">
        <f>VLOOKUP(H4302,[1]products!$B:$D,3,0)</f>
        <v>5</v>
      </c>
      <c r="J4302" t="str">
        <f>VLOOKUP(I4302,[2]categories!$A$2:$B$8,2,0)</f>
        <v>Electric Bikes</v>
      </c>
    </row>
    <row r="4303" spans="1:10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 s="1">
        <f t="shared" si="67"/>
        <v>521.982</v>
      </c>
      <c r="H4303" t="str">
        <f>VLOOKUP(C4303,[1]products!$A:$B,2,0)</f>
        <v>Strider Strider 20 Sport - 2018</v>
      </c>
      <c r="I4303">
        <f>VLOOKUP(H4303,[1]products!$B:$D,3,0)</f>
        <v>1</v>
      </c>
      <c r="J4303" t="str">
        <f>VLOOKUP(I4303,[2]categories!$A$2:$B$8,2,0)</f>
        <v>Children Bicycles</v>
      </c>
    </row>
    <row r="4304" spans="1:10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 s="1">
        <f t="shared" si="67"/>
        <v>2478.4</v>
      </c>
      <c r="H4304" t="str">
        <f>VLOOKUP(C4304,[1]products!$A:$B,2,0)</f>
        <v>Surly Straggler - 2018</v>
      </c>
      <c r="I4304">
        <f>VLOOKUP(H4304,[1]products!$B:$D,3,0)</f>
        <v>7</v>
      </c>
      <c r="J4304" t="str">
        <f>VLOOKUP(I4304,[2]categories!$A$2:$B$8,2,0)</f>
        <v>Road Bikes</v>
      </c>
    </row>
    <row r="4305" spans="1:10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 s="1">
        <f t="shared" si="67"/>
        <v>881.982</v>
      </c>
      <c r="H4305" t="str">
        <f>VLOOKUP(C4305,[1]products!$A:$B,2,0)</f>
        <v>Electra Townie 3i EQ (20-inch) - Boys' - 2017</v>
      </c>
      <c r="I4305">
        <f>VLOOKUP(H4305,[1]products!$B:$D,3,0)</f>
        <v>1</v>
      </c>
      <c r="J4305" t="str">
        <f>VLOOKUP(I4305,[2]categories!$A$2:$B$8,2,0)</f>
        <v>Children Bicycles</v>
      </c>
    </row>
    <row r="4306" spans="1:10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 s="1">
        <f t="shared" si="67"/>
        <v>799.992</v>
      </c>
      <c r="H4306" t="str">
        <f>VLOOKUP(C4306,[1]products!$A:$B,2,0)</f>
        <v>Trek Farley Carbon Frameset - 2018</v>
      </c>
      <c r="I4306">
        <f>VLOOKUP(H4306,[1]products!$B:$D,3,0)</f>
        <v>6</v>
      </c>
      <c r="J4306" t="str">
        <f>VLOOKUP(I4306,[2]categories!$A$2:$B$8,2,0)</f>
        <v>Mountain Bikes</v>
      </c>
    </row>
    <row r="4307" spans="1:10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 s="1">
        <f t="shared" si="67"/>
        <v>2849.9905</v>
      </c>
      <c r="H4307" t="str">
        <f>VLOOKUP(C4307,[1]products!$A:$B,2,0)</f>
        <v>Electra Townie Commute Go! Ladies' - 2018</v>
      </c>
      <c r="I4307">
        <f>VLOOKUP(H4307,[1]products!$B:$D,3,0)</f>
        <v>5</v>
      </c>
      <c r="J4307" t="str">
        <f>VLOOKUP(I4307,[2]categories!$A$2:$B$8,2,0)</f>
        <v>Electric Bikes</v>
      </c>
    </row>
    <row r="4308" spans="1:10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 s="1">
        <f t="shared" si="67"/>
        <v>809.991</v>
      </c>
      <c r="H4308" t="str">
        <f>VLOOKUP(C4308,[1]products!$A:$B,2,0)</f>
        <v>Electra Townie Commute 27D - 2018</v>
      </c>
      <c r="I4308">
        <f>VLOOKUP(H4308,[1]products!$B:$D,3,0)</f>
        <v>3</v>
      </c>
      <c r="J4308" t="str">
        <f>VLOOKUP(I4308,[2]categories!$A$2:$B$8,2,0)</f>
        <v>Cruisers Bicycles</v>
      </c>
    </row>
    <row r="4309" spans="1:10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 s="1">
        <f t="shared" si="67"/>
        <v>1349.982</v>
      </c>
      <c r="H4309" t="str">
        <f>VLOOKUP(C4309,[1]products!$A:$B,2,0)</f>
        <v>Electra Townie Balloon 8D EQ Ladies' - 2016/2017/2018</v>
      </c>
      <c r="I4309">
        <f>VLOOKUP(H4309,[1]products!$B:$D,3,0)</f>
        <v>3</v>
      </c>
      <c r="J4309" t="str">
        <f>VLOOKUP(I4309,[2]categories!$A$2:$B$8,2,0)</f>
        <v>Cruisers Bicycles</v>
      </c>
    </row>
    <row r="4310" spans="1:10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 s="1">
        <f t="shared" si="67"/>
        <v>1187.982</v>
      </c>
      <c r="H4310" t="str">
        <f>VLOOKUP(C4310,[1]products!$A:$B,2,0)</f>
        <v>Electra Amsterdam Original 3i Ladies' - 2017</v>
      </c>
      <c r="I4310">
        <f>VLOOKUP(H4310,[1]products!$B:$D,3,0)</f>
        <v>3</v>
      </c>
      <c r="J4310" t="str">
        <f>VLOOKUP(I4310,[2]categories!$A$2:$B$8,2,0)</f>
        <v>Cruisers Bicycles</v>
      </c>
    </row>
    <row r="4311" spans="1:10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0.07</v>
      </c>
      <c r="G4311" s="1">
        <f t="shared" si="67"/>
        <v>390.5814</v>
      </c>
      <c r="H4311" t="str">
        <f>VLOOKUP(C4311,[1]products!$A:$B,2,0)</f>
        <v>Haro Shredder 20 - 2017</v>
      </c>
      <c r="I4311">
        <f>VLOOKUP(H4311,[1]products!$B:$D,3,0)</f>
        <v>1</v>
      </c>
      <c r="J4311" t="str">
        <f>VLOOKUP(I4311,[2]categories!$A$2:$B$8,2,0)</f>
        <v>Children Bicycles</v>
      </c>
    </row>
    <row r="4312" spans="1:10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0.07</v>
      </c>
      <c r="G4312" s="1">
        <f t="shared" si="67"/>
        <v>1785.5814</v>
      </c>
      <c r="H4312" t="str">
        <f>VLOOKUP(C4312,[1]products!$A:$B,2,0)</f>
        <v>Electra Delivery 3i - 2016/2017/2018</v>
      </c>
      <c r="I4312">
        <f>VLOOKUP(H4312,[1]products!$B:$D,3,0)</f>
        <v>3</v>
      </c>
      <c r="J4312" t="str">
        <f>VLOOKUP(I4312,[2]categories!$A$2:$B$8,2,0)</f>
        <v>Cruisers Bicycles</v>
      </c>
    </row>
    <row r="4313" spans="1:10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0.07</v>
      </c>
      <c r="G4313" s="1">
        <f t="shared" si="67"/>
        <v>1394.9814</v>
      </c>
      <c r="H4313" t="str">
        <f>VLOOKUP(C4313,[1]products!$A:$B,2,0)</f>
        <v>Surly Ogre Frameset - 2017</v>
      </c>
      <c r="I4313">
        <f>VLOOKUP(H4313,[1]products!$B:$D,3,0)</f>
        <v>7</v>
      </c>
      <c r="J4313" t="str">
        <f>VLOOKUP(I4313,[2]categories!$A$2:$B$8,2,0)</f>
        <v>Road Bikes</v>
      </c>
    </row>
    <row r="4314" spans="1:10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 s="1">
        <f t="shared" si="67"/>
        <v>827.991</v>
      </c>
      <c r="H4314" t="str">
        <f>VLOOKUP(C4314,[1]products!$A:$B,2,0)</f>
        <v>Trek Stache Carbon Frameset - 2018</v>
      </c>
      <c r="I4314">
        <f>VLOOKUP(H4314,[1]products!$B:$D,3,0)</f>
        <v>6</v>
      </c>
      <c r="J4314" t="str">
        <f>VLOOKUP(I4314,[2]categories!$A$2:$B$8,2,0)</f>
        <v>Mountain Bikes</v>
      </c>
    </row>
    <row r="4315" spans="1:10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 s="1">
        <f t="shared" si="67"/>
        <v>1349.991</v>
      </c>
      <c r="H4315" t="str">
        <f>VLOOKUP(C4315,[1]products!$A:$B,2,0)</f>
        <v>Trek Emonda S 4 - 2017</v>
      </c>
      <c r="I4315">
        <f>VLOOKUP(H4315,[1]products!$B:$D,3,0)</f>
        <v>7</v>
      </c>
      <c r="J4315" t="str">
        <f>VLOOKUP(I4315,[2]categories!$A$2:$B$8,2,0)</f>
        <v>Road Bikes</v>
      </c>
    </row>
    <row r="4316" spans="1:10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 s="1">
        <f t="shared" si="67"/>
        <v>465.4905</v>
      </c>
      <c r="H4316" t="str">
        <f>VLOOKUP(C4316,[1]products!$A:$B,2,0)</f>
        <v>Trek Marlin 5 - 2018</v>
      </c>
      <c r="I4316">
        <f>VLOOKUP(H4316,[1]products!$B:$D,3,0)</f>
        <v>6</v>
      </c>
      <c r="J4316" t="str">
        <f>VLOOKUP(I4316,[2]categories!$A$2:$B$8,2,0)</f>
        <v>Mountain Bikes</v>
      </c>
    </row>
    <row r="4317" spans="1:10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0.07</v>
      </c>
      <c r="G4317" s="1">
        <f t="shared" si="67"/>
        <v>9299.9814</v>
      </c>
      <c r="H4317" t="str">
        <f>VLOOKUP(C4317,[1]products!$A:$B,2,0)</f>
        <v>Trek Madone 9.2 - 2017</v>
      </c>
      <c r="I4317">
        <f>VLOOKUP(H4317,[1]products!$B:$D,3,0)</f>
        <v>7</v>
      </c>
      <c r="J4317" t="str">
        <f>VLOOKUP(I4317,[2]categories!$A$2:$B$8,2,0)</f>
        <v>Road Bikes</v>
      </c>
    </row>
    <row r="4318" spans="1:10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 s="1">
        <f t="shared" si="67"/>
        <v>4749.9905</v>
      </c>
      <c r="H4318" t="str">
        <f>VLOOKUP(C4318,[1]products!$A:$B,2,0)</f>
        <v>Trek Fuel EX 9.8 29 - 2017</v>
      </c>
      <c r="I4318">
        <f>VLOOKUP(H4318,[1]products!$B:$D,3,0)</f>
        <v>6</v>
      </c>
      <c r="J4318" t="str">
        <f>VLOOKUP(I4318,[2]categories!$A$2:$B$8,2,0)</f>
        <v>Mountain Bikes</v>
      </c>
    </row>
    <row r="4319" spans="1:10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 s="1">
        <f t="shared" si="67"/>
        <v>9499.981</v>
      </c>
      <c r="H4319" t="str">
        <f>VLOOKUP(C4319,[1]products!$A:$B,2,0)</f>
        <v>Trek Super Commuter+ 8S - 2018</v>
      </c>
      <c r="I4319">
        <f>VLOOKUP(H4319,[1]products!$B:$D,3,0)</f>
        <v>5</v>
      </c>
      <c r="J4319" t="str">
        <f>VLOOKUP(I4319,[2]categories!$A$2:$B$8,2,0)</f>
        <v>Electric Bikes</v>
      </c>
    </row>
    <row r="4320" spans="1:10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 s="1">
        <f t="shared" si="67"/>
        <v>465.4905</v>
      </c>
      <c r="H4320" t="str">
        <f>VLOOKUP(C4320,[1]products!$A:$B,2,0)</f>
        <v>Trek Superfly 24 - 2017/2018</v>
      </c>
      <c r="I4320">
        <f>VLOOKUP(H4320,[1]products!$B:$D,3,0)</f>
        <v>1</v>
      </c>
      <c r="J4320" t="str">
        <f>VLOOKUP(I4320,[2]categories!$A$2:$B$8,2,0)</f>
        <v>Children Bicycles</v>
      </c>
    </row>
    <row r="4321" spans="1:10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0.07</v>
      </c>
      <c r="G4321" s="1">
        <f t="shared" si="67"/>
        <v>1264.7814</v>
      </c>
      <c r="H4321" t="str">
        <f>VLOOKUP(C4321,[1]products!$A:$B,2,0)</f>
        <v>Electra Townie Original 21D EQ - 2017/2018</v>
      </c>
      <c r="I4321">
        <f>VLOOKUP(H4321,[1]products!$B:$D,3,0)</f>
        <v>3</v>
      </c>
      <c r="J4321" t="str">
        <f>VLOOKUP(I4321,[2]categories!$A$2:$B$8,2,0)</f>
        <v>Cruisers Bicycles</v>
      </c>
    </row>
    <row r="4322" spans="1:10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0.07</v>
      </c>
      <c r="G4322" s="1">
        <f t="shared" si="67"/>
        <v>595.1814</v>
      </c>
      <c r="H4322" t="str">
        <f>VLOOKUP(C4322,[1]products!$A:$B,2,0)</f>
        <v>Electra Treasure 1 20" - 2018</v>
      </c>
      <c r="I4322">
        <f>VLOOKUP(H4322,[1]products!$B:$D,3,0)</f>
        <v>1</v>
      </c>
      <c r="J4322" t="str">
        <f>VLOOKUP(I4322,[2]categories!$A$2:$B$8,2,0)</f>
        <v>Children Bicycles</v>
      </c>
    </row>
    <row r="4323" spans="1:10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 s="1">
        <f t="shared" si="67"/>
        <v>5599.984</v>
      </c>
      <c r="H4323" t="str">
        <f>VLOOKUP(C4323,[1]products!$A:$B,2,0)</f>
        <v>Trek Domane SL 6 - 2017</v>
      </c>
      <c r="I4323">
        <f>VLOOKUP(H4323,[1]products!$B:$D,3,0)</f>
        <v>7</v>
      </c>
      <c r="J4323" t="str">
        <f>VLOOKUP(I4323,[2]categories!$A$2:$B$8,2,0)</f>
        <v>Road Bikes</v>
      </c>
    </row>
    <row r="4324" spans="1:10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 s="1">
        <f t="shared" si="67"/>
        <v>1291.981</v>
      </c>
      <c r="H4324" t="str">
        <f>VLOOKUP(C4324,[1]products!$A:$B,2,0)</f>
        <v>Electra Townie Original 21D EQ - 2017/2018</v>
      </c>
      <c r="I4324">
        <f>VLOOKUP(H4324,[1]products!$B:$D,3,0)</f>
        <v>3</v>
      </c>
      <c r="J4324" t="str">
        <f>VLOOKUP(I4324,[2]categories!$A$2:$B$8,2,0)</f>
        <v>Cruisers Bicycles</v>
      </c>
    </row>
    <row r="4325" spans="1:10">
      <c r="A4325">
        <v>1485</v>
      </c>
      <c r="B4325">
        <v>1</v>
      </c>
      <c r="C4325">
        <v>122</v>
      </c>
      <c r="D4325">
        <v>2</v>
      </c>
      <c r="E4325">
        <v>2499.99</v>
      </c>
      <c r="F4325">
        <v>0.2</v>
      </c>
      <c r="G4325" s="1">
        <f t="shared" si="67"/>
        <v>3999.984</v>
      </c>
      <c r="H4325" t="str">
        <f>VLOOKUP(C4325,[1]products!$A:$B,2,0)</f>
        <v>Surly Troll Frameset - 2018</v>
      </c>
      <c r="I4325">
        <f>VLOOKUP(H4325,[1]products!$B:$D,3,0)</f>
        <v>6</v>
      </c>
      <c r="J4325" t="str">
        <f>VLOOKUP(I4325,[2]categories!$A$2:$B$8,2,0)</f>
        <v>Mountain Bikes</v>
      </c>
    </row>
    <row r="4326" spans="1:10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 s="1">
        <f t="shared" si="67"/>
        <v>255.992</v>
      </c>
      <c r="H4326" t="str">
        <f>VLOOKUP(C4326,[1]products!$A:$B,2,0)</f>
        <v>Trek Precaliber 24 (7-Speed) - Boys - 2018</v>
      </c>
      <c r="I4326">
        <f>VLOOKUP(H4326,[1]products!$B:$D,3,0)</f>
        <v>1</v>
      </c>
      <c r="J4326" t="str">
        <f>VLOOKUP(I4326,[2]categories!$A$2:$B$8,2,0)</f>
        <v>Children Bicycles</v>
      </c>
    </row>
    <row r="4327" spans="1:10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 s="1">
        <f t="shared" si="67"/>
        <v>2963.981</v>
      </c>
      <c r="H4327" t="str">
        <f>VLOOKUP(C4327,[1]products!$A:$B,2,0)</f>
        <v>Sun Bicycles ElectroLite - 2017</v>
      </c>
      <c r="I4327">
        <f>VLOOKUP(H4327,[1]products!$B:$D,3,0)</f>
        <v>5</v>
      </c>
      <c r="J4327" t="str">
        <f>VLOOKUP(I4327,[2]categories!$A$2:$B$8,2,0)</f>
        <v>Electric Bikes</v>
      </c>
    </row>
    <row r="4328" spans="1:10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 s="1">
        <f t="shared" si="67"/>
        <v>465.4905</v>
      </c>
      <c r="H4328" t="str">
        <f>VLOOKUP(C4328,[1]products!$A:$B,2,0)</f>
        <v>Electra Straight 8 3i (20-inch) - Boy's - 2017</v>
      </c>
      <c r="I4328">
        <f>VLOOKUP(H4328,[1]products!$B:$D,3,0)</f>
        <v>1</v>
      </c>
      <c r="J4328" t="str">
        <f>VLOOKUP(I4328,[2]categories!$A$2:$B$8,2,0)</f>
        <v>Children Bicycles</v>
      </c>
    </row>
    <row r="4329" spans="1:10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 s="1">
        <f t="shared" si="67"/>
        <v>440.991</v>
      </c>
      <c r="H4329" t="str">
        <f>VLOOKUP(C4329,[1]products!$A:$B,2,0)</f>
        <v>Trek Marlin 5 - 2018</v>
      </c>
      <c r="I4329">
        <f>VLOOKUP(H4329,[1]products!$B:$D,3,0)</f>
        <v>6</v>
      </c>
      <c r="J4329" t="str">
        <f>VLOOKUP(I4329,[2]categories!$A$2:$B$8,2,0)</f>
        <v>Mountain Bikes</v>
      </c>
    </row>
    <row r="4330" spans="1:10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 s="1">
        <f t="shared" si="67"/>
        <v>179.991</v>
      </c>
      <c r="H4330" t="str">
        <f>VLOOKUP(C4330,[1]products!$A:$B,2,0)</f>
        <v>Trek Precaliber 12 Boy's - 2018</v>
      </c>
      <c r="I4330">
        <f>VLOOKUP(H4330,[1]products!$B:$D,3,0)</f>
        <v>1</v>
      </c>
      <c r="J4330" t="str">
        <f>VLOOKUP(I4330,[2]categories!$A$2:$B$8,2,0)</f>
        <v>Children Bicycles</v>
      </c>
    </row>
    <row r="4331" spans="1:10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0.07</v>
      </c>
      <c r="G4331" s="1">
        <f t="shared" si="67"/>
        <v>4184.9907</v>
      </c>
      <c r="H4331" t="str">
        <f>VLOOKUP(C4331,[1]products!$A:$B,2,0)</f>
        <v>Trek Emonda SLR 6 - 2018</v>
      </c>
      <c r="I4331">
        <f>VLOOKUP(H4331,[1]products!$B:$D,3,0)</f>
        <v>7</v>
      </c>
      <c r="J4331" t="str">
        <f>VLOOKUP(I4331,[2]categories!$A$2:$B$8,2,0)</f>
        <v>Road Bikes</v>
      </c>
    </row>
    <row r="4332" spans="1:10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 s="1">
        <f t="shared" si="67"/>
        <v>2479.984</v>
      </c>
      <c r="H4332" t="str">
        <f>VLOOKUP(C4332,[1]products!$A:$B,2,0)</f>
        <v>Trek Domane ALR 4 Disc Women's - 2018</v>
      </c>
      <c r="I4332">
        <f>VLOOKUP(H4332,[1]products!$B:$D,3,0)</f>
        <v>7</v>
      </c>
      <c r="J4332" t="str">
        <f>VLOOKUP(I4332,[2]categories!$A$2:$B$8,2,0)</f>
        <v>Road Bikes</v>
      </c>
    </row>
    <row r="4333" spans="1:10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 s="1">
        <f t="shared" si="67"/>
        <v>2849.9905</v>
      </c>
      <c r="H4333" t="str">
        <f>VLOOKUP(C4333,[1]products!$A:$B,2,0)</f>
        <v>Electra Townie Commute Go! - 2018</v>
      </c>
      <c r="I4333">
        <f>VLOOKUP(H4333,[1]products!$B:$D,3,0)</f>
        <v>5</v>
      </c>
      <c r="J4333" t="str">
        <f>VLOOKUP(I4333,[2]categories!$A$2:$B$8,2,0)</f>
        <v>Electric Bikes</v>
      </c>
    </row>
    <row r="4334" spans="1:10">
      <c r="A4334">
        <v>1487</v>
      </c>
      <c r="B4334">
        <v>4</v>
      </c>
      <c r="C4334">
        <v>196</v>
      </c>
      <c r="D4334">
        <v>1</v>
      </c>
      <c r="E4334">
        <v>2299.99</v>
      </c>
      <c r="F4334">
        <v>0.05</v>
      </c>
      <c r="G4334" s="1">
        <f t="shared" si="67"/>
        <v>2184.9905</v>
      </c>
      <c r="H4334" t="str">
        <f>VLOOKUP(C4334,[1]products!$A:$B,2,0)</f>
        <v>Trek Verve+ - 2018</v>
      </c>
      <c r="I4334">
        <f>VLOOKUP(H4334,[1]products!$B:$D,3,0)</f>
        <v>5</v>
      </c>
      <c r="J4334" t="str">
        <f>VLOOKUP(I4334,[2]categories!$A$2:$B$8,2,0)</f>
        <v>Electric Bikes</v>
      </c>
    </row>
    <row r="4335" spans="1:10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 s="1">
        <f t="shared" si="67"/>
        <v>559.984</v>
      </c>
      <c r="H4335" t="str">
        <f>VLOOKUP(C4335,[1]products!$A:$B,2,0)</f>
        <v>Electra Moto 3i (20-inch) - Boy's - 2017</v>
      </c>
      <c r="I4335">
        <f>VLOOKUP(H4335,[1]products!$B:$D,3,0)</f>
        <v>1</v>
      </c>
      <c r="J4335" t="str">
        <f>VLOOKUP(I4335,[2]categories!$A$2:$B$8,2,0)</f>
        <v>Children Bicycles</v>
      </c>
    </row>
    <row r="4336" spans="1:10">
      <c r="A4336">
        <v>1488</v>
      </c>
      <c r="B4336">
        <v>1</v>
      </c>
      <c r="C4336">
        <v>42</v>
      </c>
      <c r="D4336">
        <v>1</v>
      </c>
      <c r="E4336">
        <v>2299.99</v>
      </c>
      <c r="F4336">
        <v>0.07</v>
      </c>
      <c r="G4336" s="1">
        <f t="shared" si="67"/>
        <v>2138.9907</v>
      </c>
      <c r="H4336" t="str">
        <f>VLOOKUP(C4336,[1]products!$A:$B,2,0)</f>
        <v>Trek Fuel EX 5 27.5 Plus - 2017</v>
      </c>
      <c r="I4336">
        <f>VLOOKUP(H4336,[1]products!$B:$D,3,0)</f>
        <v>6</v>
      </c>
      <c r="J4336" t="str">
        <f>VLOOKUP(I4336,[2]categories!$A$2:$B$8,2,0)</f>
        <v>Mountain Bikes</v>
      </c>
    </row>
    <row r="4337" spans="1:10">
      <c r="A4337">
        <v>1488</v>
      </c>
      <c r="B4337">
        <v>2</v>
      </c>
      <c r="C4337">
        <v>122</v>
      </c>
      <c r="D4337">
        <v>1</v>
      </c>
      <c r="E4337">
        <v>2499.99</v>
      </c>
      <c r="F4337">
        <v>0.07</v>
      </c>
      <c r="G4337" s="1">
        <f t="shared" si="67"/>
        <v>2324.9907</v>
      </c>
      <c r="H4337" t="str">
        <f>VLOOKUP(C4337,[1]products!$A:$B,2,0)</f>
        <v>Surly Troll Frameset - 2018</v>
      </c>
      <c r="I4337">
        <f>VLOOKUP(H4337,[1]products!$B:$D,3,0)</f>
        <v>6</v>
      </c>
      <c r="J4337" t="str">
        <f>VLOOKUP(I4337,[2]categories!$A$2:$B$8,2,0)</f>
        <v>Mountain Bikes</v>
      </c>
    </row>
    <row r="4338" spans="1:10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 s="1">
        <f t="shared" si="67"/>
        <v>2399.992</v>
      </c>
      <c r="H4338" t="str">
        <f>VLOOKUP(C4338,[1]products!$A:$B,2,0)</f>
        <v>Electra Townie Commute Go! - 2018</v>
      </c>
      <c r="I4338">
        <f>VLOOKUP(H4338,[1]products!$B:$D,3,0)</f>
        <v>5</v>
      </c>
      <c r="J4338" t="str">
        <f>VLOOKUP(I4338,[2]categories!$A$2:$B$8,2,0)</f>
        <v>Electric Bikes</v>
      </c>
    </row>
    <row r="4339" spans="1:10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 s="1">
        <f t="shared" si="67"/>
        <v>447.984</v>
      </c>
      <c r="H4339" t="str">
        <f>VLOOKUP(C4339,[1]products!$A:$B,2,0)</f>
        <v>Electra Cyclosaurus 1 (16-inch) - Boy's - 2018</v>
      </c>
      <c r="I4339">
        <f>VLOOKUP(H4339,[1]products!$B:$D,3,0)</f>
        <v>1</v>
      </c>
      <c r="J4339" t="str">
        <f>VLOOKUP(I4339,[2]categories!$A$2:$B$8,2,0)</f>
        <v>Children Bicycles</v>
      </c>
    </row>
    <row r="4340" spans="1:10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 s="1">
        <f t="shared" si="67"/>
        <v>788.391</v>
      </c>
      <c r="H4340" t="str">
        <f>VLOOKUP(C4340,[1]products!$A:$B,2,0)</f>
        <v>Surly Steamroller - 2017</v>
      </c>
      <c r="I4340">
        <f>VLOOKUP(H4340,[1]products!$B:$D,3,0)</f>
        <v>7</v>
      </c>
      <c r="J4340" t="str">
        <f>VLOOKUP(I4340,[2]categories!$A$2:$B$8,2,0)</f>
        <v>Road Bikes</v>
      </c>
    </row>
    <row r="4341" spans="1:10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 s="1">
        <f t="shared" si="67"/>
        <v>269.991</v>
      </c>
      <c r="H4341" t="str">
        <f>VLOOKUP(C4341,[1]products!$A:$B,2,0)</f>
        <v>Electra Sugar Skulls 1 (20-inch) - Girl's - 2017</v>
      </c>
      <c r="I4341">
        <f>VLOOKUP(H4341,[1]products!$B:$D,3,0)</f>
        <v>1</v>
      </c>
      <c r="J4341" t="str">
        <f>VLOOKUP(I4341,[2]categories!$A$2:$B$8,2,0)</f>
        <v>Children Bicycles</v>
      </c>
    </row>
    <row r="4342" spans="1:10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 s="1">
        <f t="shared" si="67"/>
        <v>674.991</v>
      </c>
      <c r="H4342" t="str">
        <f>VLOOKUP(C4342,[1]products!$A:$B,2,0)</f>
        <v>Electra Townie Balloon 3i EQ - 2017/2018</v>
      </c>
      <c r="I4342">
        <f>VLOOKUP(H4342,[1]products!$B:$D,3,0)</f>
        <v>3</v>
      </c>
      <c r="J4342" t="str">
        <f>VLOOKUP(I4342,[2]categories!$A$2:$B$8,2,0)</f>
        <v>Cruisers Bicycles</v>
      </c>
    </row>
    <row r="4343" spans="1:10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 s="1">
        <f t="shared" si="67"/>
        <v>303.9905</v>
      </c>
      <c r="H4343" t="str">
        <f>VLOOKUP(C4343,[1]products!$A:$B,2,0)</f>
        <v>Electra Cruiser 7D - 2016/2017/2018</v>
      </c>
      <c r="I4343">
        <f>VLOOKUP(H4343,[1]products!$B:$D,3,0)</f>
        <v>3</v>
      </c>
      <c r="J4343" t="str">
        <f>VLOOKUP(I4343,[2]categories!$A$2:$B$8,2,0)</f>
        <v>Cruisers Bicycles</v>
      </c>
    </row>
    <row r="4344" spans="1:10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 s="1">
        <f t="shared" si="67"/>
        <v>479.984</v>
      </c>
      <c r="H4344" t="str">
        <f>VLOOKUP(C4344,[1]products!$A:$B,2,0)</f>
        <v>Electra Girl's Hawaii 1 16" - 2017</v>
      </c>
      <c r="I4344">
        <f>VLOOKUP(H4344,[1]products!$B:$D,3,0)</f>
        <v>3</v>
      </c>
      <c r="J4344" t="str">
        <f>VLOOKUP(I4344,[2]categories!$A$2:$B$8,2,0)</f>
        <v>Cruisers Bicycles</v>
      </c>
    </row>
    <row r="4345" spans="1:10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 s="1">
        <f t="shared" si="67"/>
        <v>427.4905</v>
      </c>
      <c r="H4345" t="str">
        <f>VLOOKUP(C4345,[1]products!$A:$B,2,0)</f>
        <v>Electra Townie Original 1 - 2018</v>
      </c>
      <c r="I4345">
        <f>VLOOKUP(H4345,[1]products!$B:$D,3,0)</f>
        <v>2</v>
      </c>
      <c r="J4345" t="str">
        <f>VLOOKUP(I4345,[2]categories!$A$2:$B$8,2,0)</f>
        <v>Comfort Bicycles</v>
      </c>
    </row>
    <row r="4346" spans="1:10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0.07</v>
      </c>
      <c r="G4346" s="1">
        <f t="shared" si="67"/>
        <v>2901.5814</v>
      </c>
      <c r="H4346" t="str">
        <f>VLOOKUP(C4346,[1]products!$A:$B,2,0)</f>
        <v>Sun Bicycles ElectroLite - 2017</v>
      </c>
      <c r="I4346">
        <f>VLOOKUP(H4346,[1]products!$B:$D,3,0)</f>
        <v>5</v>
      </c>
      <c r="J4346" t="str">
        <f>VLOOKUP(I4346,[2]categories!$A$2:$B$8,2,0)</f>
        <v>Electric Bikes</v>
      </c>
    </row>
    <row r="4347" spans="1:10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0.07</v>
      </c>
      <c r="G4347" s="1">
        <f t="shared" si="67"/>
        <v>5579.9814</v>
      </c>
      <c r="H4347" t="str">
        <f>VLOOKUP(C4347,[1]products!$A:$B,2,0)</f>
        <v>Trek Remedy 7 27.5 - 2018</v>
      </c>
      <c r="I4347">
        <f>VLOOKUP(H4347,[1]products!$B:$D,3,0)</f>
        <v>6</v>
      </c>
      <c r="J4347" t="str">
        <f>VLOOKUP(I4347,[2]categories!$A$2:$B$8,2,0)</f>
        <v>Mountain Bikes</v>
      </c>
    </row>
    <row r="4348" spans="1:10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 s="1">
        <f t="shared" si="67"/>
        <v>683.982</v>
      </c>
      <c r="H4348" t="str">
        <f>VLOOKUP(C4348,[1]products!$A:$B,2,0)</f>
        <v>Haro Flightline One ST - 2017</v>
      </c>
      <c r="I4348">
        <f>VLOOKUP(H4348,[1]products!$B:$D,3,0)</f>
        <v>6</v>
      </c>
      <c r="J4348" t="str">
        <f>VLOOKUP(I4348,[2]categories!$A$2:$B$8,2,0)</f>
        <v>Mountain Bikes</v>
      </c>
    </row>
    <row r="4349" spans="1:10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 s="1">
        <f t="shared" si="67"/>
        <v>386.991</v>
      </c>
      <c r="H4349" t="str">
        <f>VLOOKUP(C4349,[1]products!$A:$B,2,0)</f>
        <v>Electra Cruiser Lux 1 Ladies' - 2018</v>
      </c>
      <c r="I4349">
        <f>VLOOKUP(H4349,[1]products!$B:$D,3,0)</f>
        <v>3</v>
      </c>
      <c r="J4349" t="str">
        <f>VLOOKUP(I4349,[2]categories!$A$2:$B$8,2,0)</f>
        <v>Cruisers Bicycles</v>
      </c>
    </row>
    <row r="4350" spans="1:10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 s="1">
        <f t="shared" si="67"/>
        <v>773.982</v>
      </c>
      <c r="H4350" t="str">
        <f>VLOOKUP(C4350,[1]products!$A:$B,2,0)</f>
        <v>Electra Cruiser Lux 1 Ladies' - 2018</v>
      </c>
      <c r="I4350">
        <f>VLOOKUP(H4350,[1]products!$B:$D,3,0)</f>
        <v>3</v>
      </c>
      <c r="J4350" t="str">
        <f>VLOOKUP(I4350,[2]categories!$A$2:$B$8,2,0)</f>
        <v>Cruisers Bicycles</v>
      </c>
    </row>
    <row r="4351" spans="1:10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 s="1">
        <f t="shared" si="67"/>
        <v>1199.984</v>
      </c>
      <c r="H4351" t="str">
        <f>VLOOKUP(C4351,[1]products!$A:$B,2,0)</f>
        <v>Trek Domane AL 2 - 2018</v>
      </c>
      <c r="I4351">
        <f>VLOOKUP(H4351,[1]products!$B:$D,3,0)</f>
        <v>7</v>
      </c>
      <c r="J4351" t="str">
        <f>VLOOKUP(I4351,[2]categories!$A$2:$B$8,2,0)</f>
        <v>Road Bikes</v>
      </c>
    </row>
    <row r="4352" spans="1:10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 s="1">
        <f t="shared" si="67"/>
        <v>474.981</v>
      </c>
      <c r="H4352" t="str">
        <f>VLOOKUP(C4352,[1]products!$A:$B,2,0)</f>
        <v>Strider Sport 16 - 2018</v>
      </c>
      <c r="I4352">
        <f>VLOOKUP(H4352,[1]products!$B:$D,3,0)</f>
        <v>1</v>
      </c>
      <c r="J4352" t="str">
        <f>VLOOKUP(I4352,[2]categories!$A$2:$B$8,2,0)</f>
        <v>Children Bicycles</v>
      </c>
    </row>
    <row r="4353" spans="1:10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 s="1">
        <f t="shared" si="67"/>
        <v>702.981</v>
      </c>
      <c r="H4353" t="str">
        <f>VLOOKUP(C4353,[1]products!$A:$B,2,0)</f>
        <v>Electra Sweet Ride 3i (20-inch) - Girls' - 2018</v>
      </c>
      <c r="I4353">
        <f>VLOOKUP(H4353,[1]products!$B:$D,3,0)</f>
        <v>1</v>
      </c>
      <c r="J4353" t="str">
        <f>VLOOKUP(I4353,[2]categories!$A$2:$B$8,2,0)</f>
        <v>Children Bicycles</v>
      </c>
    </row>
    <row r="4354" spans="1:10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 s="1">
        <f t="shared" ref="G4354:G4417" si="68">D4354*E4354*(1-F4354)</f>
        <v>1199.984</v>
      </c>
      <c r="H4354" t="str">
        <f>VLOOKUP(C4354,[1]products!$A:$B,2,0)</f>
        <v>Electra Townie Balloon 8D EQ Ladies' - 2016/2017/2018</v>
      </c>
      <c r="I4354">
        <f>VLOOKUP(H4354,[1]products!$B:$D,3,0)</f>
        <v>3</v>
      </c>
      <c r="J4354" t="str">
        <f>VLOOKUP(I4354,[2]categories!$A$2:$B$8,2,0)</f>
        <v>Cruisers Bicycles</v>
      </c>
    </row>
    <row r="4355" spans="1:10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 s="1">
        <f t="shared" si="68"/>
        <v>2339.1</v>
      </c>
      <c r="H4355" t="str">
        <f>VLOOKUP(C4355,[1]products!$A:$B,2,0)</f>
        <v>Heller Shagamaw GX1 - 2018</v>
      </c>
      <c r="I4355">
        <f>VLOOKUP(H4355,[1]products!$B:$D,3,0)</f>
        <v>6</v>
      </c>
      <c r="J4355" t="str">
        <f>VLOOKUP(I4355,[2]categories!$A$2:$B$8,2,0)</f>
        <v>Mountain Bikes</v>
      </c>
    </row>
    <row r="4356" spans="1:10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0.07</v>
      </c>
      <c r="G4356" s="1">
        <f t="shared" si="68"/>
        <v>557.9907</v>
      </c>
      <c r="H4356" t="str">
        <f>VLOOKUP(C4356,[1]products!$A:$B,2,0)</f>
        <v>Electra Townie Original 7D EQ Ladies' - 2017/2018</v>
      </c>
      <c r="I4356">
        <f>VLOOKUP(H4356,[1]products!$B:$D,3,0)</f>
        <v>3</v>
      </c>
      <c r="J4356" t="str">
        <f>VLOOKUP(I4356,[2]categories!$A$2:$B$8,2,0)</f>
        <v>Cruisers Bicycles</v>
      </c>
    </row>
    <row r="4357" spans="1:10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0.07</v>
      </c>
      <c r="G4357" s="1">
        <f t="shared" si="68"/>
        <v>836.9907</v>
      </c>
      <c r="H4357" t="str">
        <f>VLOOKUP(C4357,[1]products!$A:$B,2,0)</f>
        <v>Electra Tiger Shark 3i - 2018</v>
      </c>
      <c r="I4357">
        <f>VLOOKUP(H4357,[1]products!$B:$D,3,0)</f>
        <v>3</v>
      </c>
      <c r="J4357" t="str">
        <f>VLOOKUP(I4357,[2]categories!$A$2:$B$8,2,0)</f>
        <v>Cruisers Bicycles</v>
      </c>
    </row>
    <row r="4358" spans="1:10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 s="1">
        <f t="shared" si="68"/>
        <v>911.981</v>
      </c>
      <c r="H4358" t="str">
        <f>VLOOKUP(C4358,[1]products!$A:$B,2,0)</f>
        <v>Electra Cruiser Lux 7D - 2018</v>
      </c>
      <c r="I4358">
        <f>VLOOKUP(H4358,[1]products!$B:$D,3,0)</f>
        <v>3</v>
      </c>
      <c r="J4358" t="str">
        <f>VLOOKUP(I4358,[2]categories!$A$2:$B$8,2,0)</f>
        <v>Cruisers Bicycles</v>
      </c>
    </row>
    <row r="4359" spans="1:10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 s="1">
        <f t="shared" si="68"/>
        <v>427.4905</v>
      </c>
      <c r="H4359" t="str">
        <f>VLOOKUP(C4359,[1]products!$A:$B,2,0)</f>
        <v>Electra Townie Original 1 - 2018</v>
      </c>
      <c r="I4359">
        <f>VLOOKUP(H4359,[1]products!$B:$D,3,0)</f>
        <v>2</v>
      </c>
      <c r="J4359" t="str">
        <f>VLOOKUP(I4359,[2]categories!$A$2:$B$8,2,0)</f>
        <v>Comfort Bicycles</v>
      </c>
    </row>
    <row r="4360" spans="1:10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 s="1">
        <f t="shared" si="68"/>
        <v>1535.984</v>
      </c>
      <c r="H4360" t="str">
        <f>VLOOKUP(C4360,[1]products!$A:$B,2,0)</f>
        <v>Electra Delivery 3i - 2016/2017/2018</v>
      </c>
      <c r="I4360">
        <f>VLOOKUP(H4360,[1]products!$B:$D,3,0)</f>
        <v>3</v>
      </c>
      <c r="J4360" t="str">
        <f>VLOOKUP(I4360,[2]categories!$A$2:$B$8,2,0)</f>
        <v>Cruisers Bicycles</v>
      </c>
    </row>
    <row r="4361" spans="1:10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 s="1">
        <f t="shared" si="68"/>
        <v>2559.984</v>
      </c>
      <c r="H4361" t="str">
        <f>VLOOKUP(C4361,[1]products!$A:$B,2,0)</f>
        <v>Trek Stache 5 - 2018</v>
      </c>
      <c r="I4361">
        <f>VLOOKUP(H4361,[1]products!$B:$D,3,0)</f>
        <v>6</v>
      </c>
      <c r="J4361" t="str">
        <f>VLOOKUP(I4361,[2]categories!$A$2:$B$8,2,0)</f>
        <v>Mountain Bikes</v>
      </c>
    </row>
    <row r="4362" spans="1:10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 s="1">
        <f t="shared" si="68"/>
        <v>5399.982</v>
      </c>
      <c r="H4362" t="str">
        <f>VLOOKUP(C4362,[1]products!$A:$B,2,0)</f>
        <v>Electra Townie Commute Go! - 2018</v>
      </c>
      <c r="I4362">
        <f>VLOOKUP(H4362,[1]products!$B:$D,3,0)</f>
        <v>5</v>
      </c>
      <c r="J4362" t="str">
        <f>VLOOKUP(I4362,[2]categories!$A$2:$B$8,2,0)</f>
        <v>Electric Bikes</v>
      </c>
    </row>
    <row r="4363" spans="1:10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0.07</v>
      </c>
      <c r="G4363" s="1">
        <f t="shared" si="68"/>
        <v>6695.9814</v>
      </c>
      <c r="H4363" t="str">
        <f>VLOOKUP(C4363,[1]products!$A:$B,2,0)</f>
        <v>Trek Super Commuter+ 7 - 2018</v>
      </c>
      <c r="I4363">
        <f>VLOOKUP(H4363,[1]products!$B:$D,3,0)</f>
        <v>5</v>
      </c>
      <c r="J4363" t="str">
        <f>VLOOKUP(I4363,[2]categories!$A$2:$B$8,2,0)</f>
        <v>Electric Bikes</v>
      </c>
    </row>
    <row r="4364" spans="1:10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 s="1">
        <f t="shared" si="68"/>
        <v>3039.9905</v>
      </c>
      <c r="H4364" t="str">
        <f>VLOOKUP(C4364,[1]products!$A:$B,2,0)</f>
        <v>Trek Domane ALR Disc Frameset - 2018</v>
      </c>
      <c r="I4364">
        <f>VLOOKUP(H4364,[1]products!$B:$D,3,0)</f>
        <v>7</v>
      </c>
      <c r="J4364" t="str">
        <f>VLOOKUP(I4364,[2]categories!$A$2:$B$8,2,0)</f>
        <v>Road Bikes</v>
      </c>
    </row>
    <row r="4365" spans="1:10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0.07</v>
      </c>
      <c r="G4365" s="1">
        <f t="shared" si="68"/>
        <v>1487.9814</v>
      </c>
      <c r="H4365" t="str">
        <f>VLOOKUP(C4365,[1]products!$A:$B,2,0)</f>
        <v>Electra Townie Balloon 3i EQ Ladies' - 2018</v>
      </c>
      <c r="I4365">
        <f>VLOOKUP(H4365,[1]products!$B:$D,3,0)</f>
        <v>3</v>
      </c>
      <c r="J4365" t="str">
        <f>VLOOKUP(I4365,[2]categories!$A$2:$B$8,2,0)</f>
        <v>Cruisers Bicycles</v>
      </c>
    </row>
    <row r="4366" spans="1:10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 s="1">
        <f t="shared" si="68"/>
        <v>447.4405</v>
      </c>
      <c r="H4366" t="str">
        <f>VLOOKUP(C4366,[1]products!$A:$B,2,0)</f>
        <v>Sun Bicycles Drifter 7 - 2017</v>
      </c>
      <c r="I4366">
        <f>VLOOKUP(H4366,[1]products!$B:$D,3,0)</f>
        <v>2</v>
      </c>
      <c r="J4366" t="str">
        <f>VLOOKUP(I4366,[2]categories!$A$2:$B$8,2,0)</f>
        <v>Comfort Bicycles</v>
      </c>
    </row>
    <row r="4367" spans="1:10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0.07</v>
      </c>
      <c r="G4367" s="1">
        <f t="shared" si="68"/>
        <v>1673.9907</v>
      </c>
      <c r="H4367" t="str">
        <f>VLOOKUP(C4367,[1]products!$A:$B,2,0)</f>
        <v>Trek Crockett 5 Disc - 2018</v>
      </c>
      <c r="I4367">
        <f>VLOOKUP(H4367,[1]products!$B:$D,3,0)</f>
        <v>4</v>
      </c>
      <c r="J4367" t="str">
        <f>VLOOKUP(I4367,[2]categories!$A$2:$B$8,2,0)</f>
        <v>Cyclocross Bicycles</v>
      </c>
    </row>
    <row r="4368" spans="1:10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 s="1">
        <f t="shared" si="68"/>
        <v>303.981</v>
      </c>
      <c r="H4368" t="str">
        <f>VLOOKUP(C4368,[1]products!$A:$B,2,0)</f>
        <v>Trek Kickster - 2018</v>
      </c>
      <c r="I4368">
        <f>VLOOKUP(H4368,[1]products!$B:$D,3,0)</f>
        <v>1</v>
      </c>
      <c r="J4368" t="str">
        <f>VLOOKUP(I4368,[2]categories!$A$2:$B$8,2,0)</f>
        <v>Children Bicycles</v>
      </c>
    </row>
    <row r="4369" spans="1:10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 s="1">
        <f t="shared" si="68"/>
        <v>712.4905</v>
      </c>
      <c r="H4369" t="str">
        <f>VLOOKUP(C4369,[1]products!$A:$B,2,0)</f>
        <v>Ritchey Timberwolf Frameset - 2016</v>
      </c>
      <c r="I4369">
        <f>VLOOKUP(H4369,[1]products!$B:$D,3,0)</f>
        <v>6</v>
      </c>
      <c r="J4369" t="str">
        <f>VLOOKUP(I4369,[2]categories!$A$2:$B$8,2,0)</f>
        <v>Mountain Bikes</v>
      </c>
    </row>
    <row r="4370" spans="1:10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 s="1">
        <f t="shared" si="68"/>
        <v>5759.982</v>
      </c>
      <c r="H4370" t="str">
        <f>VLOOKUP(C4370,[1]products!$A:$B,2,0)</f>
        <v>Trek Domane SL 6 - 2018</v>
      </c>
      <c r="I4370">
        <f>VLOOKUP(H4370,[1]products!$B:$D,3,0)</f>
        <v>7</v>
      </c>
      <c r="J4370" t="str">
        <f>VLOOKUP(I4370,[2]categories!$A$2:$B$8,2,0)</f>
        <v>Road Bikes</v>
      </c>
    </row>
    <row r="4371" spans="1:10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0.07</v>
      </c>
      <c r="G4371" s="1">
        <f t="shared" si="68"/>
        <v>2734.1814</v>
      </c>
      <c r="H4371" t="str">
        <f>VLOOKUP(C4371,[1]products!$A:$B,2,0)</f>
        <v>Haro Shift R3 - 2017</v>
      </c>
      <c r="I4371">
        <f>VLOOKUP(H4371,[1]products!$B:$D,3,0)</f>
        <v>6</v>
      </c>
      <c r="J4371" t="str">
        <f>VLOOKUP(I4371,[2]categories!$A$2:$B$8,2,0)</f>
        <v>Mountain Bikes</v>
      </c>
    </row>
    <row r="4372" spans="1:10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0.07</v>
      </c>
      <c r="G4372" s="1">
        <f t="shared" si="68"/>
        <v>297.5907</v>
      </c>
      <c r="H4372" t="str">
        <f>VLOOKUP(C4372,[1]products!$A:$B,2,0)</f>
        <v>Electra Tiger Shark 1 (20-inch) - Boys' - 2018</v>
      </c>
      <c r="I4372">
        <f>VLOOKUP(H4372,[1]products!$B:$D,3,0)</f>
        <v>1</v>
      </c>
      <c r="J4372" t="str">
        <f>VLOOKUP(I4372,[2]categories!$A$2:$B$8,2,0)</f>
        <v>Children Bicycles</v>
      </c>
    </row>
    <row r="4373" spans="1:10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 s="1">
        <f t="shared" si="68"/>
        <v>569.9905</v>
      </c>
      <c r="H4373" t="str">
        <f>VLOOKUP(C4373,[1]products!$A:$B,2,0)</f>
        <v>Electra Townie Original 7D EQ Ladies' - 2017/2018</v>
      </c>
      <c r="I4373">
        <f>VLOOKUP(H4373,[1]products!$B:$D,3,0)</f>
        <v>3</v>
      </c>
      <c r="J4373" t="str">
        <f>VLOOKUP(I4373,[2]categories!$A$2:$B$8,2,0)</f>
        <v>Cruisers Bicycles</v>
      </c>
    </row>
    <row r="4374" spans="1:10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0.07</v>
      </c>
      <c r="G4374" s="1">
        <f t="shared" si="68"/>
        <v>595.1907</v>
      </c>
      <c r="H4374" t="str">
        <f>VLOOKUP(C4374,[1]products!$A:$B,2,0)</f>
        <v>Electra Moto 3i - 2018</v>
      </c>
      <c r="I4374">
        <f>VLOOKUP(H4374,[1]products!$B:$D,3,0)</f>
        <v>3</v>
      </c>
      <c r="J4374" t="str">
        <f>VLOOKUP(I4374,[2]categories!$A$2:$B$8,2,0)</f>
        <v>Cruisers Bicycles</v>
      </c>
    </row>
    <row r="4375" spans="1:10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 s="1">
        <f t="shared" si="68"/>
        <v>503.4905</v>
      </c>
      <c r="H4375" t="str">
        <f>VLOOKUP(C4375,[1]products!$A:$B,2,0)</f>
        <v>Electra Moto 1 - 2016</v>
      </c>
      <c r="I4375">
        <f>VLOOKUP(H4375,[1]products!$B:$D,3,0)</f>
        <v>3</v>
      </c>
      <c r="J4375" t="str">
        <f>VLOOKUP(I4375,[2]categories!$A$2:$B$8,2,0)</f>
        <v>Cruisers Bicycles</v>
      </c>
    </row>
    <row r="4376" spans="1:10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 s="1">
        <f t="shared" si="68"/>
        <v>200.792</v>
      </c>
      <c r="H4376" t="str">
        <f>VLOOKUP(C4376,[1]products!$A:$B,2,0)</f>
        <v>Sun Bicycles Revolutions 24 - Girl's - 2017</v>
      </c>
      <c r="I4376">
        <f>VLOOKUP(H4376,[1]products!$B:$D,3,0)</f>
        <v>3</v>
      </c>
      <c r="J4376" t="str">
        <f>VLOOKUP(I4376,[2]categories!$A$2:$B$8,2,0)</f>
        <v>Cruisers Bicycles</v>
      </c>
    </row>
    <row r="4377" spans="1:10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 s="1">
        <f t="shared" si="68"/>
        <v>1471.55</v>
      </c>
      <c r="H4377" t="str">
        <f>VLOOKUP(C4377,[1]products!$A:$B,2,0)</f>
        <v>Surly Straggler - 2018</v>
      </c>
      <c r="I4377">
        <f>VLOOKUP(H4377,[1]products!$B:$D,3,0)</f>
        <v>7</v>
      </c>
      <c r="J4377" t="str">
        <f>VLOOKUP(I4377,[2]categories!$A$2:$B$8,2,0)</f>
        <v>Road Bikes</v>
      </c>
    </row>
    <row r="4378" spans="1:10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 s="1">
        <f t="shared" si="68"/>
        <v>847.984</v>
      </c>
      <c r="H4378" t="str">
        <f>VLOOKUP(C4378,[1]products!$A:$B,2,0)</f>
        <v>Electra Cruiser Lux 3i Ladies' - 2018</v>
      </c>
      <c r="I4378">
        <f>VLOOKUP(H4378,[1]products!$B:$D,3,0)</f>
        <v>3</v>
      </c>
      <c r="J4378" t="str">
        <f>VLOOKUP(I4378,[2]categories!$A$2:$B$8,2,0)</f>
        <v>Cruisers Bicycles</v>
      </c>
    </row>
    <row r="4379" spans="1:10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0.07</v>
      </c>
      <c r="G4379" s="1">
        <f t="shared" si="68"/>
        <v>835.14</v>
      </c>
      <c r="H4379" t="str">
        <f>VLOOKUP(C4379,[1]products!$A:$B,2,0)</f>
        <v>Pure Cycles William 3-Speed - 2016</v>
      </c>
      <c r="I4379">
        <f>VLOOKUP(H4379,[1]products!$B:$D,3,0)</f>
        <v>3</v>
      </c>
      <c r="J4379" t="str">
        <f>VLOOKUP(I4379,[2]categories!$A$2:$B$8,2,0)</f>
        <v>Cruisers Bicycles</v>
      </c>
    </row>
    <row r="4380" spans="1:10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0.07</v>
      </c>
      <c r="G4380" s="1">
        <f t="shared" si="68"/>
        <v>1115.9814</v>
      </c>
      <c r="H4380" t="str">
        <f>VLOOKUP(C4380,[1]products!$A:$B,2,0)</f>
        <v>Electra Townie Original 7D EQ - 2016</v>
      </c>
      <c r="I4380">
        <f>VLOOKUP(H4380,[1]products!$B:$D,3,0)</f>
        <v>3</v>
      </c>
      <c r="J4380" t="str">
        <f>VLOOKUP(I4380,[2]categories!$A$2:$B$8,2,0)</f>
        <v>Cruisers Bicycles</v>
      </c>
    </row>
    <row r="4381" spans="1:10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 s="1">
        <f t="shared" si="68"/>
        <v>127.992</v>
      </c>
      <c r="H4381" t="str">
        <f>VLOOKUP(C4381,[1]products!$A:$B,2,0)</f>
        <v>Trek Kickster - 2018</v>
      </c>
      <c r="I4381">
        <f>VLOOKUP(H4381,[1]products!$B:$D,3,0)</f>
        <v>1</v>
      </c>
      <c r="J4381" t="str">
        <f>VLOOKUP(I4381,[2]categories!$A$2:$B$8,2,0)</f>
        <v>Children Bicycles</v>
      </c>
    </row>
    <row r="4382" spans="1:10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0.07</v>
      </c>
      <c r="G4382" s="1">
        <f t="shared" si="68"/>
        <v>836.9907</v>
      </c>
      <c r="H4382" t="str">
        <f>VLOOKUP(C4382,[1]products!$A:$B,2,0)</f>
        <v>Electra Townie Balloon 7i EQ Ladies' - 2017/2018</v>
      </c>
      <c r="I4382">
        <f>VLOOKUP(H4382,[1]products!$B:$D,3,0)</f>
        <v>3</v>
      </c>
      <c r="J4382" t="str">
        <f>VLOOKUP(I4382,[2]categories!$A$2:$B$8,2,0)</f>
        <v>Cruisers Bicycles</v>
      </c>
    </row>
    <row r="4383" spans="1:10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 s="1">
        <f t="shared" si="68"/>
        <v>818.991</v>
      </c>
      <c r="H4383" t="str">
        <f>VLOOKUP(C4383,[1]products!$A:$B,2,0)</f>
        <v>Electra Straight 8 3i - 2018</v>
      </c>
      <c r="I4383">
        <f>VLOOKUP(H4383,[1]products!$B:$D,3,0)</f>
        <v>3</v>
      </c>
      <c r="J4383" t="str">
        <f>VLOOKUP(I4383,[2]categories!$A$2:$B$8,2,0)</f>
        <v>Cruisers Bicycles</v>
      </c>
    </row>
    <row r="4384" spans="1:10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 s="1">
        <f t="shared" si="68"/>
        <v>854.981</v>
      </c>
      <c r="H4384" t="str">
        <f>VLOOKUP(C4384,[1]products!$A:$B,2,0)</f>
        <v>Electra Townie Original 1 - 2018</v>
      </c>
      <c r="I4384">
        <f>VLOOKUP(H4384,[1]products!$B:$D,3,0)</f>
        <v>2</v>
      </c>
      <c r="J4384" t="str">
        <f>VLOOKUP(I4384,[2]categories!$A$2:$B$8,2,0)</f>
        <v>Comfort Bicycles</v>
      </c>
    </row>
    <row r="4385" spans="1:10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0.07</v>
      </c>
      <c r="G4385" s="1">
        <f t="shared" si="68"/>
        <v>297.5907</v>
      </c>
      <c r="H4385" t="str">
        <f>VLOOKUP(C4385,[1]products!$A:$B,2,0)</f>
        <v>Trek Precaliber 24 (7-Speed) - Boys - 2018</v>
      </c>
      <c r="I4385">
        <f>VLOOKUP(H4385,[1]products!$B:$D,3,0)</f>
        <v>1</v>
      </c>
      <c r="J4385" t="str">
        <f>VLOOKUP(I4385,[2]categories!$A$2:$B$8,2,0)</f>
        <v>Children Bicycles</v>
      </c>
    </row>
    <row r="4386" spans="1:10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 s="1">
        <f t="shared" si="68"/>
        <v>1006.981</v>
      </c>
      <c r="H4386" t="str">
        <f>VLOOKUP(C4386,[1]products!$A:$B,2,0)</f>
        <v>Electra Cruiser Lux 3i - 2018</v>
      </c>
      <c r="I4386">
        <f>VLOOKUP(H4386,[1]products!$B:$D,3,0)</f>
        <v>3</v>
      </c>
      <c r="J4386" t="str">
        <f>VLOOKUP(I4386,[2]categories!$A$2:$B$8,2,0)</f>
        <v>Cruisers Bicycles</v>
      </c>
    </row>
    <row r="4387" spans="1:10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0.07</v>
      </c>
      <c r="G4387" s="1">
        <f t="shared" si="68"/>
        <v>1022.9814</v>
      </c>
      <c r="H4387" t="str">
        <f>VLOOKUP(C4387,[1]products!$A:$B,2,0)</f>
        <v>Electra Townie Original 21D - 2016</v>
      </c>
      <c r="I4387">
        <f>VLOOKUP(H4387,[1]products!$B:$D,3,0)</f>
        <v>3</v>
      </c>
      <c r="J4387" t="str">
        <f>VLOOKUP(I4387,[2]categories!$A$2:$B$8,2,0)</f>
        <v>Cruisers Bicycles</v>
      </c>
    </row>
    <row r="4388" spans="1:10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 s="1">
        <f t="shared" si="68"/>
        <v>10069.981</v>
      </c>
      <c r="H4388" t="str">
        <f>VLOOKUP(C4388,[1]products!$A:$B,2,0)</f>
        <v>Trek Fuel EX 9.8 27.5 Plus - 2017</v>
      </c>
      <c r="I4388">
        <f>VLOOKUP(H4388,[1]products!$B:$D,3,0)</f>
        <v>6</v>
      </c>
      <c r="J4388" t="str">
        <f>VLOOKUP(I4388,[2]categories!$A$2:$B$8,2,0)</f>
        <v>Mountain Bikes</v>
      </c>
    </row>
    <row r="4389" spans="1:10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 s="1">
        <f t="shared" si="68"/>
        <v>3324.9905</v>
      </c>
      <c r="H4389" t="str">
        <f>VLOOKUP(C4389,[1]products!$A:$B,2,0)</f>
        <v>Trek Domane SL 6 Disc - 2018</v>
      </c>
      <c r="I4389">
        <f>VLOOKUP(H4389,[1]products!$B:$D,3,0)</f>
        <v>7</v>
      </c>
      <c r="J4389" t="str">
        <f>VLOOKUP(I4389,[2]categories!$A$2:$B$8,2,0)</f>
        <v>Road Bikes</v>
      </c>
    </row>
    <row r="4390" spans="1:10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 s="1">
        <f t="shared" si="68"/>
        <v>7999.984</v>
      </c>
      <c r="H4390" t="str">
        <f>VLOOKUP(C4390,[1]products!$A:$B,2,0)</f>
        <v>Trek Domane SL 7 Women's - 2018</v>
      </c>
      <c r="I4390">
        <f>VLOOKUP(H4390,[1]products!$B:$D,3,0)</f>
        <v>7</v>
      </c>
      <c r="J4390" t="str">
        <f>VLOOKUP(I4390,[2]categories!$A$2:$B$8,2,0)</f>
        <v>Road Bikes</v>
      </c>
    </row>
    <row r="4391" spans="1:10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 s="1">
        <f t="shared" si="68"/>
        <v>14249.981</v>
      </c>
      <c r="H4391" t="str">
        <f>VLOOKUP(C4391,[1]products!$A:$B,2,0)</f>
        <v>Trek Domane SLR 8 Disc - 2018</v>
      </c>
      <c r="I4391">
        <f>VLOOKUP(H4391,[1]products!$B:$D,3,0)</f>
        <v>7</v>
      </c>
      <c r="J4391" t="str">
        <f>VLOOKUP(I4391,[2]categories!$A$2:$B$8,2,0)</f>
        <v>Road Bikes</v>
      </c>
    </row>
    <row r="4392" spans="1:10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 s="1">
        <f t="shared" si="68"/>
        <v>2399.984</v>
      </c>
      <c r="H4392" t="str">
        <f>VLOOKUP(C4392,[1]products!$A:$B,2,0)</f>
        <v>Trek Stache 5 - 2017</v>
      </c>
      <c r="I4392">
        <f>VLOOKUP(H4392,[1]products!$B:$D,3,0)</f>
        <v>6</v>
      </c>
      <c r="J4392" t="str">
        <f>VLOOKUP(I4392,[2]categories!$A$2:$B$8,2,0)</f>
        <v>Mountain Bikes</v>
      </c>
    </row>
    <row r="4393" spans="1:10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 s="1">
        <f t="shared" si="68"/>
        <v>3025.782</v>
      </c>
      <c r="H4393" t="str">
        <f>VLOOKUP(C4393,[1]products!$A:$B,2,0)</f>
        <v>Surly Straggler 650b - 2016</v>
      </c>
      <c r="I4393">
        <f>VLOOKUP(H4393,[1]products!$B:$D,3,0)</f>
        <v>4</v>
      </c>
      <c r="J4393" t="str">
        <f>VLOOKUP(I4393,[2]categories!$A$2:$B$8,2,0)</f>
        <v>Cyclocross Bicycles</v>
      </c>
    </row>
    <row r="4394" spans="1:10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0.07</v>
      </c>
      <c r="G4394" s="1">
        <f t="shared" si="68"/>
        <v>1115.9907</v>
      </c>
      <c r="H4394" t="str">
        <f>VLOOKUP(C4394,[1]products!$A:$B,2,0)</f>
        <v>Electra Amsterdam Royal 8i Ladies - 2018</v>
      </c>
      <c r="I4394">
        <f>VLOOKUP(H4394,[1]products!$B:$D,3,0)</f>
        <v>3</v>
      </c>
      <c r="J4394" t="str">
        <f>VLOOKUP(I4394,[2]categories!$A$2:$B$8,2,0)</f>
        <v>Cruisers Bicycles</v>
      </c>
    </row>
    <row r="4395" spans="1:10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0.07</v>
      </c>
      <c r="G4395" s="1">
        <f t="shared" si="68"/>
        <v>297.5907</v>
      </c>
      <c r="H4395" t="str">
        <f>VLOOKUP(C4395,[1]products!$A:$B,2,0)</f>
        <v>Electra Cruiser 7D (24-Inch) Ladies' - 2016/2018</v>
      </c>
      <c r="I4395">
        <f>VLOOKUP(H4395,[1]products!$B:$D,3,0)</f>
        <v>3</v>
      </c>
      <c r="J4395" t="str">
        <f>VLOOKUP(I4395,[2]categories!$A$2:$B$8,2,0)</f>
        <v>Cruisers Bicycles</v>
      </c>
    </row>
    <row r="4396" spans="1:10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 s="1">
        <f t="shared" si="68"/>
        <v>607.981</v>
      </c>
      <c r="H4396" t="str">
        <f>VLOOKUP(C4396,[1]products!$A:$B,2,0)</f>
        <v>Electra Tiger Shark 1 (20-inch) - Boys' - 2018</v>
      </c>
      <c r="I4396">
        <f>VLOOKUP(H4396,[1]products!$B:$D,3,0)</f>
        <v>1</v>
      </c>
      <c r="J4396" t="str">
        <f>VLOOKUP(I4396,[2]categories!$A$2:$B$8,2,0)</f>
        <v>Children Bicycles</v>
      </c>
    </row>
    <row r="4397" spans="1:10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 s="1">
        <f t="shared" si="68"/>
        <v>303.992</v>
      </c>
      <c r="H4397" t="str">
        <f>VLOOKUP(C4397,[1]products!$A:$B,2,0)</f>
        <v>Haro Flightline One ST - 2017</v>
      </c>
      <c r="I4397">
        <f>VLOOKUP(H4397,[1]products!$B:$D,3,0)</f>
        <v>6</v>
      </c>
      <c r="J4397" t="str">
        <f>VLOOKUP(I4397,[2]categories!$A$2:$B$8,2,0)</f>
        <v>Mountain Bikes</v>
      </c>
    </row>
    <row r="4398" spans="1:10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 s="1">
        <f t="shared" si="68"/>
        <v>375.291</v>
      </c>
      <c r="H4398" t="str">
        <f>VLOOKUP(C4398,[1]products!$A:$B,2,0)</f>
        <v>Sun Bicycles Cruz 7 - Women's - 2017</v>
      </c>
      <c r="I4398">
        <f>VLOOKUP(H4398,[1]products!$B:$D,3,0)</f>
        <v>2</v>
      </c>
      <c r="J4398" t="str">
        <f>VLOOKUP(I4398,[2]categories!$A$2:$B$8,2,0)</f>
        <v>Comfort Bicycles</v>
      </c>
    </row>
    <row r="4399" spans="1:10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 s="1">
        <f t="shared" si="68"/>
        <v>1664.381</v>
      </c>
      <c r="H4399" t="str">
        <f>VLOOKUP(C4399,[1]products!$A:$B,2,0)</f>
        <v>Surly Steamroller - 2017</v>
      </c>
      <c r="I4399">
        <f>VLOOKUP(H4399,[1]products!$B:$D,3,0)</f>
        <v>7</v>
      </c>
      <c r="J4399" t="str">
        <f>VLOOKUP(I4399,[2]categories!$A$2:$B$8,2,0)</f>
        <v>Road Bikes</v>
      </c>
    </row>
    <row r="4400" spans="1:10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 s="1">
        <f t="shared" si="68"/>
        <v>180.4905</v>
      </c>
      <c r="H4400" t="str">
        <f>VLOOKUP(C4400,[1]products!$A:$B,2,0)</f>
        <v>Trek Precaliber 12 Girls - 2017</v>
      </c>
      <c r="I4400">
        <f>VLOOKUP(H4400,[1]products!$B:$D,3,0)</f>
        <v>1</v>
      </c>
      <c r="J4400" t="str">
        <f>VLOOKUP(I4400,[2]categories!$A$2:$B$8,2,0)</f>
        <v>Children Bicycles</v>
      </c>
    </row>
    <row r="4401" spans="1:10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0.07</v>
      </c>
      <c r="G4401" s="1">
        <f t="shared" si="68"/>
        <v>1394.9814</v>
      </c>
      <c r="H4401" t="str">
        <f>VLOOKUP(C4401,[1]products!$A:$B,2,0)</f>
        <v>Electra Queen of Hearts 3i - 2018</v>
      </c>
      <c r="I4401">
        <f>VLOOKUP(H4401,[1]products!$B:$D,3,0)</f>
        <v>3</v>
      </c>
      <c r="J4401" t="str">
        <f>VLOOKUP(I4401,[2]categories!$A$2:$B$8,2,0)</f>
        <v>Cruisers Bicycles</v>
      </c>
    </row>
    <row r="4402" spans="1:10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 s="1">
        <f t="shared" si="68"/>
        <v>6079.981</v>
      </c>
      <c r="H4402" t="str">
        <f>VLOOKUP(C4402,[1]products!$A:$B,2,0)</f>
        <v>Trek Fuel EX 8 29 XT - 2018</v>
      </c>
      <c r="I4402">
        <f>VLOOKUP(H4402,[1]products!$B:$D,3,0)</f>
        <v>6</v>
      </c>
      <c r="J4402" t="str">
        <f>VLOOKUP(I4402,[2]categories!$A$2:$B$8,2,0)</f>
        <v>Mountain Bikes</v>
      </c>
    </row>
    <row r="4403" spans="1:10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 s="1">
        <f t="shared" si="68"/>
        <v>404.991</v>
      </c>
      <c r="H4403" t="str">
        <f>VLOOKUP(C4403,[1]products!$A:$B,2,0)</f>
        <v>Sun Bicycles Cruz 3 - 2017</v>
      </c>
      <c r="I4403">
        <f>VLOOKUP(H4403,[1]products!$B:$D,3,0)</f>
        <v>3</v>
      </c>
      <c r="J4403" t="str">
        <f>VLOOKUP(I4403,[2]categories!$A$2:$B$8,2,0)</f>
        <v>Cruisers Bicycles</v>
      </c>
    </row>
    <row r="4404" spans="1:10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 s="1">
        <f t="shared" si="68"/>
        <v>5399.982</v>
      </c>
      <c r="H4404" t="str">
        <f>VLOOKUP(C4404,[1]products!$A:$B,2,0)</f>
        <v>Electra Townie Commute Go! - 2018</v>
      </c>
      <c r="I4404">
        <f>VLOOKUP(H4404,[1]products!$B:$D,3,0)</f>
        <v>5</v>
      </c>
      <c r="J4404" t="str">
        <f>VLOOKUP(I4404,[2]categories!$A$2:$B$8,2,0)</f>
        <v>Electric Bikes</v>
      </c>
    </row>
    <row r="4405" spans="1:10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 s="1">
        <f t="shared" si="68"/>
        <v>485.982</v>
      </c>
      <c r="H4405" t="str">
        <f>VLOOKUP(C4405,[1]products!$A:$B,2,0)</f>
        <v>Electra Cruiser 1 Ladies' - 2018</v>
      </c>
      <c r="I4405">
        <f>VLOOKUP(H4405,[1]products!$B:$D,3,0)</f>
        <v>3</v>
      </c>
      <c r="J4405" t="str">
        <f>VLOOKUP(I4405,[2]categories!$A$2:$B$8,2,0)</f>
        <v>Cruisers Bicycles</v>
      </c>
    </row>
    <row r="4406" spans="1:10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 s="1">
        <f t="shared" si="68"/>
        <v>2469.05</v>
      </c>
      <c r="H4406" t="str">
        <f>VLOOKUP(C4406,[1]products!$A:$B,2,0)</f>
        <v>Heller Shagamaw GX1 - 2018</v>
      </c>
      <c r="I4406">
        <f>VLOOKUP(H4406,[1]products!$B:$D,3,0)</f>
        <v>6</v>
      </c>
      <c r="J4406" t="str">
        <f>VLOOKUP(I4406,[2]categories!$A$2:$B$8,2,0)</f>
        <v>Mountain Bikes</v>
      </c>
    </row>
    <row r="4407" spans="1:10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 s="1">
        <f t="shared" si="68"/>
        <v>2479.984</v>
      </c>
      <c r="H4407" t="str">
        <f>VLOOKUP(C4407,[1]products!$A:$B,2,0)</f>
        <v>Trek Domane ALR 4 Disc - 2018</v>
      </c>
      <c r="I4407">
        <f>VLOOKUP(H4407,[1]products!$B:$D,3,0)</f>
        <v>7</v>
      </c>
      <c r="J4407" t="str">
        <f>VLOOKUP(I4407,[2]categories!$A$2:$B$8,2,0)</f>
        <v>Road Bikes</v>
      </c>
    </row>
    <row r="4408" spans="1:10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0.07</v>
      </c>
      <c r="G4408" s="1">
        <f t="shared" si="68"/>
        <v>362.6907</v>
      </c>
      <c r="H4408" t="str">
        <f>VLOOKUP(C4408,[1]products!$A:$B,2,0)</f>
        <v>Electra Straight 8 1 (20-inch) - Boy's - 2018</v>
      </c>
      <c r="I4408">
        <f>VLOOKUP(H4408,[1]products!$B:$D,3,0)</f>
        <v>1</v>
      </c>
      <c r="J4408" t="str">
        <f>VLOOKUP(I4408,[2]categories!$A$2:$B$8,2,0)</f>
        <v>Children Bicycles</v>
      </c>
    </row>
    <row r="4409" spans="1:10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0.07</v>
      </c>
      <c r="G4409" s="1">
        <f t="shared" si="68"/>
        <v>797.94</v>
      </c>
      <c r="H4409" t="str">
        <f>VLOOKUP(C4409,[1]products!$A:$B,2,0)</f>
        <v>Pure Cycles Vine 8-Speed - 2016</v>
      </c>
      <c r="I4409">
        <f>VLOOKUP(H4409,[1]products!$B:$D,3,0)</f>
        <v>3</v>
      </c>
      <c r="J4409" t="str">
        <f>VLOOKUP(I4409,[2]categories!$A$2:$B$8,2,0)</f>
        <v>Cruisers Bicycles</v>
      </c>
    </row>
    <row r="4410" spans="1:10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 s="1">
        <f t="shared" si="68"/>
        <v>1396.4905</v>
      </c>
      <c r="H4410" t="str">
        <f>VLOOKUP(C4410,[1]products!$A:$B,2,0)</f>
        <v>Haro Shift R3 - 2017</v>
      </c>
      <c r="I4410">
        <f>VLOOKUP(H4410,[1]products!$B:$D,3,0)</f>
        <v>6</v>
      </c>
      <c r="J4410" t="str">
        <f>VLOOKUP(I4410,[2]categories!$A$2:$B$8,2,0)</f>
        <v>Mountain Bikes</v>
      </c>
    </row>
    <row r="4411" spans="1:10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 s="1">
        <f t="shared" si="68"/>
        <v>2398.4</v>
      </c>
      <c r="H4411" t="str">
        <f>VLOOKUP(C4411,[1]products!$A:$B,2,0)</f>
        <v>Surly Krampus - 2018</v>
      </c>
      <c r="I4411">
        <f>VLOOKUP(H4411,[1]products!$B:$D,3,0)</f>
        <v>6</v>
      </c>
      <c r="J4411" t="str">
        <f>VLOOKUP(I4411,[2]categories!$A$2:$B$8,2,0)</f>
        <v>Mountain Bikes</v>
      </c>
    </row>
    <row r="4412" spans="1:10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0.07</v>
      </c>
      <c r="G4412" s="1">
        <f t="shared" si="68"/>
        <v>846.2907</v>
      </c>
      <c r="H4412" t="str">
        <f>VLOOKUP(C4412,[1]products!$A:$B,2,0)</f>
        <v>Electra Straight 8 3i - 2018</v>
      </c>
      <c r="I4412">
        <f>VLOOKUP(H4412,[1]products!$B:$D,3,0)</f>
        <v>3</v>
      </c>
      <c r="J4412" t="str">
        <f>VLOOKUP(I4412,[2]categories!$A$2:$B$8,2,0)</f>
        <v>Cruisers Bicycles</v>
      </c>
    </row>
    <row r="4413" spans="1:10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 s="1">
        <f t="shared" si="68"/>
        <v>674.991</v>
      </c>
      <c r="H4413" t="str">
        <f>VLOOKUP(C4413,[1]products!$A:$B,2,0)</f>
        <v>Trek Domane AL 2 Women's - 2018</v>
      </c>
      <c r="I4413">
        <f>VLOOKUP(H4413,[1]products!$B:$D,3,0)</f>
        <v>7</v>
      </c>
      <c r="J4413" t="str">
        <f>VLOOKUP(I4413,[2]categories!$A$2:$B$8,2,0)</f>
        <v>Road Bikes</v>
      </c>
    </row>
    <row r="4414" spans="1:10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 s="1">
        <f t="shared" si="68"/>
        <v>9499.981</v>
      </c>
      <c r="H4414" t="str">
        <f>VLOOKUP(C4414,[1]products!$A:$B,2,0)</f>
        <v>Trek Powerfly 8 FS Plus - 2017</v>
      </c>
      <c r="I4414">
        <f>VLOOKUP(H4414,[1]products!$B:$D,3,0)</f>
        <v>5</v>
      </c>
      <c r="J4414" t="str">
        <f>VLOOKUP(I4414,[2]categories!$A$2:$B$8,2,0)</f>
        <v>Electric Bikes</v>
      </c>
    </row>
    <row r="4415" spans="1:10">
      <c r="A4415">
        <v>1513</v>
      </c>
      <c r="B4415">
        <v>3</v>
      </c>
      <c r="C4415">
        <v>159</v>
      </c>
      <c r="D4415">
        <v>2</v>
      </c>
      <c r="E4415">
        <v>2299.99</v>
      </c>
      <c r="F4415">
        <v>0.05</v>
      </c>
      <c r="G4415" s="1">
        <f t="shared" si="68"/>
        <v>4369.981</v>
      </c>
      <c r="H4415" t="str">
        <f>VLOOKUP(C4415,[1]products!$A:$B,2,0)</f>
        <v>Trek Emonda ALR 6 - 2018</v>
      </c>
      <c r="I4415">
        <f>VLOOKUP(H4415,[1]products!$B:$D,3,0)</f>
        <v>7</v>
      </c>
      <c r="J4415" t="str">
        <f>VLOOKUP(I4415,[2]categories!$A$2:$B$8,2,0)</f>
        <v>Road Bikes</v>
      </c>
    </row>
    <row r="4416" spans="1:10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 s="1">
        <f t="shared" si="68"/>
        <v>1619.982</v>
      </c>
      <c r="H4416" t="str">
        <f>VLOOKUP(C4416,[1]products!$A:$B,2,0)</f>
        <v>Electra Townie Commute 27D Ladies - 2018</v>
      </c>
      <c r="I4416">
        <f>VLOOKUP(H4416,[1]products!$B:$D,3,0)</f>
        <v>3</v>
      </c>
      <c r="J4416" t="str">
        <f>VLOOKUP(I4416,[2]categories!$A$2:$B$8,2,0)</f>
        <v>Cruisers Bicycles</v>
      </c>
    </row>
    <row r="4417" spans="1:10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 s="1">
        <f t="shared" si="68"/>
        <v>9499.981</v>
      </c>
      <c r="H4417" t="str">
        <f>VLOOKUP(C4417,[1]products!$A:$B,2,0)</f>
        <v>Trek Powerfly 7 FS - 2018</v>
      </c>
      <c r="I4417">
        <f>VLOOKUP(H4417,[1]products!$B:$D,3,0)</f>
        <v>5</v>
      </c>
      <c r="J4417" t="str">
        <f>VLOOKUP(I4417,[2]categories!$A$2:$B$8,2,0)</f>
        <v>Electric Bikes</v>
      </c>
    </row>
    <row r="4418" spans="1:10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 s="1">
        <f t="shared" ref="G4418:G4481" si="69">D4418*E4418*(1-F4418)</f>
        <v>1599.984</v>
      </c>
      <c r="H4418" t="str">
        <f>VLOOKUP(C4418,[1]products!$A:$B,2,0)</f>
        <v>Surly Big Dummy Frameset - 2017</v>
      </c>
      <c r="I4418">
        <f>VLOOKUP(H4418,[1]products!$B:$D,3,0)</f>
        <v>6</v>
      </c>
      <c r="J4418" t="str">
        <f>VLOOKUP(I4418,[2]categories!$A$2:$B$8,2,0)</f>
        <v>Mountain Bikes</v>
      </c>
    </row>
    <row r="4419" spans="1:10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 s="1">
        <f t="shared" si="69"/>
        <v>6299.982</v>
      </c>
      <c r="H4419" t="str">
        <f>VLOOKUP(C4419,[1]products!$A:$B,2,0)</f>
        <v>Trek Powerfly 5 Women's - 2018</v>
      </c>
      <c r="I4419">
        <f>VLOOKUP(H4419,[1]products!$B:$D,3,0)</f>
        <v>5</v>
      </c>
      <c r="J4419" t="str">
        <f>VLOOKUP(I4419,[2]categories!$A$2:$B$8,2,0)</f>
        <v>Electric Bikes</v>
      </c>
    </row>
    <row r="4420" spans="1:10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 s="1">
        <f t="shared" si="69"/>
        <v>1709.981</v>
      </c>
      <c r="H4420" t="str">
        <f>VLOOKUP(C4420,[1]products!$A:$B,2,0)</f>
        <v>Electra Townie Commute 27D Ladies - 2018</v>
      </c>
      <c r="I4420">
        <f>VLOOKUP(H4420,[1]products!$B:$D,3,0)</f>
        <v>3</v>
      </c>
      <c r="J4420" t="str">
        <f>VLOOKUP(I4420,[2]categories!$A$2:$B$8,2,0)</f>
        <v>Cruisers Bicycles</v>
      </c>
    </row>
    <row r="4421" spans="1:10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 s="1">
        <f t="shared" si="69"/>
        <v>4499.991</v>
      </c>
      <c r="H4421" t="str">
        <f>VLOOKUP(C4421,[1]products!$A:$B,2,0)</f>
        <v>Trek Fuel EX 9.8 29 - 2017</v>
      </c>
      <c r="I4421">
        <f>VLOOKUP(H4421,[1]products!$B:$D,3,0)</f>
        <v>6</v>
      </c>
      <c r="J4421" t="str">
        <f>VLOOKUP(I4421,[2]categories!$A$2:$B$8,2,0)</f>
        <v>Mountain Bikes</v>
      </c>
    </row>
    <row r="4422" spans="1:10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 s="1">
        <f t="shared" si="69"/>
        <v>1535.984</v>
      </c>
      <c r="H4422" t="str">
        <f>VLOOKUP(C4422,[1]products!$A:$B,2,0)</f>
        <v>Trek CrossRip 1 - 2018</v>
      </c>
      <c r="I4422">
        <f>VLOOKUP(H4422,[1]products!$B:$D,3,0)</f>
        <v>7</v>
      </c>
      <c r="J4422" t="str">
        <f>VLOOKUP(I4422,[2]categories!$A$2:$B$8,2,0)</f>
        <v>Road Bikes</v>
      </c>
    </row>
    <row r="4423" spans="1:10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 s="1">
        <f t="shared" si="69"/>
        <v>5759.982</v>
      </c>
      <c r="H4423" t="str">
        <f>VLOOKUP(C4423,[1]products!$A:$B,2,0)</f>
        <v>Trek Domane ALR Disc Frameset - 2018</v>
      </c>
      <c r="I4423">
        <f>VLOOKUP(H4423,[1]products!$B:$D,3,0)</f>
        <v>7</v>
      </c>
      <c r="J4423" t="str">
        <f>VLOOKUP(I4423,[2]categories!$A$2:$B$8,2,0)</f>
        <v>Road Bikes</v>
      </c>
    </row>
    <row r="4424" spans="1:10">
      <c r="A4424">
        <v>1516</v>
      </c>
      <c r="B4424">
        <v>2</v>
      </c>
      <c r="C4424">
        <v>253</v>
      </c>
      <c r="D4424">
        <v>1</v>
      </c>
      <c r="E4424">
        <v>2599.99</v>
      </c>
      <c r="F4424">
        <v>0.1</v>
      </c>
      <c r="G4424" s="1">
        <f t="shared" si="69"/>
        <v>2339.991</v>
      </c>
      <c r="H4424" t="str">
        <f>VLOOKUP(C4424,[1]products!$A:$B,2,0)</f>
        <v>Electra Townie Go! 8i Ladies' - 2018</v>
      </c>
      <c r="I4424">
        <f>VLOOKUP(H4424,[1]products!$B:$D,3,0)</f>
        <v>5</v>
      </c>
      <c r="J4424" t="str">
        <f>VLOOKUP(I4424,[2]categories!$A$2:$B$8,2,0)</f>
        <v>Electric Bikes</v>
      </c>
    </row>
    <row r="4425" spans="1:10">
      <c r="A4425">
        <v>1516</v>
      </c>
      <c r="B4425">
        <v>3</v>
      </c>
      <c r="C4425">
        <v>196</v>
      </c>
      <c r="D4425">
        <v>2</v>
      </c>
      <c r="E4425">
        <v>2299.99</v>
      </c>
      <c r="F4425">
        <v>0.2</v>
      </c>
      <c r="G4425" s="1">
        <f t="shared" si="69"/>
        <v>3679.984</v>
      </c>
      <c r="H4425" t="str">
        <f>VLOOKUP(C4425,[1]products!$A:$B,2,0)</f>
        <v>Trek Verve+ - 2018</v>
      </c>
      <c r="I4425">
        <f>VLOOKUP(H4425,[1]products!$B:$D,3,0)</f>
        <v>5</v>
      </c>
      <c r="J4425" t="str">
        <f>VLOOKUP(I4425,[2]categories!$A$2:$B$8,2,0)</f>
        <v>Electric Bikes</v>
      </c>
    </row>
    <row r="4426" spans="1:10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 s="1">
        <f t="shared" si="69"/>
        <v>1919.984</v>
      </c>
      <c r="H4426" t="str">
        <f>VLOOKUP(C4426,[1]products!$A:$B,2,0)</f>
        <v>Electra Amsterdam Royal 8i Ladies - 2018</v>
      </c>
      <c r="I4426">
        <f>VLOOKUP(H4426,[1]products!$B:$D,3,0)</f>
        <v>3</v>
      </c>
      <c r="J4426" t="str">
        <f>VLOOKUP(I4426,[2]categories!$A$2:$B$8,2,0)</f>
        <v>Cruisers Bicycles</v>
      </c>
    </row>
    <row r="4427" spans="1:10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 s="1">
        <f t="shared" si="69"/>
        <v>335.984</v>
      </c>
      <c r="H4427" t="str">
        <f>VLOOKUP(C4427,[1]products!$A:$B,2,0)</f>
        <v>Trek Precaliber 16 Girl's - 2018</v>
      </c>
      <c r="I4427">
        <f>VLOOKUP(H4427,[1]products!$B:$D,3,0)</f>
        <v>1</v>
      </c>
      <c r="J4427" t="str">
        <f>VLOOKUP(I4427,[2]categories!$A$2:$B$8,2,0)</f>
        <v>Children Bicycles</v>
      </c>
    </row>
    <row r="4428" spans="1:10">
      <c r="A4428">
        <v>1517</v>
      </c>
      <c r="B4428">
        <v>1</v>
      </c>
      <c r="C4428">
        <v>303</v>
      </c>
      <c r="D4428">
        <v>2</v>
      </c>
      <c r="E4428">
        <v>2599.99</v>
      </c>
      <c r="F4428">
        <v>0.07</v>
      </c>
      <c r="G4428" s="1">
        <f t="shared" si="69"/>
        <v>4835.9814</v>
      </c>
      <c r="H4428" t="str">
        <f>VLOOKUP(C4428,[1]products!$A:$B,2,0)</f>
        <v>Electra Townie Go! 8i - 2017/2018</v>
      </c>
      <c r="I4428">
        <f>VLOOKUP(H4428,[1]products!$B:$D,3,0)</f>
        <v>5</v>
      </c>
      <c r="J4428" t="str">
        <f>VLOOKUP(I4428,[2]categories!$A$2:$B$8,2,0)</f>
        <v>Electric Bikes</v>
      </c>
    </row>
    <row r="4429" spans="1:10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 s="1">
        <f t="shared" si="69"/>
        <v>1291.981</v>
      </c>
      <c r="H4429" t="str">
        <f>VLOOKUP(C4429,[1]products!$A:$B,2,0)</f>
        <v>Electra Townie Original 21D EQ - 2017/2018</v>
      </c>
      <c r="I4429">
        <f>VLOOKUP(H4429,[1]products!$B:$D,3,0)</f>
        <v>3</v>
      </c>
      <c r="J4429" t="str">
        <f>VLOOKUP(I4429,[2]categories!$A$2:$B$8,2,0)</f>
        <v>Cruisers Bicycles</v>
      </c>
    </row>
    <row r="4430" spans="1:10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 s="1">
        <f t="shared" si="69"/>
        <v>1223.982</v>
      </c>
      <c r="H4430" t="str">
        <f>VLOOKUP(C4430,[1]products!$A:$B,2,0)</f>
        <v>Electra Townie Original 21D EQ - 2017/2018</v>
      </c>
      <c r="I4430">
        <f>VLOOKUP(H4430,[1]products!$B:$D,3,0)</f>
        <v>3</v>
      </c>
      <c r="J4430" t="str">
        <f>VLOOKUP(I4430,[2]categories!$A$2:$B$8,2,0)</f>
        <v>Cruisers Bicycles</v>
      </c>
    </row>
    <row r="4431" spans="1:10">
      <c r="A4431">
        <v>1518</v>
      </c>
      <c r="B4431">
        <v>2</v>
      </c>
      <c r="C4431">
        <v>182</v>
      </c>
      <c r="D4431">
        <v>2</v>
      </c>
      <c r="E4431">
        <v>2499.99</v>
      </c>
      <c r="F4431">
        <v>0.05</v>
      </c>
      <c r="G4431" s="1">
        <f t="shared" si="69"/>
        <v>4749.981</v>
      </c>
      <c r="H4431" t="str">
        <f>VLOOKUP(C4431,[1]products!$A:$B,2,0)</f>
        <v>Trek Domane SL 5 Disc - 2018</v>
      </c>
      <c r="I4431">
        <f>VLOOKUP(H4431,[1]products!$B:$D,3,0)</f>
        <v>7</v>
      </c>
      <c r="J4431" t="str">
        <f>VLOOKUP(I4431,[2]categories!$A$2:$B$8,2,0)</f>
        <v>Road Bikes</v>
      </c>
    </row>
    <row r="4432" spans="1:10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 s="1">
        <f t="shared" si="69"/>
        <v>5699.981</v>
      </c>
      <c r="H4432" t="str">
        <f>VLOOKUP(C4432,[1]products!$A:$B,2,0)</f>
        <v>Electra Townie Commute Go! Ladies' - 2018</v>
      </c>
      <c r="I4432">
        <f>VLOOKUP(H4432,[1]products!$B:$D,3,0)</f>
        <v>5</v>
      </c>
      <c r="J4432" t="str">
        <f>VLOOKUP(I4432,[2]categories!$A$2:$B$8,2,0)</f>
        <v>Electric Bikes</v>
      </c>
    </row>
    <row r="4433" spans="1:10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 s="1">
        <f t="shared" si="69"/>
        <v>3599.992</v>
      </c>
      <c r="H4433" t="str">
        <f>VLOOKUP(C4433,[1]products!$A:$B,2,0)</f>
        <v>Trek Emonda SL 7 - 2018</v>
      </c>
      <c r="I4433">
        <f>VLOOKUP(H4433,[1]products!$B:$D,3,0)</f>
        <v>7</v>
      </c>
      <c r="J4433" t="str">
        <f>VLOOKUP(I4433,[2]categories!$A$2:$B$8,2,0)</f>
        <v>Road Bikes</v>
      </c>
    </row>
    <row r="4434" spans="1:10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 s="1">
        <f t="shared" si="69"/>
        <v>527.984</v>
      </c>
      <c r="H4434" t="str">
        <f>VLOOKUP(C4434,[1]products!$A:$B,2,0)</f>
        <v>Haro Downtown 16 - 2017</v>
      </c>
      <c r="I4434">
        <f>VLOOKUP(H4434,[1]products!$B:$D,3,0)</f>
        <v>1</v>
      </c>
      <c r="J4434" t="str">
        <f>VLOOKUP(I4434,[2]categories!$A$2:$B$8,2,0)</f>
        <v>Children Bicycles</v>
      </c>
    </row>
    <row r="4435" spans="1:10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0.07</v>
      </c>
      <c r="G4435" s="1">
        <f t="shared" si="69"/>
        <v>2788.14</v>
      </c>
      <c r="H4435" t="str">
        <f>VLOOKUP(C4435,[1]products!$A:$B,2,0)</f>
        <v>Surly Krampus - 2018</v>
      </c>
      <c r="I4435">
        <f>VLOOKUP(H4435,[1]products!$B:$D,3,0)</f>
        <v>6</v>
      </c>
      <c r="J4435" t="str">
        <f>VLOOKUP(I4435,[2]categories!$A$2:$B$8,2,0)</f>
        <v>Mountain Bikes</v>
      </c>
    </row>
    <row r="4436" spans="1:10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 s="1">
        <f t="shared" si="69"/>
        <v>277.592</v>
      </c>
      <c r="H4436" t="str">
        <f>VLOOKUP(C4436,[1]products!$A:$B,2,0)</f>
        <v>Sun Bicycles Lil Bolt Type-R - 2017</v>
      </c>
      <c r="I4436">
        <f>VLOOKUP(H4436,[1]products!$B:$D,3,0)</f>
        <v>3</v>
      </c>
      <c r="J4436" t="str">
        <f>VLOOKUP(I4436,[2]categories!$A$2:$B$8,2,0)</f>
        <v>Cruisers Bicycles</v>
      </c>
    </row>
    <row r="4437" spans="1:10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 s="1">
        <f t="shared" si="69"/>
        <v>550.981</v>
      </c>
      <c r="H4437" t="str">
        <f>VLOOKUP(C4437,[1]products!$A:$B,2,0)</f>
        <v>Strider Strider 20 Sport - 2018</v>
      </c>
      <c r="I4437">
        <f>VLOOKUP(H4437,[1]products!$B:$D,3,0)</f>
        <v>1</v>
      </c>
      <c r="J4437" t="str">
        <f>VLOOKUP(I4437,[2]categories!$A$2:$B$8,2,0)</f>
        <v>Children Bicycles</v>
      </c>
    </row>
    <row r="4438" spans="1:10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 s="1">
        <f t="shared" si="69"/>
        <v>4274.9905</v>
      </c>
      <c r="H4438" t="str">
        <f>VLOOKUP(C4438,[1]products!$A:$B,2,0)</f>
        <v>Trek CrossRip+ - 2018</v>
      </c>
      <c r="I4438">
        <f>VLOOKUP(H4438,[1]products!$B:$D,3,0)</f>
        <v>5</v>
      </c>
      <c r="J4438" t="str">
        <f>VLOOKUP(I4438,[2]categories!$A$2:$B$8,2,0)</f>
        <v>Electric Bikes</v>
      </c>
    </row>
    <row r="4439" spans="1:10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 s="1">
        <f t="shared" si="69"/>
        <v>5599.984</v>
      </c>
      <c r="H4439" t="str">
        <f>VLOOKUP(C4439,[1]products!$A:$B,2,0)</f>
        <v>Trek XM700+ Lowstep - 2018</v>
      </c>
      <c r="I4439">
        <f>VLOOKUP(H4439,[1]products!$B:$D,3,0)</f>
        <v>5</v>
      </c>
      <c r="J4439" t="str">
        <f>VLOOKUP(I4439,[2]categories!$A$2:$B$8,2,0)</f>
        <v>Electric Bikes</v>
      </c>
    </row>
    <row r="4440" spans="1:10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0.07</v>
      </c>
      <c r="G4440" s="1">
        <f t="shared" si="69"/>
        <v>1673.9814</v>
      </c>
      <c r="H4440" t="str">
        <f>VLOOKUP(C4440,[1]products!$A:$B,2,0)</f>
        <v>Electra Townie Commute 27D Ladies - 2018</v>
      </c>
      <c r="I4440">
        <f>VLOOKUP(H4440,[1]products!$B:$D,3,0)</f>
        <v>3</v>
      </c>
      <c r="J4440" t="str">
        <f>VLOOKUP(I4440,[2]categories!$A$2:$B$8,2,0)</f>
        <v>Cruisers Bicycles</v>
      </c>
    </row>
    <row r="4441" spans="1:10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 s="1">
        <f t="shared" si="69"/>
        <v>161.982</v>
      </c>
      <c r="H4441" t="str">
        <f>VLOOKUP(C4441,[1]products!$A:$B,2,0)</f>
        <v>Strider Classic 12 Balance Bike - 2018</v>
      </c>
      <c r="I4441">
        <f>VLOOKUP(H4441,[1]products!$B:$D,3,0)</f>
        <v>1</v>
      </c>
      <c r="J4441" t="str">
        <f>VLOOKUP(I4441,[2]categories!$A$2:$B$8,2,0)</f>
        <v>Children Bicycles</v>
      </c>
    </row>
    <row r="4442" spans="1:10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 s="1">
        <f t="shared" si="69"/>
        <v>391.992</v>
      </c>
      <c r="H4442" t="str">
        <f>VLOOKUP(C4442,[1]products!$A:$B,2,0)</f>
        <v>Electra Townie 3i EQ (20-inch) - Boys' - 2017</v>
      </c>
      <c r="I4442">
        <f>VLOOKUP(H4442,[1]products!$B:$D,3,0)</f>
        <v>1</v>
      </c>
      <c r="J4442" t="str">
        <f>VLOOKUP(I4442,[2]categories!$A$2:$B$8,2,0)</f>
        <v>Children Bicycles</v>
      </c>
    </row>
    <row r="4443" spans="1:10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 s="1">
        <f t="shared" si="69"/>
        <v>1087.984</v>
      </c>
      <c r="H4443" t="str">
        <f>VLOOKUP(C4443,[1]products!$A:$B,2,0)</f>
        <v>Electra Townie Original 21D EQ Ladies' - 2018</v>
      </c>
      <c r="I4443">
        <f>VLOOKUP(H4443,[1]products!$B:$D,3,0)</f>
        <v>3</v>
      </c>
      <c r="J4443" t="str">
        <f>VLOOKUP(I4443,[2]categories!$A$2:$B$8,2,0)</f>
        <v>Cruisers Bicycles</v>
      </c>
    </row>
    <row r="4444" spans="1:10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 s="1">
        <f t="shared" si="69"/>
        <v>899.991</v>
      </c>
      <c r="H4444" t="str">
        <f>VLOOKUP(C4444,[1]products!$A:$B,2,0)</f>
        <v>Trek Farley Carbon Frameset - 2018</v>
      </c>
      <c r="I4444">
        <f>VLOOKUP(H4444,[1]products!$B:$D,3,0)</f>
        <v>6</v>
      </c>
      <c r="J4444" t="str">
        <f>VLOOKUP(I4444,[2]categories!$A$2:$B$8,2,0)</f>
        <v>Mountain Bikes</v>
      </c>
    </row>
    <row r="4445" spans="1:10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 s="1">
        <f t="shared" si="69"/>
        <v>2399.984</v>
      </c>
      <c r="H4445" t="str">
        <f>VLOOKUP(C4445,[1]products!$A:$B,2,0)</f>
        <v>Trek X-Caliber Frameset - 2018</v>
      </c>
      <c r="I4445">
        <f>VLOOKUP(H4445,[1]products!$B:$D,3,0)</f>
        <v>6</v>
      </c>
      <c r="J4445" t="str">
        <f>VLOOKUP(I4445,[2]categories!$A$2:$B$8,2,0)</f>
        <v>Mountain Bikes</v>
      </c>
    </row>
    <row r="4446" spans="1:10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 s="1">
        <f t="shared" si="69"/>
        <v>269.991</v>
      </c>
      <c r="H4446" t="str">
        <f>VLOOKUP(C4446,[1]products!$A:$B,2,0)</f>
        <v>Electra Girl's Hawaii 1 16" - 2017</v>
      </c>
      <c r="I4446">
        <f>VLOOKUP(H4446,[1]products!$B:$D,3,0)</f>
        <v>3</v>
      </c>
      <c r="J4446" t="str">
        <f>VLOOKUP(I4446,[2]categories!$A$2:$B$8,2,0)</f>
        <v>Cruisers Bicycles</v>
      </c>
    </row>
    <row r="4447" spans="1:10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0.07</v>
      </c>
      <c r="G4447" s="1">
        <f t="shared" si="69"/>
        <v>1487.9907</v>
      </c>
      <c r="H4447" t="str">
        <f>VLOOKUP(C4447,[1]products!$A:$B,2,0)</f>
        <v>Trek Stache 5 - 2018</v>
      </c>
      <c r="I4447">
        <f>VLOOKUP(H4447,[1]products!$B:$D,3,0)</f>
        <v>6</v>
      </c>
      <c r="J4447" t="str">
        <f>VLOOKUP(I4447,[2]categories!$A$2:$B$8,2,0)</f>
        <v>Mountain Bikes</v>
      </c>
    </row>
    <row r="4448" spans="1:10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0.07</v>
      </c>
      <c r="G4448" s="1">
        <f t="shared" si="69"/>
        <v>1367.0907</v>
      </c>
      <c r="H4448" t="str">
        <f>VLOOKUP(C4448,[1]products!$A:$B,2,0)</f>
        <v>Trek Ticket S Frame - 2018</v>
      </c>
      <c r="I4448">
        <f>VLOOKUP(H4448,[1]products!$B:$D,3,0)</f>
        <v>6</v>
      </c>
      <c r="J4448" t="str">
        <f>VLOOKUP(I4448,[2]categories!$A$2:$B$8,2,0)</f>
        <v>Mountain Bikes</v>
      </c>
    </row>
    <row r="4449" spans="1:10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 s="1">
        <f t="shared" si="69"/>
        <v>1199.984</v>
      </c>
      <c r="H4449" t="str">
        <f>VLOOKUP(C4449,[1]products!$A:$B,2,0)</f>
        <v>Electra Townie Commute 8D - 2018</v>
      </c>
      <c r="I4449">
        <f>VLOOKUP(H4449,[1]products!$B:$D,3,0)</f>
        <v>3</v>
      </c>
      <c r="J4449" t="str">
        <f>VLOOKUP(I4449,[2]categories!$A$2:$B$8,2,0)</f>
        <v>Cruisers Bicycles</v>
      </c>
    </row>
    <row r="4450" spans="1:10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 s="1">
        <f t="shared" si="69"/>
        <v>1394.1</v>
      </c>
      <c r="H4450" t="str">
        <f>VLOOKUP(C4450,[1]products!$A:$B,2,0)</f>
        <v>Surly Straggler - 2018</v>
      </c>
      <c r="I4450">
        <f>VLOOKUP(H4450,[1]products!$B:$D,3,0)</f>
        <v>7</v>
      </c>
      <c r="J4450" t="str">
        <f>VLOOKUP(I4450,[2]categories!$A$2:$B$8,2,0)</f>
        <v>Road Bikes</v>
      </c>
    </row>
    <row r="4451" spans="1:10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 s="1">
        <f t="shared" si="69"/>
        <v>511.984</v>
      </c>
      <c r="H4451" t="str">
        <f>VLOOKUP(C4451,[1]products!$A:$B,2,0)</f>
        <v>Electra Treasure 1 20" - 2018</v>
      </c>
      <c r="I4451">
        <f>VLOOKUP(H4451,[1]products!$B:$D,3,0)</f>
        <v>1</v>
      </c>
      <c r="J4451" t="str">
        <f>VLOOKUP(I4451,[2]categories!$A$2:$B$8,2,0)</f>
        <v>Children Bicycles</v>
      </c>
    </row>
    <row r="4452" spans="1:10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 s="1">
        <f t="shared" si="69"/>
        <v>359.992</v>
      </c>
      <c r="H4452" t="str">
        <f>VLOOKUP(C4452,[1]products!$A:$B,2,0)</f>
        <v>Electra Townie Original 1 Ladies' - 2018</v>
      </c>
      <c r="I4452">
        <f>VLOOKUP(H4452,[1]products!$B:$D,3,0)</f>
        <v>2</v>
      </c>
      <c r="J4452" t="str">
        <f>VLOOKUP(I4452,[2]categories!$A$2:$B$8,2,0)</f>
        <v>Comfort Bicycles</v>
      </c>
    </row>
    <row r="4453" spans="1:10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 s="1">
        <f t="shared" si="69"/>
        <v>4799.984</v>
      </c>
      <c r="H4453" t="str">
        <f>VLOOKUP(C4453,[1]products!$A:$B,2,0)</f>
        <v>Electra Townie Commute Go! Ladies' - 2018</v>
      </c>
      <c r="I4453">
        <f>VLOOKUP(H4453,[1]products!$B:$D,3,0)</f>
        <v>5</v>
      </c>
      <c r="J4453" t="str">
        <f>VLOOKUP(I4453,[2]categories!$A$2:$B$8,2,0)</f>
        <v>Electric Bikes</v>
      </c>
    </row>
    <row r="4454" spans="1:10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 s="1">
        <f t="shared" si="69"/>
        <v>5849.991</v>
      </c>
      <c r="H4454" t="str">
        <f>VLOOKUP(C4454,[1]products!$A:$B,2,0)</f>
        <v>Trek Domane SL Frameset - 2018</v>
      </c>
      <c r="I4454">
        <f>VLOOKUP(H4454,[1]products!$B:$D,3,0)</f>
        <v>7</v>
      </c>
      <c r="J4454" t="str">
        <f>VLOOKUP(I4454,[2]categories!$A$2:$B$8,2,0)</f>
        <v>Road Bikes</v>
      </c>
    </row>
    <row r="4455" spans="1:10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0.07</v>
      </c>
      <c r="G4455" s="1">
        <f t="shared" si="69"/>
        <v>2509.14</v>
      </c>
      <c r="H4455" t="str">
        <f>VLOOKUP(C4455,[1]products!$A:$B,2,0)</f>
        <v>Surly Pack Rat - 2018</v>
      </c>
      <c r="I4455">
        <f>VLOOKUP(H4455,[1]products!$B:$D,3,0)</f>
        <v>7</v>
      </c>
      <c r="J4455" t="str">
        <f>VLOOKUP(I4455,[2]categories!$A$2:$B$8,2,0)</f>
        <v>Road Bikes</v>
      </c>
    </row>
    <row r="4456" spans="1:10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0.07</v>
      </c>
      <c r="G4456" s="1">
        <f t="shared" si="69"/>
        <v>2603.9907</v>
      </c>
      <c r="H4456" t="str">
        <f>VLOOKUP(C4456,[1]products!$A:$B,2,0)</f>
        <v>Trek Lift+ - 2018</v>
      </c>
      <c r="I4456">
        <f>VLOOKUP(H4456,[1]products!$B:$D,3,0)</f>
        <v>5</v>
      </c>
      <c r="J4456" t="str">
        <f>VLOOKUP(I4456,[2]categories!$A$2:$B$8,2,0)</f>
        <v>Electric Bikes</v>
      </c>
    </row>
    <row r="4457" spans="1:10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0.07</v>
      </c>
      <c r="G4457" s="1">
        <f t="shared" si="69"/>
        <v>1441.4907</v>
      </c>
      <c r="H4457" t="str">
        <f>VLOOKUP(C4457,[1]products!$A:$B,2,0)</f>
        <v>Trek Domane ALR 4 Disc Women's - 2018</v>
      </c>
      <c r="I4457">
        <f>VLOOKUP(H4457,[1]products!$B:$D,3,0)</f>
        <v>7</v>
      </c>
      <c r="J4457" t="str">
        <f>VLOOKUP(I4457,[2]categories!$A$2:$B$8,2,0)</f>
        <v>Road Bikes</v>
      </c>
    </row>
    <row r="4458" spans="1:10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 s="1">
        <f t="shared" si="69"/>
        <v>4949.991</v>
      </c>
      <c r="H4458" t="str">
        <f>VLOOKUP(C4458,[1]products!$A:$B,2,0)</f>
        <v>Trek Domane SLR 6 Disc - 2017</v>
      </c>
      <c r="I4458">
        <f>VLOOKUP(H4458,[1]products!$B:$D,3,0)</f>
        <v>7</v>
      </c>
      <c r="J4458" t="str">
        <f>VLOOKUP(I4458,[2]categories!$A$2:$B$8,2,0)</f>
        <v>Road Bikes</v>
      </c>
    </row>
    <row r="4459" spans="1:10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 s="1">
        <f t="shared" si="69"/>
        <v>674.991</v>
      </c>
      <c r="H4459" t="str">
        <f>VLOOKUP(C4459,[1]products!$A:$B,2,0)</f>
        <v>Electra Townie Balloon 8D EQ - 2016/2017/2018</v>
      </c>
      <c r="I4459">
        <f>VLOOKUP(H4459,[1]products!$B:$D,3,0)</f>
        <v>3</v>
      </c>
      <c r="J4459" t="str">
        <f>VLOOKUP(I4459,[2]categories!$A$2:$B$8,2,0)</f>
        <v>Cruisers Bicycles</v>
      </c>
    </row>
    <row r="4460" spans="1:10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 s="1">
        <f t="shared" si="69"/>
        <v>645.9905</v>
      </c>
      <c r="H4460" t="str">
        <f>VLOOKUP(C4460,[1]products!$A:$B,2,0)</f>
        <v>Electra Townie Original 21D EQ Ladies' - 2018</v>
      </c>
      <c r="I4460">
        <f>VLOOKUP(H4460,[1]products!$B:$D,3,0)</f>
        <v>3</v>
      </c>
      <c r="J4460" t="str">
        <f>VLOOKUP(I4460,[2]categories!$A$2:$B$8,2,0)</f>
        <v>Cruisers Bicycles</v>
      </c>
    </row>
    <row r="4461" spans="1:10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 s="1">
        <f t="shared" si="69"/>
        <v>422.991</v>
      </c>
      <c r="H4461" t="str">
        <f>VLOOKUP(C4461,[1]products!$A:$B,2,0)</f>
        <v>Surly Wednesday Frameset - 2017</v>
      </c>
      <c r="I4461">
        <f>VLOOKUP(H4461,[1]products!$B:$D,3,0)</f>
        <v>6</v>
      </c>
      <c r="J4461" t="str">
        <f>VLOOKUP(I4461,[2]categories!$A$2:$B$8,2,0)</f>
        <v>Mountain Bikes</v>
      </c>
    </row>
    <row r="4462" spans="1:10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 s="1">
        <f t="shared" si="69"/>
        <v>524.3905</v>
      </c>
      <c r="H4462" t="str">
        <f>VLOOKUP(C4462,[1]products!$A:$B,2,0)</f>
        <v>Sun Bicycles Streamway 3 - 2017</v>
      </c>
      <c r="I4462">
        <f>VLOOKUP(H4462,[1]products!$B:$D,3,0)</f>
        <v>2</v>
      </c>
      <c r="J4462" t="str">
        <f>VLOOKUP(I4462,[2]categories!$A$2:$B$8,2,0)</f>
        <v>Comfort Bicycles</v>
      </c>
    </row>
    <row r="4463" spans="1:10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 s="1">
        <f t="shared" si="69"/>
        <v>3799.981</v>
      </c>
      <c r="H4463" t="str">
        <f>VLOOKUP(C4463,[1]products!$A:$B,2,0)</f>
        <v>Trek Emonda S 5 - 2017</v>
      </c>
      <c r="I4463">
        <f>VLOOKUP(H4463,[1]products!$B:$D,3,0)</f>
        <v>7</v>
      </c>
      <c r="J4463" t="str">
        <f>VLOOKUP(I4463,[2]categories!$A$2:$B$8,2,0)</f>
        <v>Road Bikes</v>
      </c>
    </row>
    <row r="4464" spans="1:10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 s="1">
        <f t="shared" si="69"/>
        <v>687.984</v>
      </c>
      <c r="H4464" t="str">
        <f>VLOOKUP(C4464,[1]products!$A:$B,2,0)</f>
        <v>Electra Cruiser Lux 1 - 2016/2018</v>
      </c>
      <c r="I4464">
        <f>VLOOKUP(H4464,[1]products!$B:$D,3,0)</f>
        <v>3</v>
      </c>
      <c r="J4464" t="str">
        <f>VLOOKUP(I4464,[2]categories!$A$2:$B$8,2,0)</f>
        <v>Cruisers Bicycles</v>
      </c>
    </row>
    <row r="4465" spans="1:10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 s="1">
        <f t="shared" si="69"/>
        <v>284.9905</v>
      </c>
      <c r="H4465" t="str">
        <f>VLOOKUP(C4465,[1]products!$A:$B,2,0)</f>
        <v>Electra Girl's Hawaii 1 (20-inch) - 2015/2016</v>
      </c>
      <c r="I4465">
        <f>VLOOKUP(H4465,[1]products!$B:$D,3,0)</f>
        <v>1</v>
      </c>
      <c r="J4465" t="str">
        <f>VLOOKUP(I4465,[2]categories!$A$2:$B$8,2,0)</f>
        <v>Children Bicycles</v>
      </c>
    </row>
    <row r="4466" spans="1:10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 s="1">
        <f t="shared" si="69"/>
        <v>10799.982</v>
      </c>
      <c r="H4466" t="str">
        <f>VLOOKUP(C4466,[1]products!$A:$B,2,0)</f>
        <v>Trek Silque SLR 7 Women's - 2017</v>
      </c>
      <c r="I4466">
        <f>VLOOKUP(H4466,[1]products!$B:$D,3,0)</f>
        <v>7</v>
      </c>
      <c r="J4466" t="str">
        <f>VLOOKUP(I4466,[2]categories!$A$2:$B$8,2,0)</f>
        <v>Road Bikes</v>
      </c>
    </row>
    <row r="4467" spans="1:10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 s="1">
        <f t="shared" si="69"/>
        <v>485.982</v>
      </c>
      <c r="H4467" t="str">
        <f>VLOOKUP(C4467,[1]products!$A:$B,2,0)</f>
        <v>Electra Cruiser 1 - 2016/2017/2018</v>
      </c>
      <c r="I4467">
        <f>VLOOKUP(H4467,[1]products!$B:$D,3,0)</f>
        <v>3</v>
      </c>
      <c r="J4467" t="str">
        <f>VLOOKUP(I4467,[2]categories!$A$2:$B$8,2,0)</f>
        <v>Cruisers Bicycles</v>
      </c>
    </row>
    <row r="4468" spans="1:10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 s="1">
        <f t="shared" si="69"/>
        <v>674.991</v>
      </c>
      <c r="H4468" t="str">
        <f>VLOOKUP(C4468,[1]products!$A:$B,2,0)</f>
        <v>Trek Marlin 7 - 2017/2018</v>
      </c>
      <c r="I4468">
        <f>VLOOKUP(H4468,[1]products!$B:$D,3,0)</f>
        <v>6</v>
      </c>
      <c r="J4468" t="str">
        <f>VLOOKUP(I4468,[2]categories!$A$2:$B$8,2,0)</f>
        <v>Mountain Bikes</v>
      </c>
    </row>
    <row r="4469" spans="1:10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 s="1">
        <f t="shared" si="69"/>
        <v>1709.1</v>
      </c>
      <c r="H4469" t="str">
        <f>VLOOKUP(C4469,[1]products!$A:$B,2,0)</f>
        <v>Surly ECR 27.5 - 2018</v>
      </c>
      <c r="I4469">
        <f>VLOOKUP(H4469,[1]products!$B:$D,3,0)</f>
        <v>6</v>
      </c>
      <c r="J4469" t="str">
        <f>VLOOKUP(I4469,[2]categories!$A$2:$B$8,2,0)</f>
        <v>Mountain Bikes</v>
      </c>
    </row>
    <row r="4470" spans="1:10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0.07</v>
      </c>
      <c r="G4470" s="1">
        <f t="shared" si="69"/>
        <v>5579.9814</v>
      </c>
      <c r="H4470" t="str">
        <f>VLOOKUP(C4470,[1]products!$A:$B,2,0)</f>
        <v>Trek Crockett 7 Disc - 2018</v>
      </c>
      <c r="I4470">
        <f>VLOOKUP(H4470,[1]products!$B:$D,3,0)</f>
        <v>4</v>
      </c>
      <c r="J4470" t="str">
        <f>VLOOKUP(I4470,[2]categories!$A$2:$B$8,2,0)</f>
        <v>Cyclocross Bicycles</v>
      </c>
    </row>
    <row r="4471" spans="1:10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 s="1">
        <f t="shared" si="69"/>
        <v>413.982</v>
      </c>
      <c r="H4471" t="str">
        <f>VLOOKUP(C4471,[1]products!$A:$B,2,0)</f>
        <v>Trek Precaliber 20 Boy's - 2018</v>
      </c>
      <c r="I4471">
        <f>VLOOKUP(H4471,[1]products!$B:$D,3,0)</f>
        <v>1</v>
      </c>
      <c r="J4471" t="str">
        <f>VLOOKUP(I4471,[2]categories!$A$2:$B$8,2,0)</f>
        <v>Children Bicycles</v>
      </c>
    </row>
    <row r="4472" spans="1:10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 s="1">
        <f t="shared" si="69"/>
        <v>583.191</v>
      </c>
      <c r="H4472" t="str">
        <f>VLOOKUP(C4472,[1]products!$A:$B,2,0)</f>
        <v>Sun Bicycles Biscayne Tandem CB - 2017</v>
      </c>
      <c r="I4472">
        <f>VLOOKUP(H4472,[1]products!$B:$D,3,0)</f>
        <v>3</v>
      </c>
      <c r="J4472" t="str">
        <f>VLOOKUP(I4472,[2]categories!$A$2:$B$8,2,0)</f>
        <v>Cruisers Bicycles</v>
      </c>
    </row>
    <row r="4473" spans="1:10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 s="1">
        <f t="shared" si="69"/>
        <v>314.991</v>
      </c>
      <c r="H4473" t="str">
        <f>VLOOKUP(C4473,[1]products!$A:$B,2,0)</f>
        <v>Electra Moto 3i (20-inch) - Boy's - 2017</v>
      </c>
      <c r="I4473">
        <f>VLOOKUP(H4473,[1]products!$B:$D,3,0)</f>
        <v>1</v>
      </c>
      <c r="J4473" t="str">
        <f>VLOOKUP(I4473,[2]categories!$A$2:$B$8,2,0)</f>
        <v>Children Bicycles</v>
      </c>
    </row>
    <row r="4474" spans="1:10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 s="1">
        <f t="shared" si="69"/>
        <v>1619.982</v>
      </c>
      <c r="H4474" t="str">
        <f>VLOOKUP(C4474,[1]products!$A:$B,2,0)</f>
        <v>Electra Koa 3i Ladies' - 2018</v>
      </c>
      <c r="I4474">
        <f>VLOOKUP(H4474,[1]products!$B:$D,3,0)</f>
        <v>3</v>
      </c>
      <c r="J4474" t="str">
        <f>VLOOKUP(I4474,[2]categories!$A$2:$B$8,2,0)</f>
        <v>Cruisers Bicycles</v>
      </c>
    </row>
    <row r="4475" spans="1:10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 s="1">
        <f t="shared" si="69"/>
        <v>5849.991</v>
      </c>
      <c r="H4475" t="str">
        <f>VLOOKUP(C4475,[1]products!$A:$B,2,0)</f>
        <v>Trek Silque SLR 8 Women's - 2017</v>
      </c>
      <c r="I4475">
        <f>VLOOKUP(H4475,[1]products!$B:$D,3,0)</f>
        <v>7</v>
      </c>
      <c r="J4475" t="str">
        <f>VLOOKUP(I4475,[2]categories!$A$2:$B$8,2,0)</f>
        <v>Road Bikes</v>
      </c>
    </row>
    <row r="4476" spans="1:10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 s="1">
        <f t="shared" si="69"/>
        <v>3149.991</v>
      </c>
      <c r="H4476" t="str">
        <f>VLOOKUP(C4476,[1]products!$A:$B,2,0)</f>
        <v>Trek XM700+ - 2018</v>
      </c>
      <c r="I4476">
        <f>VLOOKUP(H4476,[1]products!$B:$D,3,0)</f>
        <v>5</v>
      </c>
      <c r="J4476" t="str">
        <f>VLOOKUP(I4476,[2]categories!$A$2:$B$8,2,0)</f>
        <v>Electric Bikes</v>
      </c>
    </row>
    <row r="4477" spans="1:10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 s="1">
        <f t="shared" si="69"/>
        <v>1396.4905</v>
      </c>
      <c r="H4477" t="str">
        <f>VLOOKUP(C4477,[1]products!$A:$B,2,0)</f>
        <v>Trek Ticket S Frame - 2018</v>
      </c>
      <c r="I4477">
        <f>VLOOKUP(H4477,[1]products!$B:$D,3,0)</f>
        <v>6</v>
      </c>
      <c r="J4477" t="str">
        <f>VLOOKUP(I4477,[2]categories!$A$2:$B$8,2,0)</f>
        <v>Mountain Bikes</v>
      </c>
    </row>
    <row r="4478" spans="1:10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 s="1">
        <f t="shared" si="69"/>
        <v>319.984</v>
      </c>
      <c r="H4478" t="str">
        <f>VLOOKUP(C4478,[1]products!$A:$B,2,0)</f>
        <v>Trek Precaliber 12 Boy's - 2018</v>
      </c>
      <c r="I4478">
        <f>VLOOKUP(H4478,[1]products!$B:$D,3,0)</f>
        <v>1</v>
      </c>
      <c r="J4478" t="str">
        <f>VLOOKUP(I4478,[2]categories!$A$2:$B$8,2,0)</f>
        <v>Children Bicycles</v>
      </c>
    </row>
    <row r="4479" spans="1:10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 s="1">
        <f t="shared" si="69"/>
        <v>5119.984</v>
      </c>
      <c r="H4479" t="str">
        <f>VLOOKUP(C4479,[1]products!$A:$B,2,0)</f>
        <v>Trek Domane ALR Disc Frameset - 2018</v>
      </c>
      <c r="I4479">
        <f>VLOOKUP(H4479,[1]products!$B:$D,3,0)</f>
        <v>7</v>
      </c>
      <c r="J4479" t="str">
        <f>VLOOKUP(I4479,[2]categories!$A$2:$B$8,2,0)</f>
        <v>Road Bikes</v>
      </c>
    </row>
    <row r="4480" spans="1:10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 s="1">
        <f t="shared" si="69"/>
        <v>199.4905</v>
      </c>
      <c r="H4480" t="str">
        <f>VLOOKUP(C4480,[1]products!$A:$B,2,0)</f>
        <v>Haro Shredder 20 - 2017</v>
      </c>
      <c r="I4480">
        <f>VLOOKUP(H4480,[1]products!$B:$D,3,0)</f>
        <v>1</v>
      </c>
      <c r="J4480" t="str">
        <f>VLOOKUP(I4480,[2]categories!$A$2:$B$8,2,0)</f>
        <v>Children Bicycles</v>
      </c>
    </row>
    <row r="4481" spans="1:10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 s="1">
        <f t="shared" si="69"/>
        <v>1139.981</v>
      </c>
      <c r="H4481" t="str">
        <f>VLOOKUP(C4481,[1]products!$A:$B,2,0)</f>
        <v>Electra Cruiser Lux Fat Tire 1 Ladies - 2017</v>
      </c>
      <c r="I4481">
        <f>VLOOKUP(H4481,[1]products!$B:$D,3,0)</f>
        <v>3</v>
      </c>
      <c r="J4481" t="str">
        <f>VLOOKUP(I4481,[2]categories!$A$2:$B$8,2,0)</f>
        <v>Cruisers Bicycles</v>
      </c>
    </row>
    <row r="4482" spans="1:10">
      <c r="A4482">
        <v>1536</v>
      </c>
      <c r="B4482">
        <v>1</v>
      </c>
      <c r="C4482">
        <v>183</v>
      </c>
      <c r="D4482">
        <v>1</v>
      </c>
      <c r="E4482">
        <v>2199.99</v>
      </c>
      <c r="F4482">
        <v>0.2</v>
      </c>
      <c r="G4482" s="1">
        <f t="shared" ref="G4482:G4545" si="70">D4482*E4482*(1-F4482)</f>
        <v>1759.992</v>
      </c>
      <c r="H4482" t="str">
        <f>VLOOKUP(C4482,[1]products!$A:$B,2,0)</f>
        <v>Trek Domane SL 5 Women's - 2018</v>
      </c>
      <c r="I4482">
        <f>VLOOKUP(H4482,[1]products!$B:$D,3,0)</f>
        <v>7</v>
      </c>
      <c r="J4482" t="str">
        <f>VLOOKUP(I4482,[2]categories!$A$2:$B$8,2,0)</f>
        <v>Road Bikes</v>
      </c>
    </row>
    <row r="4483" spans="1:10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0.07</v>
      </c>
      <c r="G4483" s="1">
        <f t="shared" si="70"/>
        <v>5207.9814</v>
      </c>
      <c r="H4483" t="str">
        <f>VLOOKUP(C4483,[1]products!$A:$B,2,0)</f>
        <v>Trek Conduit+ - 2018</v>
      </c>
      <c r="I4483">
        <f>VLOOKUP(H4483,[1]products!$B:$D,3,0)</f>
        <v>5</v>
      </c>
      <c r="J4483" t="str">
        <f>VLOOKUP(I4483,[2]categories!$A$2:$B$8,2,0)</f>
        <v>Electric Bikes</v>
      </c>
    </row>
    <row r="4484" spans="1:10">
      <c r="A4484">
        <v>1536</v>
      </c>
      <c r="B4484">
        <v>3</v>
      </c>
      <c r="C4484">
        <v>196</v>
      </c>
      <c r="D4484">
        <v>2</v>
      </c>
      <c r="E4484">
        <v>2299.99</v>
      </c>
      <c r="F4484">
        <v>0.2</v>
      </c>
      <c r="G4484" s="1">
        <f t="shared" si="70"/>
        <v>3679.984</v>
      </c>
      <c r="H4484" t="str">
        <f>VLOOKUP(C4484,[1]products!$A:$B,2,0)</f>
        <v>Trek Verve+ - 2018</v>
      </c>
      <c r="I4484">
        <f>VLOOKUP(H4484,[1]products!$B:$D,3,0)</f>
        <v>5</v>
      </c>
      <c r="J4484" t="str">
        <f>VLOOKUP(I4484,[2]categories!$A$2:$B$8,2,0)</f>
        <v>Electric Bikes</v>
      </c>
    </row>
    <row r="4485" spans="1:10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 s="1">
        <f t="shared" si="70"/>
        <v>1614.981</v>
      </c>
      <c r="H4485" t="str">
        <f>VLOOKUP(C4485,[1]products!$A:$B,2,0)</f>
        <v>Electra Relic 3i - 2018</v>
      </c>
      <c r="I4485">
        <f>VLOOKUP(H4485,[1]products!$B:$D,3,0)</f>
        <v>3</v>
      </c>
      <c r="J4485" t="str">
        <f>VLOOKUP(I4485,[2]categories!$A$2:$B$8,2,0)</f>
        <v>Cruisers Bicycles</v>
      </c>
    </row>
    <row r="4486" spans="1:10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0.07</v>
      </c>
      <c r="G4486" s="1">
        <f t="shared" si="70"/>
        <v>3068.9907</v>
      </c>
      <c r="H4486" t="str">
        <f>VLOOKUP(C4486,[1]products!$A:$B,2,0)</f>
        <v>Trek Boone 5 Disc - 2018</v>
      </c>
      <c r="I4486">
        <f>VLOOKUP(H4486,[1]products!$B:$D,3,0)</f>
        <v>4</v>
      </c>
      <c r="J4486" t="str">
        <f>VLOOKUP(I4486,[2]categories!$A$2:$B$8,2,0)</f>
        <v>Cyclocross Bicycles</v>
      </c>
    </row>
    <row r="4487" spans="1:10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0.07</v>
      </c>
      <c r="G4487" s="1">
        <f t="shared" si="70"/>
        <v>2622.5814</v>
      </c>
      <c r="H4487" t="str">
        <f>VLOOKUP(C4487,[1]products!$A:$B,2,0)</f>
        <v>Haro SR 1.3 - 2017</v>
      </c>
      <c r="I4487">
        <f>VLOOKUP(H4487,[1]products!$B:$D,3,0)</f>
        <v>6</v>
      </c>
      <c r="J4487" t="str">
        <f>VLOOKUP(I4487,[2]categories!$A$2:$B$8,2,0)</f>
        <v>Mountain Bikes</v>
      </c>
    </row>
    <row r="4488" spans="1:10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0.07</v>
      </c>
      <c r="G4488" s="1">
        <f t="shared" si="70"/>
        <v>1367.0907</v>
      </c>
      <c r="H4488" t="str">
        <f>VLOOKUP(C4488,[1]products!$A:$B,2,0)</f>
        <v>Trek Ticket S Frame - 2018</v>
      </c>
      <c r="I4488">
        <f>VLOOKUP(H4488,[1]products!$B:$D,3,0)</f>
        <v>6</v>
      </c>
      <c r="J4488" t="str">
        <f>VLOOKUP(I4488,[2]categories!$A$2:$B$8,2,0)</f>
        <v>Mountain Bikes</v>
      </c>
    </row>
    <row r="4489" spans="1:10">
      <c r="A4489">
        <v>1538</v>
      </c>
      <c r="B4489">
        <v>4</v>
      </c>
      <c r="C4489">
        <v>197</v>
      </c>
      <c r="D4489">
        <v>1</v>
      </c>
      <c r="E4489">
        <v>2299.99</v>
      </c>
      <c r="F4489">
        <v>0.2</v>
      </c>
      <c r="G4489" s="1">
        <f t="shared" si="70"/>
        <v>1839.992</v>
      </c>
      <c r="H4489" t="str">
        <f>VLOOKUP(C4489,[1]products!$A:$B,2,0)</f>
        <v>Trek Verve+ Lowstep - 2018</v>
      </c>
      <c r="I4489">
        <f>VLOOKUP(H4489,[1]products!$B:$D,3,0)</f>
        <v>5</v>
      </c>
      <c r="J4489" t="str">
        <f>VLOOKUP(I4489,[2]categories!$A$2:$B$8,2,0)</f>
        <v>Electric Bikes</v>
      </c>
    </row>
    <row r="4490" spans="1:10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 s="1">
        <f t="shared" si="70"/>
        <v>1709.981</v>
      </c>
      <c r="H4490" t="str">
        <f>VLOOKUP(C4490,[1]products!$A:$B,2,0)</f>
        <v>Electra Townie Balloon 7i EQ Ladies' - 2017/2018</v>
      </c>
      <c r="I4490">
        <f>VLOOKUP(H4490,[1]products!$B:$D,3,0)</f>
        <v>3</v>
      </c>
      <c r="J4490" t="str">
        <f>VLOOKUP(I4490,[2]categories!$A$2:$B$8,2,0)</f>
        <v>Cruisers Bicycles</v>
      </c>
    </row>
    <row r="4491" spans="1:10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 s="1">
        <f t="shared" si="70"/>
        <v>892.981</v>
      </c>
      <c r="H4491" t="str">
        <f>VLOOKUP(C4491,[1]products!$A:$B,2,0)</f>
        <v>Surly Ice Cream Truck Frameset - 2016</v>
      </c>
      <c r="I4491">
        <f>VLOOKUP(H4491,[1]products!$B:$D,3,0)</f>
        <v>6</v>
      </c>
      <c r="J4491" t="str">
        <f>VLOOKUP(I4491,[2]categories!$A$2:$B$8,2,0)</f>
        <v>Mountain Bikes</v>
      </c>
    </row>
    <row r="4492" spans="1:10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 s="1">
        <f t="shared" si="70"/>
        <v>1044.981</v>
      </c>
      <c r="H4492" t="str">
        <f>VLOOKUP(C4492,[1]products!$A:$B,2,0)</f>
        <v>Electra Townie Original 21D - 2016</v>
      </c>
      <c r="I4492">
        <f>VLOOKUP(H4492,[1]products!$B:$D,3,0)</f>
        <v>3</v>
      </c>
      <c r="J4492" t="str">
        <f>VLOOKUP(I4492,[2]categories!$A$2:$B$8,2,0)</f>
        <v>Cruisers Bicycles</v>
      </c>
    </row>
    <row r="4493" spans="1:10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 s="1">
        <f t="shared" si="70"/>
        <v>792.281</v>
      </c>
      <c r="H4493" t="str">
        <f>VLOOKUP(C4493,[1]products!$A:$B,2,0)</f>
        <v>Sun Bicycles Atlas X-Type - 2017</v>
      </c>
      <c r="I4493">
        <f>VLOOKUP(H4493,[1]products!$B:$D,3,0)</f>
        <v>3</v>
      </c>
      <c r="J4493" t="str">
        <f>VLOOKUP(I4493,[2]categories!$A$2:$B$8,2,0)</f>
        <v>Cruisers Bicycles</v>
      </c>
    </row>
    <row r="4494" spans="1:10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0.07</v>
      </c>
      <c r="G4494" s="1">
        <f t="shared" si="70"/>
        <v>697.4907</v>
      </c>
      <c r="H4494" t="str">
        <f>VLOOKUP(C4494,[1]products!$A:$B,2,0)</f>
        <v>Electra Morningstar 3i Ladies' - 2018</v>
      </c>
      <c r="I4494">
        <f>VLOOKUP(H4494,[1]products!$B:$D,3,0)</f>
        <v>3</v>
      </c>
      <c r="J4494" t="str">
        <f>VLOOKUP(I4494,[2]categories!$A$2:$B$8,2,0)</f>
        <v>Cruisers Bicycles</v>
      </c>
    </row>
    <row r="4495" spans="1:10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 s="1">
        <f t="shared" si="70"/>
        <v>455.9905</v>
      </c>
      <c r="H4495" t="str">
        <f>VLOOKUP(C4495,[1]products!$A:$B,2,0)</f>
        <v>Electra Cruiser Lux 7D - 2018</v>
      </c>
      <c r="I4495">
        <f>VLOOKUP(H4495,[1]products!$B:$D,3,0)</f>
        <v>3</v>
      </c>
      <c r="J4495" t="str">
        <f>VLOOKUP(I4495,[2]categories!$A$2:$B$8,2,0)</f>
        <v>Cruisers Bicycles</v>
      </c>
    </row>
    <row r="4496" spans="1:10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 s="1">
        <f t="shared" si="70"/>
        <v>10449.981</v>
      </c>
      <c r="H4496" t="str">
        <f>VLOOKUP(C4496,[1]products!$A:$B,2,0)</f>
        <v>Trek Domane SLR 6 Disc - 2018</v>
      </c>
      <c r="I4496">
        <f>VLOOKUP(H4496,[1]products!$B:$D,3,0)</f>
        <v>7</v>
      </c>
      <c r="J4496" t="str">
        <f>VLOOKUP(I4496,[2]categories!$A$2:$B$8,2,0)</f>
        <v>Road Bikes</v>
      </c>
    </row>
    <row r="4497" spans="1:10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 s="1">
        <f t="shared" si="70"/>
        <v>518.392</v>
      </c>
      <c r="H4497" t="str">
        <f>VLOOKUP(C4497,[1]products!$A:$B,2,0)</f>
        <v>Sun Bicycles Biscayne Tandem CB - 2017</v>
      </c>
      <c r="I4497">
        <f>VLOOKUP(H4497,[1]products!$B:$D,3,0)</f>
        <v>3</v>
      </c>
      <c r="J4497" t="str">
        <f>VLOOKUP(I4497,[2]categories!$A$2:$B$8,2,0)</f>
        <v>Cruisers Bicycles</v>
      </c>
    </row>
    <row r="4498" spans="1:10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 s="1">
        <f t="shared" si="70"/>
        <v>21599.982</v>
      </c>
      <c r="H4498" t="str">
        <f>VLOOKUP(C4498,[1]products!$A:$B,2,0)</f>
        <v>Trek Domane SLR 9 Disc - 2018</v>
      </c>
      <c r="I4498">
        <f>VLOOKUP(H4498,[1]products!$B:$D,3,0)</f>
        <v>7</v>
      </c>
      <c r="J4498" t="str">
        <f>VLOOKUP(I4498,[2]categories!$A$2:$B$8,2,0)</f>
        <v>Road Bikes</v>
      </c>
    </row>
    <row r="4499" spans="1:10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0.07</v>
      </c>
      <c r="G4499" s="1">
        <f t="shared" si="70"/>
        <v>1115.9814</v>
      </c>
      <c r="H4499" t="str">
        <f>VLOOKUP(C4499,[1]products!$A:$B,2,0)</f>
        <v>Electra Townie Original 7D EQ Ladies' - 2017/2018</v>
      </c>
      <c r="I4499">
        <f>VLOOKUP(H4499,[1]products!$B:$D,3,0)</f>
        <v>3</v>
      </c>
      <c r="J4499" t="str">
        <f>VLOOKUP(I4499,[2]categories!$A$2:$B$8,2,0)</f>
        <v>Cruisers Bicycles</v>
      </c>
    </row>
    <row r="4500" spans="1:10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 s="1">
        <f t="shared" si="70"/>
        <v>5759.982</v>
      </c>
      <c r="H4500" t="str">
        <f>VLOOKUP(C4500,[1]products!$A:$B,2,0)</f>
        <v>Trek Fuel EX 8 29 XT - 2018</v>
      </c>
      <c r="I4500">
        <f>VLOOKUP(H4500,[1]products!$B:$D,3,0)</f>
        <v>6</v>
      </c>
      <c r="J4500" t="str">
        <f>VLOOKUP(I4500,[2]categories!$A$2:$B$8,2,0)</f>
        <v>Mountain Bikes</v>
      </c>
    </row>
    <row r="4501" spans="1:10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 s="1">
        <f t="shared" si="70"/>
        <v>386.1</v>
      </c>
      <c r="H4501" t="str">
        <f>VLOOKUP(C4501,[1]products!$A:$B,2,0)</f>
        <v>Pure Cycles Vine 8-Speed - 2016</v>
      </c>
      <c r="I4501">
        <f>VLOOKUP(H4501,[1]products!$B:$D,3,0)</f>
        <v>3</v>
      </c>
      <c r="J4501" t="str">
        <f>VLOOKUP(I4501,[2]categories!$A$2:$B$8,2,0)</f>
        <v>Cruisers Bicycles</v>
      </c>
    </row>
    <row r="4502" spans="1:10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 s="1">
        <f t="shared" si="70"/>
        <v>284.981</v>
      </c>
      <c r="H4502" t="str">
        <f>VLOOKUP(C4502,[1]products!$A:$B,2,0)</f>
        <v>Trek Girl's Kickster - 2017</v>
      </c>
      <c r="I4502">
        <f>VLOOKUP(H4502,[1]products!$B:$D,3,0)</f>
        <v>1</v>
      </c>
      <c r="J4502" t="str">
        <f>VLOOKUP(I4502,[2]categories!$A$2:$B$8,2,0)</f>
        <v>Children Bicycles</v>
      </c>
    </row>
    <row r="4503" spans="1:10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 s="1">
        <f t="shared" si="70"/>
        <v>322.392</v>
      </c>
      <c r="H4503" t="str">
        <f>VLOOKUP(C4503,[1]products!$A:$B,2,0)</f>
        <v>Sun Bicycles Boardwalk (24-inch Wheels) - 2017</v>
      </c>
      <c r="I4503">
        <f>VLOOKUP(H4503,[1]products!$B:$D,3,0)</f>
        <v>3</v>
      </c>
      <c r="J4503" t="str">
        <f>VLOOKUP(I4503,[2]categories!$A$2:$B$8,2,0)</f>
        <v>Cruisers Bicycles</v>
      </c>
    </row>
    <row r="4504" spans="1:10">
      <c r="A4504">
        <v>1542</v>
      </c>
      <c r="B4504">
        <v>2</v>
      </c>
      <c r="C4504">
        <v>122</v>
      </c>
      <c r="D4504">
        <v>2</v>
      </c>
      <c r="E4504">
        <v>2499.99</v>
      </c>
      <c r="F4504">
        <v>0.05</v>
      </c>
      <c r="G4504" s="1">
        <f t="shared" si="70"/>
        <v>4749.981</v>
      </c>
      <c r="H4504" t="str">
        <f>VLOOKUP(C4504,[1]products!$A:$B,2,0)</f>
        <v>Surly Troll Frameset - 2018</v>
      </c>
      <c r="I4504">
        <f>VLOOKUP(H4504,[1]products!$B:$D,3,0)</f>
        <v>6</v>
      </c>
      <c r="J4504" t="str">
        <f>VLOOKUP(I4504,[2]categories!$A$2:$B$8,2,0)</f>
        <v>Mountain Bikes</v>
      </c>
    </row>
    <row r="4505" spans="1:10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 s="1">
        <f t="shared" si="70"/>
        <v>5599.984</v>
      </c>
      <c r="H4505" t="str">
        <f>VLOOKUP(C4505,[1]products!$A:$B,2,0)</f>
        <v>Trek Domane SL 6 Disc - 2018</v>
      </c>
      <c r="I4505">
        <f>VLOOKUP(H4505,[1]products!$B:$D,3,0)</f>
        <v>7</v>
      </c>
      <c r="J4505" t="str">
        <f>VLOOKUP(I4505,[2]categories!$A$2:$B$8,2,0)</f>
        <v>Road Bikes</v>
      </c>
    </row>
    <row r="4506" spans="1:10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 s="1">
        <f t="shared" si="70"/>
        <v>683.982</v>
      </c>
      <c r="H4506" t="str">
        <f>VLOOKUP(C4506,[1]products!$A:$B,2,0)</f>
        <v>Haro Flightline One ST - 2017</v>
      </c>
      <c r="I4506">
        <f>VLOOKUP(H4506,[1]products!$B:$D,3,0)</f>
        <v>6</v>
      </c>
      <c r="J4506" t="str">
        <f>VLOOKUP(I4506,[2]categories!$A$2:$B$8,2,0)</f>
        <v>Mountain Bikes</v>
      </c>
    </row>
    <row r="4507" spans="1:10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 s="1">
        <f t="shared" si="70"/>
        <v>223.992</v>
      </c>
      <c r="H4507" t="str">
        <f>VLOOKUP(C4507,[1]products!$A:$B,2,0)</f>
        <v>Electra Under-The-Sea 1 16" - 2018</v>
      </c>
      <c r="I4507">
        <f>VLOOKUP(H4507,[1]products!$B:$D,3,0)</f>
        <v>1</v>
      </c>
      <c r="J4507" t="str">
        <f>VLOOKUP(I4507,[2]categories!$A$2:$B$8,2,0)</f>
        <v>Children Bicycles</v>
      </c>
    </row>
    <row r="4508" spans="1:10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 s="1">
        <f t="shared" si="70"/>
        <v>809.982</v>
      </c>
      <c r="H4508" t="str">
        <f>VLOOKUP(C4508,[1]products!$A:$B,2,0)</f>
        <v>Sun Bicycles Cruz 3 - Women's - 2017</v>
      </c>
      <c r="I4508">
        <f>VLOOKUP(H4508,[1]products!$B:$D,3,0)</f>
        <v>2</v>
      </c>
      <c r="J4508" t="str">
        <f>VLOOKUP(I4508,[2]categories!$A$2:$B$8,2,0)</f>
        <v>Comfort Bicycles</v>
      </c>
    </row>
    <row r="4509" spans="1:10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 s="1">
        <f t="shared" si="70"/>
        <v>167.992</v>
      </c>
      <c r="H4509" t="str">
        <f>VLOOKUP(C4509,[1]products!$A:$B,2,0)</f>
        <v>Haro Shredder 20 Girls - 2017</v>
      </c>
      <c r="I4509">
        <f>VLOOKUP(H4509,[1]products!$B:$D,3,0)</f>
        <v>1</v>
      </c>
      <c r="J4509" t="str">
        <f>VLOOKUP(I4509,[2]categories!$A$2:$B$8,2,0)</f>
        <v>Children Bicycles</v>
      </c>
    </row>
    <row r="4510" spans="1:10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0.07</v>
      </c>
      <c r="G4510" s="1">
        <f t="shared" si="70"/>
        <v>1785.5814</v>
      </c>
      <c r="H4510" t="str">
        <f>VLOOKUP(C4510,[1]products!$A:$B,2,0)</f>
        <v>Trek CrossRip 1 - 2018</v>
      </c>
      <c r="I4510">
        <f>VLOOKUP(H4510,[1]products!$B:$D,3,0)</f>
        <v>7</v>
      </c>
      <c r="J4510" t="str">
        <f>VLOOKUP(I4510,[2]categories!$A$2:$B$8,2,0)</f>
        <v>Road Bikes</v>
      </c>
    </row>
    <row r="4511" spans="1:10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 s="1">
        <f t="shared" si="70"/>
        <v>664.981</v>
      </c>
      <c r="H4511" t="str">
        <f>VLOOKUP(C4511,[1]products!$A:$B,2,0)</f>
        <v>Electra Savannah 3i (20-inch) - Girl's - 2017</v>
      </c>
      <c r="I4511">
        <f>VLOOKUP(H4511,[1]products!$B:$D,3,0)</f>
        <v>1</v>
      </c>
      <c r="J4511" t="str">
        <f>VLOOKUP(I4511,[2]categories!$A$2:$B$8,2,0)</f>
        <v>Children Bicycles</v>
      </c>
    </row>
    <row r="4512" spans="1:10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 s="1">
        <f t="shared" si="70"/>
        <v>1439.992</v>
      </c>
      <c r="H4512" t="str">
        <f>VLOOKUP(C4512,[1]products!$A:$B,2,0)</f>
        <v>Trek Procaliber 6 - 2018</v>
      </c>
      <c r="I4512">
        <f>VLOOKUP(H4512,[1]products!$B:$D,3,0)</f>
        <v>6</v>
      </c>
      <c r="J4512" t="str">
        <f>VLOOKUP(I4512,[2]categories!$A$2:$B$8,2,0)</f>
        <v>Mountain Bikes</v>
      </c>
    </row>
    <row r="4513" spans="1:10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 s="1">
        <f t="shared" si="70"/>
        <v>6299.982</v>
      </c>
      <c r="H4513" t="str">
        <f>VLOOKUP(C4513,[1]products!$A:$B,2,0)</f>
        <v>Trek XM700+ - 2018</v>
      </c>
      <c r="I4513">
        <f>VLOOKUP(H4513,[1]products!$B:$D,3,0)</f>
        <v>5</v>
      </c>
      <c r="J4513" t="str">
        <f>VLOOKUP(I4513,[2]categories!$A$2:$B$8,2,0)</f>
        <v>Electric Bikes</v>
      </c>
    </row>
    <row r="4514" spans="1:10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 s="1">
        <f t="shared" si="70"/>
        <v>667.184</v>
      </c>
      <c r="H4514" t="str">
        <f>VLOOKUP(C4514,[1]products!$A:$B,2,0)</f>
        <v>Sun Bicycles Cruz 7 - 2017</v>
      </c>
      <c r="I4514">
        <f>VLOOKUP(H4514,[1]products!$B:$D,3,0)</f>
        <v>3</v>
      </c>
      <c r="J4514" t="str">
        <f>VLOOKUP(I4514,[2]categories!$A$2:$B$8,2,0)</f>
        <v>Cruisers Bicycles</v>
      </c>
    </row>
    <row r="4515" spans="1:10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 s="1">
        <f t="shared" si="70"/>
        <v>782.991</v>
      </c>
      <c r="H4515" t="str">
        <f>VLOOKUP(C4515,[1]products!$A:$B,2,0)</f>
        <v>Haro SR 1.2 - 2017</v>
      </c>
      <c r="I4515">
        <f>VLOOKUP(H4515,[1]products!$B:$D,3,0)</f>
        <v>6</v>
      </c>
      <c r="J4515" t="str">
        <f>VLOOKUP(I4515,[2]categories!$A$2:$B$8,2,0)</f>
        <v>Mountain Bikes</v>
      </c>
    </row>
    <row r="4516" spans="1:10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 s="1">
        <f t="shared" si="70"/>
        <v>5849.991</v>
      </c>
      <c r="H4516" t="str">
        <f>VLOOKUP(C4516,[1]products!$A:$B,2,0)</f>
        <v>Trek Domane SL Frameset - 2018</v>
      </c>
      <c r="I4516">
        <f>VLOOKUP(H4516,[1]products!$B:$D,3,0)</f>
        <v>7</v>
      </c>
      <c r="J4516" t="str">
        <f>VLOOKUP(I4516,[2]categories!$A$2:$B$8,2,0)</f>
        <v>Road Bikes</v>
      </c>
    </row>
    <row r="4517" spans="1:10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 s="1">
        <f t="shared" si="70"/>
        <v>5039.982</v>
      </c>
      <c r="H4517" t="str">
        <f>VLOOKUP(C4517,[1]products!$A:$B,2,0)</f>
        <v>Trek Conduit+ - 2018</v>
      </c>
      <c r="I4517">
        <f>VLOOKUP(H4517,[1]products!$B:$D,3,0)</f>
        <v>5</v>
      </c>
      <c r="J4517" t="str">
        <f>VLOOKUP(I4517,[2]categories!$A$2:$B$8,2,0)</f>
        <v>Electric Bikes</v>
      </c>
    </row>
    <row r="4518" spans="1:10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 s="1">
        <f t="shared" si="70"/>
        <v>674.991</v>
      </c>
      <c r="H4518" t="str">
        <f>VLOOKUP(C4518,[1]products!$A:$B,2,0)</f>
        <v>Electra Queen of Hearts 3i - 2018</v>
      </c>
      <c r="I4518">
        <f>VLOOKUP(H4518,[1]products!$B:$D,3,0)</f>
        <v>3</v>
      </c>
      <c r="J4518" t="str">
        <f>VLOOKUP(I4518,[2]categories!$A$2:$B$8,2,0)</f>
        <v>Cruisers Bicycles</v>
      </c>
    </row>
    <row r="4519" spans="1:10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 s="1">
        <f t="shared" si="70"/>
        <v>474.9905</v>
      </c>
      <c r="H4519" t="str">
        <f>VLOOKUP(C4519,[1]products!$A:$B,2,0)</f>
        <v>Electra Townie Original 7D - 2015/2016</v>
      </c>
      <c r="I4519">
        <f>VLOOKUP(H4519,[1]products!$B:$D,3,0)</f>
        <v>2</v>
      </c>
      <c r="J4519" t="str">
        <f>VLOOKUP(I4519,[2]categories!$A$2:$B$8,2,0)</f>
        <v>Comfort Bicycles</v>
      </c>
    </row>
    <row r="4520" spans="1:10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 s="1">
        <f t="shared" si="70"/>
        <v>719.984</v>
      </c>
      <c r="H4520" t="str">
        <f>VLOOKUP(C4520,[1]products!$A:$B,2,0)</f>
        <v>Sun Bicycles Cruz 3 - 2017</v>
      </c>
      <c r="I4520">
        <f>VLOOKUP(H4520,[1]products!$B:$D,3,0)</f>
        <v>3</v>
      </c>
      <c r="J4520" t="str">
        <f>VLOOKUP(I4520,[2]categories!$A$2:$B$8,2,0)</f>
        <v>Cruisers Bicycles</v>
      </c>
    </row>
    <row r="4521" spans="1:10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 s="1">
        <f t="shared" si="70"/>
        <v>2879.992</v>
      </c>
      <c r="H4521" t="str">
        <f>VLOOKUP(C4521,[1]products!$A:$B,2,0)</f>
        <v>Trek Super Commuter+ 7 - 2018</v>
      </c>
      <c r="I4521">
        <f>VLOOKUP(H4521,[1]products!$B:$D,3,0)</f>
        <v>5</v>
      </c>
      <c r="J4521" t="str">
        <f>VLOOKUP(I4521,[2]categories!$A$2:$B$8,2,0)</f>
        <v>Electric Bikes</v>
      </c>
    </row>
    <row r="4522" spans="1:10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 s="1">
        <f t="shared" si="70"/>
        <v>422.991</v>
      </c>
      <c r="H4522" t="str">
        <f>VLOOKUP(C4522,[1]products!$A:$B,2,0)</f>
        <v>Trek Farley Alloy Frameset - 2017</v>
      </c>
      <c r="I4522">
        <f>VLOOKUP(H4522,[1]products!$B:$D,3,0)</f>
        <v>6</v>
      </c>
      <c r="J4522" t="str">
        <f>VLOOKUP(I4522,[2]categories!$A$2:$B$8,2,0)</f>
        <v>Mountain Bikes</v>
      </c>
    </row>
    <row r="4523" spans="1:10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0.07</v>
      </c>
      <c r="G4523" s="1">
        <f t="shared" si="70"/>
        <v>3254.9907</v>
      </c>
      <c r="H4523" t="str">
        <f>VLOOKUP(C4523,[1]products!$A:$B,2,0)</f>
        <v>Trek Powerfly 5 Women's - 2018</v>
      </c>
      <c r="I4523">
        <f>VLOOKUP(H4523,[1]products!$B:$D,3,0)</f>
        <v>5</v>
      </c>
      <c r="J4523" t="str">
        <f>VLOOKUP(I4523,[2]categories!$A$2:$B$8,2,0)</f>
        <v>Electric Bikes</v>
      </c>
    </row>
    <row r="4524" spans="1:10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 s="1">
        <f t="shared" si="70"/>
        <v>5599.984</v>
      </c>
      <c r="H4524" t="str">
        <f>VLOOKUP(C4524,[1]products!$A:$B,2,0)</f>
        <v>Trek Boone 7 - 2017</v>
      </c>
      <c r="I4524">
        <f>VLOOKUP(H4524,[1]products!$B:$D,3,0)</f>
        <v>4</v>
      </c>
      <c r="J4524" t="str">
        <f>VLOOKUP(I4524,[2]categories!$A$2:$B$8,2,0)</f>
        <v>Cyclocross Bicycles</v>
      </c>
    </row>
    <row r="4525" spans="1:10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 s="1">
        <f t="shared" si="70"/>
        <v>767.992</v>
      </c>
      <c r="H4525" t="str">
        <f>VLOOKUP(C4525,[1]products!$A:$B,2,0)</f>
        <v>Trek CrossRip 1 - 2018</v>
      </c>
      <c r="I4525">
        <f>VLOOKUP(H4525,[1]products!$B:$D,3,0)</f>
        <v>7</v>
      </c>
      <c r="J4525" t="str">
        <f>VLOOKUP(I4525,[2]categories!$A$2:$B$8,2,0)</f>
        <v>Road Bikes</v>
      </c>
    </row>
    <row r="4526" spans="1:10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 s="1">
        <f t="shared" si="70"/>
        <v>446.4905</v>
      </c>
      <c r="H4526" t="str">
        <f>VLOOKUP(C4526,[1]products!$A:$B,2,0)</f>
        <v>Trek Kids' Neko - 2018</v>
      </c>
      <c r="I4526">
        <f>VLOOKUP(H4526,[1]products!$B:$D,3,0)</f>
        <v>6</v>
      </c>
      <c r="J4526" t="str">
        <f>VLOOKUP(I4526,[2]categories!$A$2:$B$8,2,0)</f>
        <v>Mountain Bikes</v>
      </c>
    </row>
    <row r="4527" spans="1:10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 s="1">
        <f t="shared" si="70"/>
        <v>1424.981</v>
      </c>
      <c r="H4527" t="str">
        <f>VLOOKUP(C4527,[1]products!$A:$B,2,0)</f>
        <v>Electra White Water 3i - 2018</v>
      </c>
      <c r="I4527">
        <f>VLOOKUP(H4527,[1]products!$B:$D,3,0)</f>
        <v>3</v>
      </c>
      <c r="J4527" t="str">
        <f>VLOOKUP(I4527,[2]categories!$A$2:$B$8,2,0)</f>
        <v>Cruisers Bicycles</v>
      </c>
    </row>
    <row r="4528" spans="1:10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 s="1">
        <f t="shared" si="70"/>
        <v>1259.982</v>
      </c>
      <c r="H4528" t="str">
        <f>VLOOKUP(C4528,[1]products!$A:$B,2,0)</f>
        <v>Electra Townie Commute 8D Ladies' - 2018</v>
      </c>
      <c r="I4528">
        <f>VLOOKUP(H4528,[1]products!$B:$D,3,0)</f>
        <v>3</v>
      </c>
      <c r="J4528" t="str">
        <f>VLOOKUP(I4528,[2]categories!$A$2:$B$8,2,0)</f>
        <v>Cruisers Bicycles</v>
      </c>
    </row>
    <row r="4529" spans="1:10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 s="1">
        <f t="shared" si="70"/>
        <v>1063.981</v>
      </c>
      <c r="H4529" t="str">
        <f>VLOOKUP(C4529,[1]products!$A:$B,2,0)</f>
        <v>Electra Townie Original 21D Ladies' - 2018</v>
      </c>
      <c r="I4529">
        <f>VLOOKUP(H4529,[1]products!$B:$D,3,0)</f>
        <v>3</v>
      </c>
      <c r="J4529" t="str">
        <f>VLOOKUP(I4529,[2]categories!$A$2:$B$8,2,0)</f>
        <v>Cruisers Bicycles</v>
      </c>
    </row>
    <row r="4530" spans="1:10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0.07</v>
      </c>
      <c r="G4530" s="1">
        <f t="shared" si="70"/>
        <v>613.7907</v>
      </c>
      <c r="H4530" t="str">
        <f>VLOOKUP(C4530,[1]products!$A:$B,2,0)</f>
        <v>Electra Townie Original 3i EQ - 2017/2018</v>
      </c>
      <c r="I4530">
        <f>VLOOKUP(H4530,[1]products!$B:$D,3,0)</f>
        <v>3</v>
      </c>
      <c r="J4530" t="str">
        <f>VLOOKUP(I4530,[2]categories!$A$2:$B$8,2,0)</f>
        <v>Cruisers Bicycles</v>
      </c>
    </row>
    <row r="4531" spans="1:10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 s="1">
        <f t="shared" si="70"/>
        <v>5039.982</v>
      </c>
      <c r="H4531" t="str">
        <f>VLOOKUP(C4531,[1]products!$A:$B,2,0)</f>
        <v>Trek Conduit+ - 2018</v>
      </c>
      <c r="I4531">
        <f>VLOOKUP(H4531,[1]products!$B:$D,3,0)</f>
        <v>5</v>
      </c>
      <c r="J4531" t="str">
        <f>VLOOKUP(I4531,[2]categories!$A$2:$B$8,2,0)</f>
        <v>Electric Bikes</v>
      </c>
    </row>
    <row r="4532" spans="1:10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0.07</v>
      </c>
      <c r="G4532" s="1">
        <f t="shared" si="70"/>
        <v>5114.9907</v>
      </c>
      <c r="H4532" t="str">
        <f>VLOOKUP(C4532,[1]products!$A:$B,2,0)</f>
        <v>Trek Domane SL 8 Disc - 2018</v>
      </c>
      <c r="I4532">
        <f>VLOOKUP(H4532,[1]products!$B:$D,3,0)</f>
        <v>7</v>
      </c>
      <c r="J4532" t="str">
        <f>VLOOKUP(I4532,[2]categories!$A$2:$B$8,2,0)</f>
        <v>Road Bikes</v>
      </c>
    </row>
    <row r="4533" spans="1:10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 s="1">
        <f t="shared" si="70"/>
        <v>284.981</v>
      </c>
      <c r="H4533" t="str">
        <f>VLOOKUP(C4533,[1]products!$A:$B,2,0)</f>
        <v>Trek Girl's Kickster - 2017</v>
      </c>
      <c r="I4533">
        <f>VLOOKUP(H4533,[1]products!$B:$D,3,0)</f>
        <v>1</v>
      </c>
      <c r="J4533" t="str">
        <f>VLOOKUP(I4533,[2]categories!$A$2:$B$8,2,0)</f>
        <v>Children Bicycles</v>
      </c>
    </row>
    <row r="4534" spans="1:10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 s="1">
        <f t="shared" si="70"/>
        <v>6399.984</v>
      </c>
      <c r="H4534" t="str">
        <f>VLOOKUP(C4534,[1]products!$A:$B,2,0)</f>
        <v>Trek Boone 7 Disc - 2018</v>
      </c>
      <c r="I4534">
        <f>VLOOKUP(H4534,[1]products!$B:$D,3,0)</f>
        <v>4</v>
      </c>
      <c r="J4534" t="str">
        <f>VLOOKUP(I4534,[2]categories!$A$2:$B$8,2,0)</f>
        <v>Cyclocross Bicycles</v>
      </c>
    </row>
    <row r="4535" spans="1:10">
      <c r="A4535">
        <v>1552</v>
      </c>
      <c r="B4535">
        <v>1</v>
      </c>
      <c r="C4535">
        <v>197</v>
      </c>
      <c r="D4535">
        <v>1</v>
      </c>
      <c r="E4535">
        <v>2299.99</v>
      </c>
      <c r="F4535">
        <v>0.1</v>
      </c>
      <c r="G4535" s="1">
        <f t="shared" si="70"/>
        <v>2069.991</v>
      </c>
      <c r="H4535" t="str">
        <f>VLOOKUP(C4535,[1]products!$A:$B,2,0)</f>
        <v>Trek Verve+ Lowstep - 2018</v>
      </c>
      <c r="I4535">
        <f>VLOOKUP(H4535,[1]products!$B:$D,3,0)</f>
        <v>5</v>
      </c>
      <c r="J4535" t="str">
        <f>VLOOKUP(I4535,[2]categories!$A$2:$B$8,2,0)</f>
        <v>Electric Bikes</v>
      </c>
    </row>
    <row r="4536" spans="1:10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 s="1">
        <f t="shared" si="70"/>
        <v>2792.981</v>
      </c>
      <c r="H4536" t="str">
        <f>VLOOKUP(C4536,[1]products!$A:$B,2,0)</f>
        <v>Haro Shift R3 - 2017</v>
      </c>
      <c r="I4536">
        <f>VLOOKUP(H4536,[1]products!$B:$D,3,0)</f>
        <v>6</v>
      </c>
      <c r="J4536" t="str">
        <f>VLOOKUP(I4536,[2]categories!$A$2:$B$8,2,0)</f>
        <v>Mountain Bikes</v>
      </c>
    </row>
    <row r="4537" spans="1:10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0.07</v>
      </c>
      <c r="G4537" s="1">
        <f t="shared" si="70"/>
        <v>455.6907</v>
      </c>
      <c r="H4537" t="str">
        <f>VLOOKUP(C4537,[1]products!$A:$B,2,0)</f>
        <v>Electra Townie Original 7D - 2017</v>
      </c>
      <c r="I4537">
        <f>VLOOKUP(H4537,[1]products!$B:$D,3,0)</f>
        <v>3</v>
      </c>
      <c r="J4537" t="str">
        <f>VLOOKUP(I4537,[2]categories!$A$2:$B$8,2,0)</f>
        <v>Cruisers Bicycles</v>
      </c>
    </row>
    <row r="4538" spans="1:10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 s="1">
        <f t="shared" si="70"/>
        <v>494.991</v>
      </c>
      <c r="H4538" t="str">
        <f>VLOOKUP(C4538,[1]products!$A:$B,2,0)</f>
        <v>Electra Townie Original 21D - 2016</v>
      </c>
      <c r="I4538">
        <f>VLOOKUP(H4538,[1]products!$B:$D,3,0)</f>
        <v>3</v>
      </c>
      <c r="J4538" t="str">
        <f>VLOOKUP(I4538,[2]categories!$A$2:$B$8,2,0)</f>
        <v>Cruisers Bicycles</v>
      </c>
    </row>
    <row r="4539" spans="1:10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 s="1">
        <f t="shared" si="70"/>
        <v>2849.9905</v>
      </c>
      <c r="H4539" t="str">
        <f>VLOOKUP(C4539,[1]products!$A:$B,2,0)</f>
        <v>Electra Townie Commute Go! - 2018</v>
      </c>
      <c r="I4539">
        <f>VLOOKUP(H4539,[1]products!$B:$D,3,0)</f>
        <v>5</v>
      </c>
      <c r="J4539" t="str">
        <f>VLOOKUP(I4539,[2]categories!$A$2:$B$8,2,0)</f>
        <v>Electric Bikes</v>
      </c>
    </row>
    <row r="4540" spans="1:10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 s="1">
        <f t="shared" si="70"/>
        <v>199.4905</v>
      </c>
      <c r="H4540" t="str">
        <f>VLOOKUP(C4540,[1]products!$A:$B,2,0)</f>
        <v>Trek Precaliber 16 Boys - 2017</v>
      </c>
      <c r="I4540">
        <f>VLOOKUP(H4540,[1]products!$B:$D,3,0)</f>
        <v>1</v>
      </c>
      <c r="J4540" t="str">
        <f>VLOOKUP(I4540,[2]categories!$A$2:$B$8,2,0)</f>
        <v>Children Bicycles</v>
      </c>
    </row>
    <row r="4541" spans="1:10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 s="1">
        <f t="shared" si="70"/>
        <v>712.4905</v>
      </c>
      <c r="H4541" t="str">
        <f>VLOOKUP(C4541,[1]products!$A:$B,2,0)</f>
        <v>Trek Domane AL 2 Women's - 2018</v>
      </c>
      <c r="I4541">
        <f>VLOOKUP(H4541,[1]products!$B:$D,3,0)</f>
        <v>7</v>
      </c>
      <c r="J4541" t="str">
        <f>VLOOKUP(I4541,[2]categories!$A$2:$B$8,2,0)</f>
        <v>Road Bikes</v>
      </c>
    </row>
    <row r="4542" spans="1:10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 s="1">
        <f t="shared" si="70"/>
        <v>223.992</v>
      </c>
      <c r="H4542" t="str">
        <f>VLOOKUP(C4542,[1]products!$A:$B,2,0)</f>
        <v>Electra Soft Serve 1 (16-inch) - Girl's - 2018</v>
      </c>
      <c r="I4542">
        <f>VLOOKUP(H4542,[1]products!$B:$D,3,0)</f>
        <v>1</v>
      </c>
      <c r="J4542" t="str">
        <f>VLOOKUP(I4542,[2]categories!$A$2:$B$8,2,0)</f>
        <v>Children Bicycles</v>
      </c>
    </row>
    <row r="4543" spans="1:10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 s="1">
        <f t="shared" si="70"/>
        <v>989.982</v>
      </c>
      <c r="H4543" t="str">
        <f>VLOOKUP(C4543,[1]products!$A:$B,2,0)</f>
        <v>Electra Townie Original 21D - 2016</v>
      </c>
      <c r="I4543">
        <f>VLOOKUP(H4543,[1]products!$B:$D,3,0)</f>
        <v>3</v>
      </c>
      <c r="J4543" t="str">
        <f>VLOOKUP(I4543,[2]categories!$A$2:$B$8,2,0)</f>
        <v>Cruisers Bicycles</v>
      </c>
    </row>
    <row r="4544" spans="1:10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 s="1">
        <f t="shared" si="70"/>
        <v>5849.991</v>
      </c>
      <c r="H4544" t="str">
        <f>VLOOKUP(C4544,[1]products!$A:$B,2,0)</f>
        <v>Trek Domane SL Frameset - 2018</v>
      </c>
      <c r="I4544">
        <f>VLOOKUP(H4544,[1]products!$B:$D,3,0)</f>
        <v>7</v>
      </c>
      <c r="J4544" t="str">
        <f>VLOOKUP(I4544,[2]categories!$A$2:$B$8,2,0)</f>
        <v>Road Bikes</v>
      </c>
    </row>
    <row r="4545" spans="1:10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 s="1">
        <f t="shared" si="70"/>
        <v>422.991</v>
      </c>
      <c r="H4545" t="str">
        <f>VLOOKUP(C4545,[1]products!$A:$B,2,0)</f>
        <v>Surly Big Fat Dummy Frameset - 2018</v>
      </c>
      <c r="I4545">
        <f>VLOOKUP(H4545,[1]products!$B:$D,3,0)</f>
        <v>6</v>
      </c>
      <c r="J4545" t="str">
        <f>VLOOKUP(I4545,[2]categories!$A$2:$B$8,2,0)</f>
        <v>Mountain Bikes</v>
      </c>
    </row>
    <row r="4546" spans="1:10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 s="1">
        <f t="shared" ref="G4546:G4609" si="71">D4546*E4546*(1-F4546)</f>
        <v>3608.1</v>
      </c>
      <c r="H4546" t="str">
        <f>VLOOKUP(C4546,[1]products!$A:$B,2,0)</f>
        <v>Surly ECR 27.5 - 2018</v>
      </c>
      <c r="I4546">
        <f>VLOOKUP(H4546,[1]products!$B:$D,3,0)</f>
        <v>6</v>
      </c>
      <c r="J4546" t="str">
        <f>VLOOKUP(I4546,[2]categories!$A$2:$B$8,2,0)</f>
        <v>Mountain Bikes</v>
      </c>
    </row>
    <row r="4547" spans="1:10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 s="1">
        <f t="shared" si="71"/>
        <v>2559.992</v>
      </c>
      <c r="H4547" t="str">
        <f>VLOOKUP(C4547,[1]products!$A:$B,2,0)</f>
        <v>Trek Domane SLR Disc Frameset - 2018</v>
      </c>
      <c r="I4547">
        <f>VLOOKUP(H4547,[1]products!$B:$D,3,0)</f>
        <v>7</v>
      </c>
      <c r="J4547" t="str">
        <f>VLOOKUP(I4547,[2]categories!$A$2:$B$8,2,0)</f>
        <v>Road Bikes</v>
      </c>
    </row>
    <row r="4548" spans="1:10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 s="1">
        <f t="shared" si="71"/>
        <v>5599.984</v>
      </c>
      <c r="H4548" t="str">
        <f>VLOOKUP(C4548,[1]products!$A:$B,2,0)</f>
        <v>Trek Domane SL 6 - 2017</v>
      </c>
      <c r="I4548">
        <f>VLOOKUP(H4548,[1]products!$B:$D,3,0)</f>
        <v>7</v>
      </c>
      <c r="J4548" t="str">
        <f>VLOOKUP(I4548,[2]categories!$A$2:$B$8,2,0)</f>
        <v>Road Bikes</v>
      </c>
    </row>
    <row r="4549" spans="1:10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0.07</v>
      </c>
      <c r="G4549" s="1">
        <f t="shared" si="71"/>
        <v>613.7907</v>
      </c>
      <c r="H4549" t="str">
        <f>VLOOKUP(C4549,[1]products!$A:$B,2,0)</f>
        <v>Electra Amsterdam Original 3i Ladies' - 2017</v>
      </c>
      <c r="I4549">
        <f>VLOOKUP(H4549,[1]products!$B:$D,3,0)</f>
        <v>3</v>
      </c>
      <c r="J4549" t="str">
        <f>VLOOKUP(I4549,[2]categories!$A$2:$B$8,2,0)</f>
        <v>Cruisers Bicycles</v>
      </c>
    </row>
    <row r="4550" spans="1:10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 s="1">
        <f t="shared" si="71"/>
        <v>260.991</v>
      </c>
      <c r="H4550" t="str">
        <f>VLOOKUP(C4550,[1]products!$A:$B,2,0)</f>
        <v>Strider Strider 20 Sport - 2018</v>
      </c>
      <c r="I4550">
        <f>VLOOKUP(H4550,[1]products!$B:$D,3,0)</f>
        <v>1</v>
      </c>
      <c r="J4550" t="str">
        <f>VLOOKUP(I4550,[2]categories!$A$2:$B$8,2,0)</f>
        <v>Children Bicycles</v>
      </c>
    </row>
    <row r="4551" spans="1:10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 s="1">
        <f t="shared" si="71"/>
        <v>892.981</v>
      </c>
      <c r="H4551" t="str">
        <f>VLOOKUP(C4551,[1]products!$A:$B,2,0)</f>
        <v>Trek Kids' Neko - 2018</v>
      </c>
      <c r="I4551">
        <f>VLOOKUP(H4551,[1]products!$B:$D,3,0)</f>
        <v>6</v>
      </c>
      <c r="J4551" t="str">
        <f>VLOOKUP(I4551,[2]categories!$A$2:$B$8,2,0)</f>
        <v>Mountain Bikes</v>
      </c>
    </row>
    <row r="4552" spans="1:10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 s="1">
        <f t="shared" si="71"/>
        <v>1619.982</v>
      </c>
      <c r="H4552" t="str">
        <f>VLOOKUP(C4552,[1]products!$A:$B,2,0)</f>
        <v>Electra Koa 3i Ladies' - 2018</v>
      </c>
      <c r="I4552">
        <f>VLOOKUP(H4552,[1]products!$B:$D,3,0)</f>
        <v>3</v>
      </c>
      <c r="J4552" t="str">
        <f>VLOOKUP(I4552,[2]categories!$A$2:$B$8,2,0)</f>
        <v>Cruisers Bicycles</v>
      </c>
    </row>
    <row r="4553" spans="1:10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0.07</v>
      </c>
      <c r="G4553" s="1">
        <f t="shared" si="71"/>
        <v>2509.14</v>
      </c>
      <c r="H4553" t="str">
        <f>VLOOKUP(C4553,[1]products!$A:$B,2,0)</f>
        <v>Surly Pack Rat - 2018</v>
      </c>
      <c r="I4553">
        <f>VLOOKUP(H4553,[1]products!$B:$D,3,0)</f>
        <v>7</v>
      </c>
      <c r="J4553" t="str">
        <f>VLOOKUP(I4553,[2]categories!$A$2:$B$8,2,0)</f>
        <v>Road Bikes</v>
      </c>
    </row>
    <row r="4554" spans="1:10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0.07</v>
      </c>
      <c r="G4554" s="1">
        <f t="shared" si="71"/>
        <v>2622.5814</v>
      </c>
      <c r="H4554" t="str">
        <f>VLOOKUP(C4554,[1]products!$A:$B,2,0)</f>
        <v>Haro SR 1.3 - 2017</v>
      </c>
      <c r="I4554">
        <f>VLOOKUP(H4554,[1]products!$B:$D,3,0)</f>
        <v>6</v>
      </c>
      <c r="J4554" t="str">
        <f>VLOOKUP(I4554,[2]categories!$A$2:$B$8,2,0)</f>
        <v>Mountain Bikes</v>
      </c>
    </row>
    <row r="4555" spans="1:10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0.07</v>
      </c>
      <c r="G4555" s="1">
        <f t="shared" si="71"/>
        <v>929.9907</v>
      </c>
      <c r="H4555" t="str">
        <f>VLOOKUP(C4555,[1]products!$A:$B,2,0)</f>
        <v>Trek Farley Carbon Frameset - 2018</v>
      </c>
      <c r="I4555">
        <f>VLOOKUP(H4555,[1]products!$B:$D,3,0)</f>
        <v>6</v>
      </c>
      <c r="J4555" t="str">
        <f>VLOOKUP(I4555,[2]categories!$A$2:$B$8,2,0)</f>
        <v>Mountain Bikes</v>
      </c>
    </row>
    <row r="4556" spans="1:10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 s="1">
        <f t="shared" si="71"/>
        <v>2754.9905</v>
      </c>
      <c r="H4556" t="str">
        <f>VLOOKUP(C4556,[1]products!$A:$B,2,0)</f>
        <v>Trek Fuel EX 8 29 - 2016</v>
      </c>
      <c r="I4556">
        <f>VLOOKUP(H4556,[1]products!$B:$D,3,0)</f>
        <v>6</v>
      </c>
      <c r="J4556" t="str">
        <f>VLOOKUP(I4556,[2]categories!$A$2:$B$8,2,0)</f>
        <v>Mountain Bikes</v>
      </c>
    </row>
    <row r="4557" spans="1:10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 s="1">
        <f t="shared" si="71"/>
        <v>2159.992</v>
      </c>
      <c r="H4557" t="str">
        <f>VLOOKUP(C4557,[1]products!$A:$B,2,0)</f>
        <v>Trek Domane S 6 - 2017</v>
      </c>
      <c r="I4557">
        <f>VLOOKUP(H4557,[1]products!$B:$D,3,0)</f>
        <v>7</v>
      </c>
      <c r="J4557" t="str">
        <f>VLOOKUP(I4557,[2]categories!$A$2:$B$8,2,0)</f>
        <v>Road Bikes</v>
      </c>
    </row>
    <row r="4558" spans="1:10">
      <c r="A4558">
        <v>1558</v>
      </c>
      <c r="B4558">
        <v>5</v>
      </c>
      <c r="C4558">
        <v>253</v>
      </c>
      <c r="D4558">
        <v>1</v>
      </c>
      <c r="E4558">
        <v>2599.99</v>
      </c>
      <c r="F4558">
        <v>0.07</v>
      </c>
      <c r="G4558" s="1">
        <f t="shared" si="71"/>
        <v>2417.9907</v>
      </c>
      <c r="H4558" t="str">
        <f>VLOOKUP(C4558,[1]products!$A:$B,2,0)</f>
        <v>Electra Townie Go! 8i Ladies' - 2018</v>
      </c>
      <c r="I4558">
        <f>VLOOKUP(H4558,[1]products!$B:$D,3,0)</f>
        <v>5</v>
      </c>
      <c r="J4558" t="str">
        <f>VLOOKUP(I4558,[2]categories!$A$2:$B$8,2,0)</f>
        <v>Electric Bikes</v>
      </c>
    </row>
    <row r="4559" spans="1:10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0.07</v>
      </c>
      <c r="G4559" s="1">
        <f t="shared" si="71"/>
        <v>632.3814</v>
      </c>
      <c r="H4559" t="str">
        <f>VLOOKUP(C4559,[1]products!$A:$B,2,0)</f>
        <v>Electra Townie 7D (20-inch) - Boys' - 2017</v>
      </c>
      <c r="I4559">
        <f>VLOOKUP(H4559,[1]products!$B:$D,3,0)</f>
        <v>1</v>
      </c>
      <c r="J4559" t="str">
        <f>VLOOKUP(I4559,[2]categories!$A$2:$B$8,2,0)</f>
        <v>Children Bicycles</v>
      </c>
    </row>
    <row r="4560" spans="1:10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 s="1">
        <f t="shared" si="71"/>
        <v>404.1</v>
      </c>
      <c r="H4560" t="str">
        <f>VLOOKUP(C4560,[1]products!$A:$B,2,0)</f>
        <v>Pure Cycles Western 3-Speed - Women's - 2015/2016</v>
      </c>
      <c r="I4560">
        <f>VLOOKUP(H4560,[1]products!$B:$D,3,0)</f>
        <v>3</v>
      </c>
      <c r="J4560" t="str">
        <f>VLOOKUP(I4560,[2]categories!$A$2:$B$8,2,0)</f>
        <v>Cruisers Bicycles</v>
      </c>
    </row>
    <row r="4561" spans="1:10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 s="1">
        <f t="shared" si="71"/>
        <v>5759.982</v>
      </c>
      <c r="H4561" t="str">
        <f>VLOOKUP(C4561,[1]products!$A:$B,2,0)</f>
        <v>Trek Domane SL Disc Frameset - 2017</v>
      </c>
      <c r="I4561">
        <f>VLOOKUP(H4561,[1]products!$B:$D,3,0)</f>
        <v>7</v>
      </c>
      <c r="J4561" t="str">
        <f>VLOOKUP(I4561,[2]categories!$A$2:$B$8,2,0)</f>
        <v>Road Bikes</v>
      </c>
    </row>
    <row r="4562" spans="1:10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 s="1">
        <f t="shared" si="71"/>
        <v>287.991</v>
      </c>
      <c r="H4562" t="str">
        <f>VLOOKUP(C4562,[1]products!$A:$B,2,0)</f>
        <v>Electra Cruiser 7D Ladies' - 2016/2018</v>
      </c>
      <c r="I4562">
        <f>VLOOKUP(H4562,[1]products!$B:$D,3,0)</f>
        <v>3</v>
      </c>
      <c r="J4562" t="str">
        <f>VLOOKUP(I4562,[2]categories!$A$2:$B$8,2,0)</f>
        <v>Cruisers Bicycles</v>
      </c>
    </row>
    <row r="4563" spans="1:10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 s="1">
        <f t="shared" si="71"/>
        <v>1599.984</v>
      </c>
      <c r="H4563" t="str">
        <f>VLOOKUP(C4563,[1]products!$A:$B,2,0)</f>
        <v>Trek X-Caliber 8 - 2018</v>
      </c>
      <c r="I4563">
        <f>VLOOKUP(H4563,[1]products!$B:$D,3,0)</f>
        <v>6</v>
      </c>
      <c r="J4563" t="str">
        <f>VLOOKUP(I4563,[2]categories!$A$2:$B$8,2,0)</f>
        <v>Mountain Bikes</v>
      </c>
    </row>
    <row r="4564" spans="1:10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 s="1">
        <f t="shared" si="71"/>
        <v>1175.992</v>
      </c>
      <c r="H4564" t="str">
        <f>VLOOKUP(C4564,[1]products!$A:$B,2,0)</f>
        <v>Haro Shift R3 - 2017</v>
      </c>
      <c r="I4564">
        <f>VLOOKUP(H4564,[1]products!$B:$D,3,0)</f>
        <v>6</v>
      </c>
      <c r="J4564" t="str">
        <f>VLOOKUP(I4564,[2]categories!$A$2:$B$8,2,0)</f>
        <v>Mountain Bikes</v>
      </c>
    </row>
    <row r="4565" spans="1:10">
      <c r="A4565">
        <v>1561</v>
      </c>
      <c r="B4565">
        <v>1</v>
      </c>
      <c r="C4565">
        <v>181</v>
      </c>
      <c r="D4565">
        <v>2</v>
      </c>
      <c r="E4565">
        <v>2199.99</v>
      </c>
      <c r="F4565">
        <v>0.07</v>
      </c>
      <c r="G4565" s="1">
        <f t="shared" si="71"/>
        <v>4091.9814</v>
      </c>
      <c r="H4565" t="str">
        <f>VLOOKUP(C4565,[1]products!$A:$B,2,0)</f>
        <v>Trek Domane SL 5 - 2018</v>
      </c>
      <c r="I4565">
        <f>VLOOKUP(H4565,[1]products!$B:$D,3,0)</f>
        <v>7</v>
      </c>
      <c r="J4565" t="str">
        <f>VLOOKUP(I4565,[2]categories!$A$2:$B$8,2,0)</f>
        <v>Road Bikes</v>
      </c>
    </row>
    <row r="4566" spans="1:10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 s="1">
        <f t="shared" si="71"/>
        <v>531.981</v>
      </c>
      <c r="H4566" t="str">
        <f>VLOOKUP(C4566,[1]products!$A:$B,2,0)</f>
        <v>Electra Under-The-Sea 1 16" - 2018</v>
      </c>
      <c r="I4566">
        <f>VLOOKUP(H4566,[1]products!$B:$D,3,0)</f>
        <v>1</v>
      </c>
      <c r="J4566" t="str">
        <f>VLOOKUP(I4566,[2]categories!$A$2:$B$8,2,0)</f>
        <v>Children Bicycles</v>
      </c>
    </row>
    <row r="4567" spans="1:10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 s="1">
        <f t="shared" si="71"/>
        <v>2559.992</v>
      </c>
      <c r="H4567" t="str">
        <f>VLOOKUP(C4567,[1]products!$A:$B,2,0)</f>
        <v>Trek Domane SL Disc Frameset - 2017</v>
      </c>
      <c r="I4567">
        <f>VLOOKUP(H4567,[1]products!$B:$D,3,0)</f>
        <v>7</v>
      </c>
      <c r="J4567" t="str">
        <f>VLOOKUP(I4567,[2]categories!$A$2:$B$8,2,0)</f>
        <v>Road Bikes</v>
      </c>
    </row>
    <row r="4568" spans="1:10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 s="1">
        <f t="shared" si="71"/>
        <v>200.792</v>
      </c>
      <c r="H4568" t="str">
        <f>VLOOKUP(C4568,[1]products!$A:$B,2,0)</f>
        <v>Sun Bicycles Revolutions 24 - 2017</v>
      </c>
      <c r="I4568">
        <f>VLOOKUP(H4568,[1]products!$B:$D,3,0)</f>
        <v>3</v>
      </c>
      <c r="J4568" t="str">
        <f>VLOOKUP(I4568,[2]categories!$A$2:$B$8,2,0)</f>
        <v>Cruisers Bicycles</v>
      </c>
    </row>
    <row r="4569" spans="1:10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0.07</v>
      </c>
      <c r="G4569" s="1">
        <f t="shared" si="71"/>
        <v>5951.9814</v>
      </c>
      <c r="H4569" t="str">
        <f>VLOOKUP(C4569,[1]products!$A:$B,2,0)</f>
        <v>Trek Fuel EX 8 29 - 2018</v>
      </c>
      <c r="I4569">
        <f>VLOOKUP(H4569,[1]products!$B:$D,3,0)</f>
        <v>6</v>
      </c>
      <c r="J4569" t="str">
        <f>VLOOKUP(I4569,[2]categories!$A$2:$B$8,2,0)</f>
        <v>Mountain Bikes</v>
      </c>
    </row>
    <row r="4570" spans="1:10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0.07</v>
      </c>
      <c r="G4570" s="1">
        <f t="shared" si="71"/>
        <v>3254.9907</v>
      </c>
      <c r="H4570" t="str">
        <f>VLOOKUP(C4570,[1]products!$A:$B,2,0)</f>
        <v>Trek XM700+ Lowstep - 2018</v>
      </c>
      <c r="I4570">
        <f>VLOOKUP(H4570,[1]products!$B:$D,3,0)</f>
        <v>5</v>
      </c>
      <c r="J4570" t="str">
        <f>VLOOKUP(I4570,[2]categories!$A$2:$B$8,2,0)</f>
        <v>Electric Bikes</v>
      </c>
    </row>
    <row r="4571" spans="1:10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0.07</v>
      </c>
      <c r="G4571" s="1">
        <f t="shared" si="71"/>
        <v>836.9907</v>
      </c>
      <c r="H4571" t="str">
        <f>VLOOKUP(C4571,[1]products!$A:$B,2,0)</f>
        <v>Electra Townie Commute 27D - 2018</v>
      </c>
      <c r="I4571">
        <f>VLOOKUP(H4571,[1]products!$B:$D,3,0)</f>
        <v>3</v>
      </c>
      <c r="J4571" t="str">
        <f>VLOOKUP(I4571,[2]categories!$A$2:$B$8,2,0)</f>
        <v>Cruisers Bicycles</v>
      </c>
    </row>
    <row r="4572" spans="1:10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 s="1">
        <f t="shared" si="71"/>
        <v>242.991</v>
      </c>
      <c r="H4572" t="str">
        <f>VLOOKUP(C4572,[1]products!$A:$B,2,0)</f>
        <v>Electra Girl's Hawaii 1 (16-inch) - 2015/2016</v>
      </c>
      <c r="I4572">
        <f>VLOOKUP(H4572,[1]products!$B:$D,3,0)</f>
        <v>3</v>
      </c>
      <c r="J4572" t="str">
        <f>VLOOKUP(I4572,[2]categories!$A$2:$B$8,2,0)</f>
        <v>Cruisers Bicycles</v>
      </c>
    </row>
    <row r="4573" spans="1:10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0.07</v>
      </c>
      <c r="G4573" s="1">
        <f t="shared" si="71"/>
        <v>353.3907</v>
      </c>
      <c r="H4573" t="str">
        <f>VLOOKUP(C4573,[1]products!$A:$B,2,0)</f>
        <v>Haro Flightline One ST - 2017</v>
      </c>
      <c r="I4573">
        <f>VLOOKUP(H4573,[1]products!$B:$D,3,0)</f>
        <v>6</v>
      </c>
      <c r="J4573" t="str">
        <f>VLOOKUP(I4573,[2]categories!$A$2:$B$8,2,0)</f>
        <v>Mountain Bikes</v>
      </c>
    </row>
    <row r="4574" spans="1:10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 s="1">
        <f t="shared" si="71"/>
        <v>188.991</v>
      </c>
      <c r="H4574" t="str">
        <f>VLOOKUP(C4574,[1]products!$A:$B,2,0)</f>
        <v>Haro Shredder 20 - 2017</v>
      </c>
      <c r="I4574">
        <f>VLOOKUP(H4574,[1]products!$B:$D,3,0)</f>
        <v>1</v>
      </c>
      <c r="J4574" t="str">
        <f>VLOOKUP(I4574,[2]categories!$A$2:$B$8,2,0)</f>
        <v>Children Bicycles</v>
      </c>
    </row>
    <row r="4575" spans="1:10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 s="1">
        <f t="shared" si="71"/>
        <v>809.991</v>
      </c>
      <c r="H4575" t="str">
        <f>VLOOKUP(C4575,[1]products!$A:$B,2,0)</f>
        <v>Electra Townie Balloon 7i EQ - 2018</v>
      </c>
      <c r="I4575">
        <f>VLOOKUP(H4575,[1]products!$B:$D,3,0)</f>
        <v>3</v>
      </c>
      <c r="J4575" t="str">
        <f>VLOOKUP(I4575,[2]categories!$A$2:$B$8,2,0)</f>
        <v>Cruisers Bicycles</v>
      </c>
    </row>
    <row r="4576" spans="1:10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0.07</v>
      </c>
      <c r="G4576" s="1">
        <f t="shared" si="71"/>
        <v>278.9907</v>
      </c>
      <c r="H4576" t="str">
        <f>VLOOKUP(C4576,[1]products!$A:$B,2,0)</f>
        <v>Electra Girl's Hawaii 1 16" - 2017</v>
      </c>
      <c r="I4576">
        <f>VLOOKUP(H4576,[1]products!$B:$D,3,0)</f>
        <v>3</v>
      </c>
      <c r="J4576" t="str">
        <f>VLOOKUP(I4576,[2]categories!$A$2:$B$8,2,0)</f>
        <v>Cruisers Bicycles</v>
      </c>
    </row>
    <row r="4577" spans="1:10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 s="1">
        <f t="shared" si="71"/>
        <v>1087.984</v>
      </c>
      <c r="H4577" t="str">
        <f>VLOOKUP(C4577,[1]products!$A:$B,2,0)</f>
        <v>Electra Townie Original 21D EQ - 2017/2018</v>
      </c>
      <c r="I4577">
        <f>VLOOKUP(H4577,[1]products!$B:$D,3,0)</f>
        <v>3</v>
      </c>
      <c r="J4577" t="str">
        <f>VLOOKUP(I4577,[2]categories!$A$2:$B$8,2,0)</f>
        <v>Cruisers Bicycles</v>
      </c>
    </row>
    <row r="4578" spans="1:10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 s="1">
        <f t="shared" si="71"/>
        <v>873.9905</v>
      </c>
      <c r="H4578" t="str">
        <f>VLOOKUP(C4578,[1]products!$A:$B,2,0)</f>
        <v>Trek Domane AL 3 - 2018</v>
      </c>
      <c r="I4578">
        <f>VLOOKUP(H4578,[1]products!$B:$D,3,0)</f>
        <v>7</v>
      </c>
      <c r="J4578" t="str">
        <f>VLOOKUP(I4578,[2]categories!$A$2:$B$8,2,0)</f>
        <v>Road Bikes</v>
      </c>
    </row>
    <row r="4579" spans="1:10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 s="1">
        <f t="shared" si="71"/>
        <v>9499.981</v>
      </c>
      <c r="H4579" t="str">
        <f>VLOOKUP(C4579,[1]products!$A:$B,2,0)</f>
        <v>Trek Powerfly 8 FS Plus - 2017</v>
      </c>
      <c r="I4579">
        <f>VLOOKUP(H4579,[1]products!$B:$D,3,0)</f>
        <v>5</v>
      </c>
      <c r="J4579" t="str">
        <f>VLOOKUP(I4579,[2]categories!$A$2:$B$8,2,0)</f>
        <v>Electric Bikes</v>
      </c>
    </row>
    <row r="4580" spans="1:10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 s="1">
        <f t="shared" si="71"/>
        <v>255.992</v>
      </c>
      <c r="H4580" t="str">
        <f>VLOOKUP(C4580,[1]products!$A:$B,2,0)</f>
        <v>Trek Precaliber 24 7-speed Girl's - 2018</v>
      </c>
      <c r="I4580">
        <f>VLOOKUP(H4580,[1]products!$B:$D,3,0)</f>
        <v>1</v>
      </c>
      <c r="J4580" t="str">
        <f>VLOOKUP(I4580,[2]categories!$A$2:$B$8,2,0)</f>
        <v>Children Bicycles</v>
      </c>
    </row>
    <row r="4581" spans="1:10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 s="1">
        <f t="shared" si="71"/>
        <v>3999.992</v>
      </c>
      <c r="H4581" t="str">
        <f>VLOOKUP(C4581,[1]products!$A:$B,2,0)</f>
        <v>Trek Domane SLR 6 - 2018</v>
      </c>
      <c r="I4581">
        <f>VLOOKUP(H4581,[1]products!$B:$D,3,0)</f>
        <v>7</v>
      </c>
      <c r="J4581" t="str">
        <f>VLOOKUP(I4581,[2]categories!$A$2:$B$8,2,0)</f>
        <v>Road Bikes</v>
      </c>
    </row>
    <row r="4582" spans="1:10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0.07</v>
      </c>
      <c r="G4582" s="1">
        <f t="shared" si="71"/>
        <v>496.6107</v>
      </c>
      <c r="H4582" t="str">
        <f>VLOOKUP(C4582,[1]products!$A:$B,2,0)</f>
        <v>Sun Bicycles Streamway 7 - 2017</v>
      </c>
      <c r="I4582">
        <f>VLOOKUP(H4582,[1]products!$B:$D,3,0)</f>
        <v>2</v>
      </c>
      <c r="J4582" t="str">
        <f>VLOOKUP(I4582,[2]categories!$A$2:$B$8,2,0)</f>
        <v>Comfort Bicycles</v>
      </c>
    </row>
    <row r="4583" spans="1:10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 s="1">
        <f t="shared" si="71"/>
        <v>809.991</v>
      </c>
      <c r="H4583" t="str">
        <f>VLOOKUP(C4583,[1]products!$A:$B,2,0)</f>
        <v>Electra Townie Balloon 7i EQ - 2018</v>
      </c>
      <c r="I4583">
        <f>VLOOKUP(H4583,[1]products!$B:$D,3,0)</f>
        <v>3</v>
      </c>
      <c r="J4583" t="str">
        <f>VLOOKUP(I4583,[2]categories!$A$2:$B$8,2,0)</f>
        <v>Cruisers Bicycles</v>
      </c>
    </row>
    <row r="4584" spans="1:10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 s="1">
        <f t="shared" si="71"/>
        <v>2699.991</v>
      </c>
      <c r="H4584" t="str">
        <f>VLOOKUP(C4584,[1]products!$A:$B,2,0)</f>
        <v>Electra Townie Commute Go! Ladies' - 2018</v>
      </c>
      <c r="I4584">
        <f>VLOOKUP(H4584,[1]products!$B:$D,3,0)</f>
        <v>5</v>
      </c>
      <c r="J4584" t="str">
        <f>VLOOKUP(I4584,[2]categories!$A$2:$B$8,2,0)</f>
        <v>Electric Bikes</v>
      </c>
    </row>
    <row r="4585" spans="1:10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0.07</v>
      </c>
      <c r="G4585" s="1">
        <f t="shared" si="71"/>
        <v>11159.9907</v>
      </c>
      <c r="H4585" t="str">
        <f>VLOOKUP(C4585,[1]products!$A:$B,2,0)</f>
        <v>Trek Domane SLR 9 Disc - 2018</v>
      </c>
      <c r="I4585">
        <f>VLOOKUP(H4585,[1]products!$B:$D,3,0)</f>
        <v>7</v>
      </c>
      <c r="J4585" t="str">
        <f>VLOOKUP(I4585,[2]categories!$A$2:$B$8,2,0)</f>
        <v>Road Bikes</v>
      </c>
    </row>
    <row r="4586" spans="1:10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 s="1">
        <f t="shared" si="71"/>
        <v>1259.982</v>
      </c>
      <c r="H4586" t="str">
        <f>VLOOKUP(C4586,[1]products!$A:$B,2,0)</f>
        <v>Electra Townie Commute 8D Ladies' - 2018</v>
      </c>
      <c r="I4586">
        <f>VLOOKUP(H4586,[1]products!$B:$D,3,0)</f>
        <v>3</v>
      </c>
      <c r="J4586" t="str">
        <f>VLOOKUP(I4586,[2]categories!$A$2:$B$8,2,0)</f>
        <v>Cruisers Bicycles</v>
      </c>
    </row>
    <row r="4587" spans="1:10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0.07</v>
      </c>
      <c r="G4587" s="1">
        <f t="shared" si="71"/>
        <v>520.7907</v>
      </c>
      <c r="H4587" t="str">
        <f>VLOOKUP(C4587,[1]products!$A:$B,2,0)</f>
        <v>Electra Townie Original 21D - 2018</v>
      </c>
      <c r="I4587">
        <f>VLOOKUP(H4587,[1]products!$B:$D,3,0)</f>
        <v>3</v>
      </c>
      <c r="J4587" t="str">
        <f>VLOOKUP(I4587,[2]categories!$A$2:$B$8,2,0)</f>
        <v>Cruisers Bicycles</v>
      </c>
    </row>
    <row r="4588" spans="1:10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 s="1">
        <f t="shared" si="71"/>
        <v>959.984</v>
      </c>
      <c r="H4588" t="str">
        <f>VLOOKUP(C4588,[1]products!$A:$B,2,0)</f>
        <v>Electra Townie Original 7D EQ - Women's - 2016</v>
      </c>
      <c r="I4588">
        <f>VLOOKUP(H4588,[1]products!$B:$D,3,0)</f>
        <v>3</v>
      </c>
      <c r="J4588" t="str">
        <f>VLOOKUP(I4588,[2]categories!$A$2:$B$8,2,0)</f>
        <v>Cruisers Bicycles</v>
      </c>
    </row>
    <row r="4589" spans="1:10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 s="1">
        <f t="shared" si="71"/>
        <v>1709.981</v>
      </c>
      <c r="H4589" t="str">
        <f>VLOOKUP(C4589,[1]products!$A:$B,2,0)</f>
        <v>Electra Super Moto 8i - 2018</v>
      </c>
      <c r="I4589">
        <f>VLOOKUP(H4589,[1]products!$B:$D,3,0)</f>
        <v>3</v>
      </c>
      <c r="J4589" t="str">
        <f>VLOOKUP(I4589,[2]categories!$A$2:$B$8,2,0)</f>
        <v>Cruisers Bicycles</v>
      </c>
    </row>
    <row r="4590" spans="1:10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 s="1">
        <f t="shared" si="71"/>
        <v>2399.992</v>
      </c>
      <c r="H4590" t="str">
        <f>VLOOKUP(C4590,[1]products!$A:$B,2,0)</f>
        <v>Electra Townie Commute Go! - 2018</v>
      </c>
      <c r="I4590">
        <f>VLOOKUP(H4590,[1]products!$B:$D,3,0)</f>
        <v>5</v>
      </c>
      <c r="J4590" t="str">
        <f>VLOOKUP(I4590,[2]categories!$A$2:$B$8,2,0)</f>
        <v>Electric Bikes</v>
      </c>
    </row>
    <row r="4591" spans="1:10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 s="1">
        <f t="shared" si="71"/>
        <v>3039.9905</v>
      </c>
      <c r="H4591" t="str">
        <f>VLOOKUP(C4591,[1]products!$A:$B,2,0)</f>
        <v>Trek Fuel EX 8 29 - 2018</v>
      </c>
      <c r="I4591">
        <f>VLOOKUP(H4591,[1]products!$B:$D,3,0)</f>
        <v>6</v>
      </c>
      <c r="J4591" t="str">
        <f>VLOOKUP(I4591,[2]categories!$A$2:$B$8,2,0)</f>
        <v>Mountain Bikes</v>
      </c>
    </row>
    <row r="4592" spans="1:10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 s="1">
        <f t="shared" si="71"/>
        <v>1087.984</v>
      </c>
      <c r="H4592" t="str">
        <f>VLOOKUP(C4592,[1]products!$A:$B,2,0)</f>
        <v>Electra Townie Original 21D EQ - 2017/2018</v>
      </c>
      <c r="I4592">
        <f>VLOOKUP(H4592,[1]products!$B:$D,3,0)</f>
        <v>3</v>
      </c>
      <c r="J4592" t="str">
        <f>VLOOKUP(I4592,[2]categories!$A$2:$B$8,2,0)</f>
        <v>Cruisers Bicycles</v>
      </c>
    </row>
    <row r="4593" spans="1:10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 s="1">
        <f t="shared" si="71"/>
        <v>2849.9905</v>
      </c>
      <c r="H4593" t="str">
        <f>VLOOKUP(C4593,[1]products!$A:$B,2,0)</f>
        <v>Trek Conduit+ - 2016</v>
      </c>
      <c r="I4593">
        <f>VLOOKUP(H4593,[1]products!$B:$D,3,0)</f>
        <v>5</v>
      </c>
      <c r="J4593" t="str">
        <f>VLOOKUP(I4593,[2]categories!$A$2:$B$8,2,0)</f>
        <v>Electric Bikes</v>
      </c>
    </row>
    <row r="4594" spans="1:10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0.07</v>
      </c>
      <c r="G4594" s="1">
        <f t="shared" si="71"/>
        <v>855.5907</v>
      </c>
      <c r="H4594" t="str">
        <f>VLOOKUP(C4594,[1]products!$A:$B,2,0)</f>
        <v>Trek X-Caliber 7 - 2018</v>
      </c>
      <c r="I4594">
        <f>VLOOKUP(H4594,[1]products!$B:$D,3,0)</f>
        <v>6</v>
      </c>
      <c r="J4594" t="str">
        <f>VLOOKUP(I4594,[2]categories!$A$2:$B$8,2,0)</f>
        <v>Mountain Bikes</v>
      </c>
    </row>
    <row r="4595" spans="1:10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 s="1">
        <f t="shared" si="71"/>
        <v>953.982</v>
      </c>
      <c r="H4595" t="str">
        <f>VLOOKUP(C4595,[1]products!$A:$B,2,0)</f>
        <v>Electra Moto 1 - 2016</v>
      </c>
      <c r="I4595">
        <f>VLOOKUP(H4595,[1]products!$B:$D,3,0)</f>
        <v>3</v>
      </c>
      <c r="J4595" t="str">
        <f>VLOOKUP(I4595,[2]categories!$A$2:$B$8,2,0)</f>
        <v>Cruisers Bicycles</v>
      </c>
    </row>
    <row r="4596" spans="1:10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0.07</v>
      </c>
      <c r="G4596" s="1">
        <f t="shared" si="71"/>
        <v>1673.9814</v>
      </c>
      <c r="H4596" t="str">
        <f>VLOOKUP(C4596,[1]products!$A:$B,2,0)</f>
        <v>Electra Super Moto 8i - 2018</v>
      </c>
      <c r="I4596">
        <f>VLOOKUP(H4596,[1]products!$B:$D,3,0)</f>
        <v>3</v>
      </c>
      <c r="J4596" t="str">
        <f>VLOOKUP(I4596,[2]categories!$A$2:$B$8,2,0)</f>
        <v>Cruisers Bicycles</v>
      </c>
    </row>
    <row r="4597" spans="1:10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 s="1">
        <f t="shared" si="71"/>
        <v>161.982</v>
      </c>
      <c r="H4597" t="str">
        <f>VLOOKUP(C4597,[1]products!$A:$B,2,0)</f>
        <v>Strider Classic 12 Balance Bike - 2018</v>
      </c>
      <c r="I4597">
        <f>VLOOKUP(H4597,[1]products!$B:$D,3,0)</f>
        <v>1</v>
      </c>
      <c r="J4597" t="str">
        <f>VLOOKUP(I4597,[2]categories!$A$2:$B$8,2,0)</f>
        <v>Children Bicycles</v>
      </c>
    </row>
    <row r="4598" spans="1:10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 s="1">
        <f t="shared" si="71"/>
        <v>422.991</v>
      </c>
      <c r="H4598" t="str">
        <f>VLOOKUP(C4598,[1]products!$A:$B,2,0)</f>
        <v>Surly Pack Rat Frameset - 2018</v>
      </c>
      <c r="I4598">
        <f>VLOOKUP(H4598,[1]products!$B:$D,3,0)</f>
        <v>6</v>
      </c>
      <c r="J4598" t="str">
        <f>VLOOKUP(I4598,[2]categories!$A$2:$B$8,2,0)</f>
        <v>Mountain Bikes</v>
      </c>
    </row>
    <row r="4599" spans="1:10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0.07</v>
      </c>
      <c r="G4599" s="1">
        <f t="shared" si="71"/>
        <v>502.1907</v>
      </c>
      <c r="H4599" t="str">
        <f>VLOOKUP(C4599,[1]products!$A:$B,2,0)</f>
        <v>Haro SR 1.1 - 2017</v>
      </c>
      <c r="I4599">
        <f>VLOOKUP(H4599,[1]products!$B:$D,3,0)</f>
        <v>6</v>
      </c>
      <c r="J4599" t="str">
        <f>VLOOKUP(I4599,[2]categories!$A$2:$B$8,2,0)</f>
        <v>Mountain Bikes</v>
      </c>
    </row>
    <row r="4600" spans="1:10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 s="1">
        <f t="shared" si="71"/>
        <v>7199.982</v>
      </c>
      <c r="H4600" t="str">
        <f>VLOOKUP(C4600,[1]products!$A:$B,2,0)</f>
        <v>Trek Boone 7 Disc - 2018</v>
      </c>
      <c r="I4600">
        <f>VLOOKUP(H4600,[1]products!$B:$D,3,0)</f>
        <v>4</v>
      </c>
      <c r="J4600" t="str">
        <f>VLOOKUP(I4600,[2]categories!$A$2:$B$8,2,0)</f>
        <v>Cyclocross Bicycles</v>
      </c>
    </row>
    <row r="4601" spans="1:10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0.07</v>
      </c>
      <c r="G4601" s="1">
        <f t="shared" si="71"/>
        <v>251.0907</v>
      </c>
      <c r="H4601" t="str">
        <f>VLOOKUP(C4601,[1]products!$A:$B,2,0)</f>
        <v>Electra Cruiser 1 - 2016/2017/2018</v>
      </c>
      <c r="I4601">
        <f>VLOOKUP(H4601,[1]products!$B:$D,3,0)</f>
        <v>3</v>
      </c>
      <c r="J4601" t="str">
        <f>VLOOKUP(I4601,[2]categories!$A$2:$B$8,2,0)</f>
        <v>Cruisers Bicycles</v>
      </c>
    </row>
    <row r="4602" spans="1:10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 s="1">
        <f t="shared" si="71"/>
        <v>892.981</v>
      </c>
      <c r="H4602" t="str">
        <f>VLOOKUP(C4602,[1]products!$A:$B,2,0)</f>
        <v>Surly Big Fat Dummy Frameset - 2018</v>
      </c>
      <c r="I4602">
        <f>VLOOKUP(H4602,[1]products!$B:$D,3,0)</f>
        <v>6</v>
      </c>
      <c r="J4602" t="str">
        <f>VLOOKUP(I4602,[2]categories!$A$2:$B$8,2,0)</f>
        <v>Mountain Bikes</v>
      </c>
    </row>
    <row r="4603" spans="1:10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 s="1">
        <f t="shared" si="71"/>
        <v>335.984</v>
      </c>
      <c r="H4603" t="str">
        <f>VLOOKUP(C4603,[1]products!$A:$B,2,0)</f>
        <v>Haro Shredder 20 - 2017</v>
      </c>
      <c r="I4603">
        <f>VLOOKUP(H4603,[1]products!$B:$D,3,0)</f>
        <v>1</v>
      </c>
      <c r="J4603" t="str">
        <f>VLOOKUP(I4603,[2]categories!$A$2:$B$8,2,0)</f>
        <v>Children Bicycles</v>
      </c>
    </row>
    <row r="4604" spans="1:10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 s="1">
        <f t="shared" si="71"/>
        <v>396.1405</v>
      </c>
      <c r="H4604" t="str">
        <f>VLOOKUP(C4604,[1]products!$A:$B,2,0)</f>
        <v>Sun Bicycles Cruz 7 - 2017</v>
      </c>
      <c r="I4604">
        <f>VLOOKUP(H4604,[1]products!$B:$D,3,0)</f>
        <v>3</v>
      </c>
      <c r="J4604" t="str">
        <f>VLOOKUP(I4604,[2]categories!$A$2:$B$8,2,0)</f>
        <v>Cruisers Bicycles</v>
      </c>
    </row>
    <row r="4605" spans="1:10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 s="1">
        <f t="shared" si="71"/>
        <v>303.9905</v>
      </c>
      <c r="H4605" t="str">
        <f>VLOOKUP(C4605,[1]products!$A:$B,2,0)</f>
        <v>Electra Tiger Shark 1 (20-inch) - Boys' - 2018</v>
      </c>
      <c r="I4605">
        <f>VLOOKUP(H4605,[1]products!$B:$D,3,0)</f>
        <v>1</v>
      </c>
      <c r="J4605" t="str">
        <f>VLOOKUP(I4605,[2]categories!$A$2:$B$8,2,0)</f>
        <v>Children Bicycles</v>
      </c>
    </row>
    <row r="4606" spans="1:10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 s="1">
        <f t="shared" si="71"/>
        <v>6649.981</v>
      </c>
      <c r="H4606" t="str">
        <f>VLOOKUP(C4606,[1]products!$A:$B,2,0)</f>
        <v>Trek Powerfly 5 Women's - 2018</v>
      </c>
      <c r="I4606">
        <f>VLOOKUP(H4606,[1]products!$B:$D,3,0)</f>
        <v>5</v>
      </c>
      <c r="J4606" t="str">
        <f>VLOOKUP(I4606,[2]categories!$A$2:$B$8,2,0)</f>
        <v>Electric Bikes</v>
      </c>
    </row>
    <row r="4607" spans="1:10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 s="1">
        <f t="shared" si="71"/>
        <v>531.981</v>
      </c>
      <c r="H4607" t="str">
        <f>VLOOKUP(C4607,[1]products!$A:$B,2,0)</f>
        <v>Electra Water Lily 1 (16-inch) - Girl's - 2018</v>
      </c>
      <c r="I4607">
        <f>VLOOKUP(H4607,[1]products!$B:$D,3,0)</f>
        <v>1</v>
      </c>
      <c r="J4607" t="str">
        <f>VLOOKUP(I4607,[2]categories!$A$2:$B$8,2,0)</f>
        <v>Children Bicycles</v>
      </c>
    </row>
    <row r="4608" spans="1:10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 s="1">
        <f t="shared" si="71"/>
        <v>847.782</v>
      </c>
      <c r="H4608" t="str">
        <f>VLOOKUP(C4608,[1]products!$A:$B,2,0)</f>
        <v>Sun Bicycles Drifter 7 - Women's - 2017</v>
      </c>
      <c r="I4608">
        <f>VLOOKUP(H4608,[1]products!$B:$D,3,0)</f>
        <v>2</v>
      </c>
      <c r="J4608" t="str">
        <f>VLOOKUP(I4608,[2]categories!$A$2:$B$8,2,0)</f>
        <v>Comfort Bicycles</v>
      </c>
    </row>
    <row r="4609" spans="1:10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 s="1">
        <f t="shared" si="71"/>
        <v>1279.984</v>
      </c>
      <c r="H4609" t="str">
        <f>VLOOKUP(C4609,[1]products!$A:$B,2,0)</f>
        <v>Electra Townie Balloon 3i EQ Ladies' - 2018</v>
      </c>
      <c r="I4609">
        <f>VLOOKUP(H4609,[1]products!$B:$D,3,0)</f>
        <v>3</v>
      </c>
      <c r="J4609" t="str">
        <f>VLOOKUP(I4609,[2]categories!$A$2:$B$8,2,0)</f>
        <v>Cruisers Bicycles</v>
      </c>
    </row>
    <row r="4610" spans="1:10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0.07</v>
      </c>
      <c r="G4610" s="1">
        <f t="shared" ref="G4610:G4673" si="72">D4610*E4610*(1-F4610)</f>
        <v>4834.14</v>
      </c>
      <c r="H4610" t="str">
        <f>VLOOKUP(C4610,[1]products!$A:$B,2,0)</f>
        <v>Heller Bloodhound Trail - 2018</v>
      </c>
      <c r="I4610">
        <f>VLOOKUP(H4610,[1]products!$B:$D,3,0)</f>
        <v>6</v>
      </c>
      <c r="J4610" t="str">
        <f>VLOOKUP(I4610,[2]categories!$A$2:$B$8,2,0)</f>
        <v>Mountain Bikes</v>
      </c>
    </row>
    <row r="4611" spans="1:10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 s="1">
        <f t="shared" si="72"/>
        <v>531.981</v>
      </c>
      <c r="H4611" t="str">
        <f>VLOOKUP(C4611,[1]products!$A:$B,2,0)</f>
        <v>Electra Cyclosaurus 1 (16-inch) - Boy's - 2018</v>
      </c>
      <c r="I4611">
        <f>VLOOKUP(H4611,[1]products!$B:$D,3,0)</f>
        <v>1</v>
      </c>
      <c r="J4611" t="str">
        <f>VLOOKUP(I4611,[2]categories!$A$2:$B$8,2,0)</f>
        <v>Children Bicycles</v>
      </c>
    </row>
    <row r="4612" spans="1:10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0.07</v>
      </c>
      <c r="G4612" s="1">
        <f t="shared" si="72"/>
        <v>6695.9814</v>
      </c>
      <c r="H4612" t="str">
        <f>VLOOKUP(C4612,[1]products!$A:$B,2,0)</f>
        <v>Trek Super Commuter+ 7 - 2018</v>
      </c>
      <c r="I4612">
        <f>VLOOKUP(H4612,[1]products!$B:$D,3,0)</f>
        <v>5</v>
      </c>
      <c r="J4612" t="str">
        <f>VLOOKUP(I4612,[2]categories!$A$2:$B$8,2,0)</f>
        <v>Electric Bikes</v>
      </c>
    </row>
    <row r="4613" spans="1:10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 s="1">
        <f t="shared" si="72"/>
        <v>854.9905</v>
      </c>
      <c r="H4613" t="str">
        <f>VLOOKUP(C4613,[1]products!$A:$B,2,0)</f>
        <v>Electra Townie Commute 27D Ladies - 2018</v>
      </c>
      <c r="I4613">
        <f>VLOOKUP(H4613,[1]products!$B:$D,3,0)</f>
        <v>3</v>
      </c>
      <c r="J4613" t="str">
        <f>VLOOKUP(I4613,[2]categories!$A$2:$B$8,2,0)</f>
        <v>Cruisers Bicycles</v>
      </c>
    </row>
    <row r="4614" spans="1:10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 s="1">
        <f t="shared" si="72"/>
        <v>1199.984</v>
      </c>
      <c r="H4614" t="str">
        <f>VLOOKUP(C4614,[1]products!$A:$B,2,0)</f>
        <v>Electra Townie Commute 8D - 2018</v>
      </c>
      <c r="I4614">
        <f>VLOOKUP(H4614,[1]products!$B:$D,3,0)</f>
        <v>3</v>
      </c>
      <c r="J4614" t="str">
        <f>VLOOKUP(I4614,[2]categories!$A$2:$B$8,2,0)</f>
        <v>Cruisers Bicycles</v>
      </c>
    </row>
    <row r="4615" spans="1:10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 s="1">
        <f t="shared" si="72"/>
        <v>3324.9905</v>
      </c>
      <c r="H4615" t="str">
        <f>VLOOKUP(C4615,[1]products!$A:$B,2,0)</f>
        <v>Trek Domane SL 6 - 2017</v>
      </c>
      <c r="I4615">
        <f>VLOOKUP(H4615,[1]products!$B:$D,3,0)</f>
        <v>7</v>
      </c>
      <c r="J4615" t="str">
        <f>VLOOKUP(I4615,[2]categories!$A$2:$B$8,2,0)</f>
        <v>Road Bikes</v>
      </c>
    </row>
    <row r="4616" spans="1:10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 s="1">
        <f t="shared" si="72"/>
        <v>809.991</v>
      </c>
      <c r="H4616" t="str">
        <f>VLOOKUP(C4616,[1]products!$A:$B,2,0)</f>
        <v>Electra Tiger Shark 3i - 2018</v>
      </c>
      <c r="I4616">
        <f>VLOOKUP(H4616,[1]products!$B:$D,3,0)</f>
        <v>3</v>
      </c>
      <c r="J4616" t="str">
        <f>VLOOKUP(I4616,[2]categories!$A$2:$B$8,2,0)</f>
        <v>Cruisers Bicycles</v>
      </c>
    </row>
    <row r="4617" spans="1:10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0.07</v>
      </c>
      <c r="G4617" s="1">
        <f t="shared" si="72"/>
        <v>260.3907</v>
      </c>
      <c r="H4617" t="str">
        <f>VLOOKUP(C4617,[1]products!$A:$B,2,0)</f>
        <v>Electra Starship 1 16" - 2018</v>
      </c>
      <c r="I4617">
        <f>VLOOKUP(H4617,[1]products!$B:$D,3,0)</f>
        <v>1</v>
      </c>
      <c r="J4617" t="str">
        <f>VLOOKUP(I4617,[2]categories!$A$2:$B$8,2,0)</f>
        <v>Children Bicycles</v>
      </c>
    </row>
    <row r="4618" spans="1:10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 s="1">
        <f t="shared" si="72"/>
        <v>624.582</v>
      </c>
      <c r="H4618" t="str">
        <f>VLOOKUP(C4618,[1]products!$A:$B,2,0)</f>
        <v>Sun Bicycles Lil Bolt Type-R - 2017</v>
      </c>
      <c r="I4618">
        <f>VLOOKUP(H4618,[1]products!$B:$D,3,0)</f>
        <v>3</v>
      </c>
      <c r="J4618" t="str">
        <f>VLOOKUP(I4618,[2]categories!$A$2:$B$8,2,0)</f>
        <v>Cruisers Bicycles</v>
      </c>
    </row>
    <row r="4619" spans="1:10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0.07</v>
      </c>
      <c r="G4619" s="1">
        <f t="shared" si="72"/>
        <v>874.1814</v>
      </c>
      <c r="H4619" t="str">
        <f>VLOOKUP(C4619,[1]products!$A:$B,2,0)</f>
        <v>Trek Kids' Neko - 2018</v>
      </c>
      <c r="I4619">
        <f>VLOOKUP(H4619,[1]products!$B:$D,3,0)</f>
        <v>6</v>
      </c>
      <c r="J4619" t="str">
        <f>VLOOKUP(I4619,[2]categories!$A$2:$B$8,2,0)</f>
        <v>Mountain Bikes</v>
      </c>
    </row>
    <row r="4620" spans="1:10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 s="1">
        <f t="shared" si="72"/>
        <v>239.984</v>
      </c>
      <c r="H4620" t="str">
        <f>VLOOKUP(C4620,[1]products!$A:$B,2,0)</f>
        <v>Trek Girl's Kickster - 2017</v>
      </c>
      <c r="I4620">
        <f>VLOOKUP(H4620,[1]products!$B:$D,3,0)</f>
        <v>1</v>
      </c>
      <c r="J4620" t="str">
        <f>VLOOKUP(I4620,[2]categories!$A$2:$B$8,2,0)</f>
        <v>Children Bicycles</v>
      </c>
    </row>
    <row r="4621" spans="1:10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 s="1">
        <f t="shared" si="72"/>
        <v>440.991</v>
      </c>
      <c r="H4621" t="str">
        <f>VLOOKUP(C4621,[1]products!$A:$B,2,0)</f>
        <v>Electra Townie Original 7D - 2017</v>
      </c>
      <c r="I4621">
        <f>VLOOKUP(H4621,[1]products!$B:$D,3,0)</f>
        <v>3</v>
      </c>
      <c r="J4621" t="str">
        <f>VLOOKUP(I4621,[2]categories!$A$2:$B$8,2,0)</f>
        <v>Cruisers Bicycles</v>
      </c>
    </row>
    <row r="4622" spans="1:10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 s="1">
        <f t="shared" si="72"/>
        <v>231.992</v>
      </c>
      <c r="H4622" t="str">
        <f>VLOOKUP(C4622,[1]products!$A:$B,2,0)</f>
        <v>Trek Precaliber 20 6-speed Boy's - 2018</v>
      </c>
      <c r="I4622">
        <f>VLOOKUP(H4622,[1]products!$B:$D,3,0)</f>
        <v>1</v>
      </c>
      <c r="J4622" t="str">
        <f>VLOOKUP(I4622,[2]categories!$A$2:$B$8,2,0)</f>
        <v>Children Bicycles</v>
      </c>
    </row>
    <row r="4623" spans="1:10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0.07</v>
      </c>
      <c r="G4623" s="1">
        <f t="shared" si="72"/>
        <v>557.9907</v>
      </c>
      <c r="H4623" t="str">
        <f>VLOOKUP(C4623,[1]products!$A:$B,2,0)</f>
        <v>Electra Cruiser Lux Fat Tire 1 Ladies - 2017</v>
      </c>
      <c r="I4623">
        <f>VLOOKUP(H4623,[1]products!$B:$D,3,0)</f>
        <v>3</v>
      </c>
      <c r="J4623" t="str">
        <f>VLOOKUP(I4623,[2]categories!$A$2:$B$8,2,0)</f>
        <v>Cruisers Bicycles</v>
      </c>
    </row>
    <row r="4624" spans="1:10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0.07</v>
      </c>
      <c r="G4624" s="1">
        <f t="shared" si="72"/>
        <v>2789.9814</v>
      </c>
      <c r="H4624" t="str">
        <f>VLOOKUP(C4624,[1]products!$A:$B,2,0)</f>
        <v>Trek Procaliber Frameset - 2018</v>
      </c>
      <c r="I4624">
        <f>VLOOKUP(H4624,[1]products!$B:$D,3,0)</f>
        <v>6</v>
      </c>
      <c r="J4624" t="str">
        <f>VLOOKUP(I4624,[2]categories!$A$2:$B$8,2,0)</f>
        <v>Mountain Bikes</v>
      </c>
    </row>
    <row r="4625" spans="1:10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 s="1">
        <f t="shared" si="72"/>
        <v>503.4905</v>
      </c>
      <c r="H4625" t="str">
        <f>VLOOKUP(C4625,[1]products!$A:$B,2,0)</f>
        <v>Electra Moto 1 - 2016</v>
      </c>
      <c r="I4625">
        <f>VLOOKUP(H4625,[1]products!$B:$D,3,0)</f>
        <v>3</v>
      </c>
      <c r="J4625" t="str">
        <f>VLOOKUP(I4625,[2]categories!$A$2:$B$8,2,0)</f>
        <v>Cruisers Bicycles</v>
      </c>
    </row>
    <row r="4626" spans="1:10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 s="1">
        <f t="shared" si="72"/>
        <v>463.984</v>
      </c>
      <c r="H4626" t="str">
        <f>VLOOKUP(C4626,[1]products!$A:$B,2,0)</f>
        <v>Strider Strider 20 Sport - 2018</v>
      </c>
      <c r="I4626">
        <f>VLOOKUP(H4626,[1]products!$B:$D,3,0)</f>
        <v>1</v>
      </c>
      <c r="J4626" t="str">
        <f>VLOOKUP(I4626,[2]categories!$A$2:$B$8,2,0)</f>
        <v>Children Bicycles</v>
      </c>
    </row>
    <row r="4627" spans="1:10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 s="1">
        <f t="shared" si="72"/>
        <v>1565.982</v>
      </c>
      <c r="H4627" t="str">
        <f>VLOOKUP(C4627,[1]products!$A:$B,2,0)</f>
        <v>Haro SR 1.2 - 2017</v>
      </c>
      <c r="I4627">
        <f>VLOOKUP(H4627,[1]products!$B:$D,3,0)</f>
        <v>6</v>
      </c>
      <c r="J4627" t="str">
        <f>VLOOKUP(I4627,[2]categories!$A$2:$B$8,2,0)</f>
        <v>Mountain Bikes</v>
      </c>
    </row>
    <row r="4628" spans="1:10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 s="1">
        <f t="shared" si="72"/>
        <v>1619.982</v>
      </c>
      <c r="H4628" t="str">
        <f>VLOOKUP(C4628,[1]products!$A:$B,2,0)</f>
        <v>Electra Super Moto 8i - 2018</v>
      </c>
      <c r="I4628">
        <f>VLOOKUP(H4628,[1]products!$B:$D,3,0)</f>
        <v>3</v>
      </c>
      <c r="J4628" t="str">
        <f>VLOOKUP(I4628,[2]categories!$A$2:$B$8,2,0)</f>
        <v>Cruisers Bicycles</v>
      </c>
    </row>
    <row r="4629" spans="1:10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 s="1">
        <f t="shared" si="72"/>
        <v>4239.992</v>
      </c>
      <c r="H4629" t="str">
        <f>VLOOKUP(C4629,[1]products!$A:$B,2,0)</f>
        <v>Trek Fuel EX 9.8 27.5 Plus - 2017</v>
      </c>
      <c r="I4629">
        <f>VLOOKUP(H4629,[1]products!$B:$D,3,0)</f>
        <v>6</v>
      </c>
      <c r="J4629" t="str">
        <f>VLOOKUP(I4629,[2]categories!$A$2:$B$8,2,0)</f>
        <v>Mountain Bikes</v>
      </c>
    </row>
    <row r="4630" spans="1:10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 s="1">
        <f t="shared" si="72"/>
        <v>2519.991</v>
      </c>
      <c r="H4630" t="str">
        <f>VLOOKUP(C4630,[1]products!$A:$B,2,0)</f>
        <v>Trek Neko+ - 2018</v>
      </c>
      <c r="I4630">
        <f>VLOOKUP(H4630,[1]products!$B:$D,3,0)</f>
        <v>5</v>
      </c>
      <c r="J4630" t="str">
        <f>VLOOKUP(I4630,[2]categories!$A$2:$B$8,2,0)</f>
        <v>Electric Bikes</v>
      </c>
    </row>
    <row r="4631" spans="1:10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0.07</v>
      </c>
      <c r="G4631" s="1">
        <f t="shared" si="72"/>
        <v>3347.9814</v>
      </c>
      <c r="H4631" t="str">
        <f>VLOOKUP(C4631,[1]products!$A:$B,2,0)</f>
        <v>Trek Domane ALR 5 Gravel - 2018</v>
      </c>
      <c r="I4631">
        <f>VLOOKUP(H4631,[1]products!$B:$D,3,0)</f>
        <v>7</v>
      </c>
      <c r="J4631" t="str">
        <f>VLOOKUP(I4631,[2]categories!$A$2:$B$8,2,0)</f>
        <v>Road Bikes</v>
      </c>
    </row>
    <row r="4632" spans="1:10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 s="1">
        <f t="shared" si="72"/>
        <v>404.991</v>
      </c>
      <c r="H4632" t="str">
        <f>VLOOKUP(C4632,[1]products!$A:$B,2,0)</f>
        <v>Electra Townie Original 1 Ladies' - 2018</v>
      </c>
      <c r="I4632">
        <f>VLOOKUP(H4632,[1]products!$B:$D,3,0)</f>
        <v>2</v>
      </c>
      <c r="J4632" t="str">
        <f>VLOOKUP(I4632,[2]categories!$A$2:$B$8,2,0)</f>
        <v>Comfort Bicycles</v>
      </c>
    </row>
    <row r="4633" spans="1:10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 s="1">
        <f t="shared" si="72"/>
        <v>809.982</v>
      </c>
      <c r="H4633" t="str">
        <f>VLOOKUP(C4633,[1]products!$A:$B,2,0)</f>
        <v>Sun Bicycles Cruz 3 - 2017</v>
      </c>
      <c r="I4633">
        <f>VLOOKUP(H4633,[1]products!$B:$D,3,0)</f>
        <v>3</v>
      </c>
      <c r="J4633" t="str">
        <f>VLOOKUP(I4633,[2]categories!$A$2:$B$8,2,0)</f>
        <v>Cruisers Bicycles</v>
      </c>
    </row>
    <row r="4634" spans="1:10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0.07</v>
      </c>
      <c r="G4634" s="1">
        <f t="shared" si="72"/>
        <v>7439.9814</v>
      </c>
      <c r="H4634" t="str">
        <f>VLOOKUP(C4634,[1]products!$A:$B,2,0)</f>
        <v>Trek Boone 7 Disc - 2018</v>
      </c>
      <c r="I4634">
        <f>VLOOKUP(H4634,[1]products!$B:$D,3,0)</f>
        <v>4</v>
      </c>
      <c r="J4634" t="str">
        <f>VLOOKUP(I4634,[2]categories!$A$2:$B$8,2,0)</f>
        <v>Cyclocross Bicycles</v>
      </c>
    </row>
    <row r="4635" spans="1:10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 s="1">
        <f t="shared" si="72"/>
        <v>269.991</v>
      </c>
      <c r="H4635" t="str">
        <f>VLOOKUP(C4635,[1]products!$A:$B,2,0)</f>
        <v>Electra Girl's Hawaii 1 16" - 2017</v>
      </c>
      <c r="I4635">
        <f>VLOOKUP(H4635,[1]products!$B:$D,3,0)</f>
        <v>3</v>
      </c>
      <c r="J4635" t="str">
        <f>VLOOKUP(I4635,[2]categories!$A$2:$B$8,2,0)</f>
        <v>Cruisers Bicycles</v>
      </c>
    </row>
    <row r="4636" spans="1:10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 s="1">
        <f t="shared" si="72"/>
        <v>2519.991</v>
      </c>
      <c r="H4636" t="str">
        <f>VLOOKUP(C4636,[1]products!$A:$B,2,0)</f>
        <v>Electra Loft Go! 8i - 2018</v>
      </c>
      <c r="I4636">
        <f>VLOOKUP(H4636,[1]products!$B:$D,3,0)</f>
        <v>5</v>
      </c>
      <c r="J4636" t="str">
        <f>VLOOKUP(I4636,[2]categories!$A$2:$B$8,2,0)</f>
        <v>Electric Bikes</v>
      </c>
    </row>
    <row r="4637" spans="1:10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 s="1">
        <f t="shared" si="72"/>
        <v>485.982</v>
      </c>
      <c r="H4637" t="str">
        <f>VLOOKUP(C4637,[1]products!$A:$B,2,0)</f>
        <v>Electra Girl's Hawaii 1 (16-inch) - 2015/2016</v>
      </c>
      <c r="I4637">
        <f>VLOOKUP(H4637,[1]products!$B:$D,3,0)</f>
        <v>3</v>
      </c>
      <c r="J4637" t="str">
        <f>VLOOKUP(I4637,[2]categories!$A$2:$B$8,2,0)</f>
        <v>Cruisers Bicycles</v>
      </c>
    </row>
    <row r="4638" spans="1:10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0.07</v>
      </c>
      <c r="G4638" s="1">
        <f t="shared" si="72"/>
        <v>344.0907</v>
      </c>
      <c r="H4638" t="str">
        <f>VLOOKUP(C4638,[1]products!$A:$B,2,0)</f>
        <v>Trek Precaliber 24 21-speed Boy's - 2018</v>
      </c>
      <c r="I4638">
        <f>VLOOKUP(H4638,[1]products!$B:$D,3,0)</f>
        <v>1</v>
      </c>
      <c r="J4638" t="str">
        <f>VLOOKUP(I4638,[2]categories!$A$2:$B$8,2,0)</f>
        <v>Children Bicycles</v>
      </c>
    </row>
    <row r="4639" spans="1:10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 s="1">
        <f t="shared" si="72"/>
        <v>303.9905</v>
      </c>
      <c r="H4639" t="str">
        <f>VLOOKUP(C4639,[1]products!$A:$B,2,0)</f>
        <v>Electra Treasure 1 20" - 2018</v>
      </c>
      <c r="I4639">
        <f>VLOOKUP(H4639,[1]products!$B:$D,3,0)</f>
        <v>1</v>
      </c>
      <c r="J4639" t="str">
        <f>VLOOKUP(I4639,[2]categories!$A$2:$B$8,2,0)</f>
        <v>Children Bicycles</v>
      </c>
    </row>
    <row r="4640" spans="1:10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 s="1">
        <f t="shared" si="72"/>
        <v>2559.992</v>
      </c>
      <c r="H4640" t="str">
        <f>VLOOKUP(C4640,[1]products!$A:$B,2,0)</f>
        <v>Trek Domane ALR Frameset - 2018</v>
      </c>
      <c r="I4640">
        <f>VLOOKUP(H4640,[1]products!$B:$D,3,0)</f>
        <v>7</v>
      </c>
      <c r="J4640" t="str">
        <f>VLOOKUP(I4640,[2]categories!$A$2:$B$8,2,0)</f>
        <v>Road Bikes</v>
      </c>
    </row>
    <row r="4641" spans="1:10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 s="1">
        <f t="shared" si="72"/>
        <v>749.691</v>
      </c>
      <c r="H4641" t="str">
        <f>VLOOKUP(C4641,[1]products!$A:$B,2,0)</f>
        <v>Surly Troll Frameset - 2017</v>
      </c>
      <c r="I4641">
        <f>VLOOKUP(H4641,[1]products!$B:$D,3,0)</f>
        <v>6</v>
      </c>
      <c r="J4641" t="str">
        <f>VLOOKUP(I4641,[2]categories!$A$2:$B$8,2,0)</f>
        <v>Mountain Bikes</v>
      </c>
    </row>
    <row r="4642" spans="1:10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 s="1">
        <f t="shared" si="72"/>
        <v>433.791</v>
      </c>
      <c r="H4642" t="str">
        <f>VLOOKUP(C4642,[1]products!$A:$B,2,0)</f>
        <v>Sun Bicycles Streamway - 2017</v>
      </c>
      <c r="I4642">
        <f>VLOOKUP(H4642,[1]products!$B:$D,3,0)</f>
        <v>2</v>
      </c>
      <c r="J4642" t="str">
        <f>VLOOKUP(I4642,[2]categories!$A$2:$B$8,2,0)</f>
        <v>Comfort Bicycles</v>
      </c>
    </row>
    <row r="4643" spans="1:10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 s="1">
        <f t="shared" si="72"/>
        <v>6649.981</v>
      </c>
      <c r="H4643" t="str">
        <f>VLOOKUP(C4643,[1]products!$A:$B,2,0)</f>
        <v>Trek Boone Race Shop Limited - 2017</v>
      </c>
      <c r="I4643">
        <f>VLOOKUP(H4643,[1]products!$B:$D,3,0)</f>
        <v>4</v>
      </c>
      <c r="J4643" t="str">
        <f>VLOOKUP(I4643,[2]categories!$A$2:$B$8,2,0)</f>
        <v>Cyclocross Bicycles</v>
      </c>
    </row>
    <row r="4644" spans="1:10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 s="1">
        <f t="shared" si="72"/>
        <v>1231.181</v>
      </c>
      <c r="H4644" t="str">
        <f>VLOOKUP(C4644,[1]products!$A:$B,2,0)</f>
        <v>Sun Bicycles Biscayne Tandem CB - 2017</v>
      </c>
      <c r="I4644">
        <f>VLOOKUP(H4644,[1]products!$B:$D,3,0)</f>
        <v>3</v>
      </c>
      <c r="J4644" t="str">
        <f>VLOOKUP(I4644,[2]categories!$A$2:$B$8,2,0)</f>
        <v>Cruisers Bicycles</v>
      </c>
    </row>
    <row r="4645" spans="1:10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0.07</v>
      </c>
      <c r="G4645" s="1">
        <f t="shared" si="72"/>
        <v>1487.9814</v>
      </c>
      <c r="H4645" t="str">
        <f>VLOOKUP(C4645,[1]products!$A:$B,2,0)</f>
        <v>Electra Townie Balloon 3i EQ Ladies' - 2018</v>
      </c>
      <c r="I4645">
        <f>VLOOKUP(H4645,[1]products!$B:$D,3,0)</f>
        <v>3</v>
      </c>
      <c r="J4645" t="str">
        <f>VLOOKUP(I4645,[2]categories!$A$2:$B$8,2,0)</f>
        <v>Cruisers Bicycles</v>
      </c>
    </row>
    <row r="4646" spans="1:10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0.07</v>
      </c>
      <c r="G4646" s="1">
        <f t="shared" si="72"/>
        <v>390.5814</v>
      </c>
      <c r="H4646" t="str">
        <f>VLOOKUP(C4646,[1]products!$A:$B,2,0)</f>
        <v>Haro Shredder 20 Girls - 2017</v>
      </c>
      <c r="I4646">
        <f>VLOOKUP(H4646,[1]products!$B:$D,3,0)</f>
        <v>1</v>
      </c>
      <c r="J4646" t="str">
        <f>VLOOKUP(I4646,[2]categories!$A$2:$B$8,2,0)</f>
        <v>Children Bicycles</v>
      </c>
    </row>
    <row r="4647" spans="1:10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 s="1">
        <f t="shared" si="72"/>
        <v>1215.981</v>
      </c>
      <c r="H4647" t="str">
        <f>VLOOKUP(C4647,[1]products!$A:$B,2,0)</f>
        <v>Electra Townie Original 3i EQ Ladies' - 2018</v>
      </c>
      <c r="I4647">
        <f>VLOOKUP(H4647,[1]products!$B:$D,3,0)</f>
        <v>3</v>
      </c>
      <c r="J4647" t="str">
        <f>VLOOKUP(I4647,[2]categories!$A$2:$B$8,2,0)</f>
        <v>Cruisers Bicycles</v>
      </c>
    </row>
    <row r="4648" spans="1:10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 s="1">
        <f t="shared" si="72"/>
        <v>639.992</v>
      </c>
      <c r="H4648" t="str">
        <f>VLOOKUP(C4648,[1]products!$A:$B,2,0)</f>
        <v>Electra Townie Balloon 3i EQ Ladies' - 2018</v>
      </c>
      <c r="I4648">
        <f>VLOOKUP(H4648,[1]products!$B:$D,3,0)</f>
        <v>3</v>
      </c>
      <c r="J4648" t="str">
        <f>VLOOKUP(I4648,[2]categories!$A$2:$B$8,2,0)</f>
        <v>Cruisers Bicycles</v>
      </c>
    </row>
    <row r="4649" spans="1:10">
      <c r="A4649">
        <v>1589</v>
      </c>
      <c r="B4649">
        <v>3</v>
      </c>
      <c r="C4649">
        <v>28</v>
      </c>
      <c r="D4649">
        <v>2</v>
      </c>
      <c r="E4649">
        <v>2499.99</v>
      </c>
      <c r="F4649">
        <v>0.1</v>
      </c>
      <c r="G4649" s="1">
        <f t="shared" si="72"/>
        <v>4499.982</v>
      </c>
      <c r="H4649" t="str">
        <f>VLOOKUP(C4649,[1]products!$A:$B,2,0)</f>
        <v>Surly Karate Monkey 27.5+ Frameset - 2017</v>
      </c>
      <c r="I4649">
        <f>VLOOKUP(H4649,[1]products!$B:$D,3,0)</f>
        <v>6</v>
      </c>
      <c r="J4649" t="str">
        <f>VLOOKUP(I4649,[2]categories!$A$2:$B$8,2,0)</f>
        <v>Mountain Bikes</v>
      </c>
    </row>
    <row r="4650" spans="1:10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0.07</v>
      </c>
      <c r="G4650" s="1">
        <f t="shared" si="72"/>
        <v>5951.9814</v>
      </c>
      <c r="H4650" t="str">
        <f>VLOOKUP(C4650,[1]products!$A:$B,2,0)</f>
        <v>Trek Domane SLR Frameset - 2018</v>
      </c>
      <c r="I4650">
        <f>VLOOKUP(H4650,[1]products!$B:$D,3,0)</f>
        <v>7</v>
      </c>
      <c r="J4650" t="str">
        <f>VLOOKUP(I4650,[2]categories!$A$2:$B$8,2,0)</f>
        <v>Road Bikes</v>
      </c>
    </row>
    <row r="4651" spans="1:10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 s="1">
        <f t="shared" si="72"/>
        <v>479.992</v>
      </c>
      <c r="H4651" t="str">
        <f>VLOOKUP(C4651,[1]products!$A:$B,2,0)</f>
        <v>Electra Townie Original 7D EQ Ladies' - 2017/2018</v>
      </c>
      <c r="I4651">
        <f>VLOOKUP(H4651,[1]products!$B:$D,3,0)</f>
        <v>3</v>
      </c>
      <c r="J4651" t="str">
        <f>VLOOKUP(I4651,[2]categories!$A$2:$B$8,2,0)</f>
        <v>Cruisers Bicycles</v>
      </c>
    </row>
    <row r="4652" spans="1:10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0.07</v>
      </c>
      <c r="G4652" s="1">
        <f t="shared" si="72"/>
        <v>278.9907</v>
      </c>
      <c r="H4652" t="str">
        <f>VLOOKUP(C4652,[1]products!$A:$B,2,0)</f>
        <v>Electra Girl's Hawaii 1 (20-inch) - 2015/2016</v>
      </c>
      <c r="I4652">
        <f>VLOOKUP(H4652,[1]products!$B:$D,3,0)</f>
        <v>1</v>
      </c>
      <c r="J4652" t="str">
        <f>VLOOKUP(I4652,[2]categories!$A$2:$B$8,2,0)</f>
        <v>Children Bicycles</v>
      </c>
    </row>
    <row r="4653" spans="1:10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 s="1">
        <f t="shared" si="72"/>
        <v>447.984</v>
      </c>
      <c r="H4653" t="str">
        <f>VLOOKUP(C4653,[1]products!$A:$B,2,0)</f>
        <v>Electra Starship 1 16" - 2018</v>
      </c>
      <c r="I4653">
        <f>VLOOKUP(H4653,[1]products!$B:$D,3,0)</f>
        <v>1</v>
      </c>
      <c r="J4653" t="str">
        <f>VLOOKUP(I4653,[2]categories!$A$2:$B$8,2,0)</f>
        <v>Children Bicycles</v>
      </c>
    </row>
    <row r="4654" spans="1:10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 s="1">
        <f t="shared" si="72"/>
        <v>751.984</v>
      </c>
      <c r="H4654" t="str">
        <f>VLOOKUP(C4654,[1]products!$A:$B,2,0)</f>
        <v>Surly Big Fat Dummy Frameset - 2018</v>
      </c>
      <c r="I4654">
        <f>VLOOKUP(H4654,[1]products!$B:$D,3,0)</f>
        <v>6</v>
      </c>
      <c r="J4654" t="str">
        <f>VLOOKUP(I4654,[2]categories!$A$2:$B$8,2,0)</f>
        <v>Mountain Bikes</v>
      </c>
    </row>
    <row r="4655" spans="1:10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0.07</v>
      </c>
      <c r="G4655" s="1">
        <f t="shared" si="72"/>
        <v>650.9814</v>
      </c>
      <c r="H4655" t="str">
        <f>VLOOKUP(C4655,[1]products!$A:$B,2,0)</f>
        <v>Electra Savannah 3i (20-inch) - Girl's - 2017</v>
      </c>
      <c r="I4655">
        <f>VLOOKUP(H4655,[1]products!$B:$D,3,0)</f>
        <v>1</v>
      </c>
      <c r="J4655" t="str">
        <f>VLOOKUP(I4655,[2]categories!$A$2:$B$8,2,0)</f>
        <v>Children Bicycles</v>
      </c>
    </row>
    <row r="4656" spans="1:10">
      <c r="A4656">
        <v>1591</v>
      </c>
      <c r="B4656">
        <v>4</v>
      </c>
      <c r="C4656">
        <v>138</v>
      </c>
      <c r="D4656">
        <v>2</v>
      </c>
      <c r="E4656">
        <v>2249.99</v>
      </c>
      <c r="F4656">
        <v>0.05</v>
      </c>
      <c r="G4656" s="1">
        <f t="shared" si="72"/>
        <v>4274.981</v>
      </c>
      <c r="H4656" t="str">
        <f>VLOOKUP(C4656,[1]products!$A:$B,2,0)</f>
        <v>Trek Fuel EX 5 Plus - 2018</v>
      </c>
      <c r="I4656">
        <f>VLOOKUP(H4656,[1]products!$B:$D,3,0)</f>
        <v>6</v>
      </c>
      <c r="J4656" t="str">
        <f>VLOOKUP(I4656,[2]categories!$A$2:$B$8,2,0)</f>
        <v>Mountain Bikes</v>
      </c>
    </row>
    <row r="4657" spans="1:10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 s="1">
        <f t="shared" si="72"/>
        <v>231.992</v>
      </c>
      <c r="H4657" t="str">
        <f>VLOOKUP(C4657,[1]products!$A:$B,2,0)</f>
        <v>Strider Strider 20 Sport - 2018</v>
      </c>
      <c r="I4657">
        <f>VLOOKUP(H4657,[1]products!$B:$D,3,0)</f>
        <v>1</v>
      </c>
      <c r="J4657" t="str">
        <f>VLOOKUP(I4657,[2]categories!$A$2:$B$8,2,0)</f>
        <v>Children Bicycles</v>
      </c>
    </row>
    <row r="4658" spans="1:10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 s="1">
        <f t="shared" si="72"/>
        <v>2943.1</v>
      </c>
      <c r="H4658" t="str">
        <f>VLOOKUP(C4658,[1]products!$A:$B,2,0)</f>
        <v>Surly Straggler 650b - 2018</v>
      </c>
      <c r="I4658">
        <f>VLOOKUP(H4658,[1]products!$B:$D,3,0)</f>
        <v>7</v>
      </c>
      <c r="J4658" t="str">
        <f>VLOOKUP(I4658,[2]categories!$A$2:$B$8,2,0)</f>
        <v>Road Bikes</v>
      </c>
    </row>
    <row r="4659" spans="1:10">
      <c r="A4659">
        <v>1592</v>
      </c>
      <c r="B4659">
        <v>2</v>
      </c>
      <c r="C4659">
        <v>159</v>
      </c>
      <c r="D4659">
        <v>1</v>
      </c>
      <c r="E4659">
        <v>2299.99</v>
      </c>
      <c r="F4659">
        <v>0.07</v>
      </c>
      <c r="G4659" s="1">
        <f t="shared" si="72"/>
        <v>2138.9907</v>
      </c>
      <c r="H4659" t="str">
        <f>VLOOKUP(C4659,[1]products!$A:$B,2,0)</f>
        <v>Trek Emonda ALR 6 - 2018</v>
      </c>
      <c r="I4659">
        <f>VLOOKUP(H4659,[1]products!$B:$D,3,0)</f>
        <v>7</v>
      </c>
      <c r="J4659" t="str">
        <f>VLOOKUP(I4659,[2]categories!$A$2:$B$8,2,0)</f>
        <v>Road Bikes</v>
      </c>
    </row>
    <row r="4660" spans="1:10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0.07</v>
      </c>
      <c r="G4660" s="1">
        <f t="shared" si="72"/>
        <v>9299.9814</v>
      </c>
      <c r="H4660" t="str">
        <f>VLOOKUP(C4660,[1]products!$A:$B,2,0)</f>
        <v>Trek Fuel EX 9.8 29 - 2017</v>
      </c>
      <c r="I4660">
        <f>VLOOKUP(H4660,[1]products!$B:$D,3,0)</f>
        <v>6</v>
      </c>
      <c r="J4660" t="str">
        <f>VLOOKUP(I4660,[2]categories!$A$2:$B$8,2,0)</f>
        <v>Mountain Bikes</v>
      </c>
    </row>
    <row r="4661" spans="1:10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 s="1">
        <f t="shared" si="72"/>
        <v>2399.992</v>
      </c>
      <c r="H4661" t="str">
        <f>VLOOKUP(C4661,[1]products!$A:$B,2,0)</f>
        <v>Trek Conduit+ - 2016</v>
      </c>
      <c r="I4661">
        <f>VLOOKUP(H4661,[1]products!$B:$D,3,0)</f>
        <v>5</v>
      </c>
      <c r="J4661" t="str">
        <f>VLOOKUP(I4661,[2]categories!$A$2:$B$8,2,0)</f>
        <v>Electric Bikes</v>
      </c>
    </row>
    <row r="4662" spans="1:10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 s="1">
        <f t="shared" si="72"/>
        <v>398.981</v>
      </c>
      <c r="H4662" t="str">
        <f>VLOOKUP(C4662,[1]products!$A:$B,2,0)</f>
        <v>Trek Precaliber 16 Girl's - 2018</v>
      </c>
      <c r="I4662">
        <f>VLOOKUP(H4662,[1]products!$B:$D,3,0)</f>
        <v>1</v>
      </c>
      <c r="J4662" t="str">
        <f>VLOOKUP(I4662,[2]categories!$A$2:$B$8,2,0)</f>
        <v>Children Bicycles</v>
      </c>
    </row>
    <row r="4663" spans="1:10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 s="1">
        <f t="shared" si="72"/>
        <v>559.984</v>
      </c>
      <c r="H4663" t="str">
        <f>VLOOKUP(C4663,[1]products!$A:$B,2,0)</f>
        <v>Electra Savannah 3i (20-inch) - Girl's - 2017</v>
      </c>
      <c r="I4663">
        <f>VLOOKUP(H4663,[1]products!$B:$D,3,0)</f>
        <v>1</v>
      </c>
      <c r="J4663" t="str">
        <f>VLOOKUP(I4663,[2]categories!$A$2:$B$8,2,0)</f>
        <v>Children Bicycles</v>
      </c>
    </row>
    <row r="4664" spans="1:10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0.07</v>
      </c>
      <c r="G4664" s="1">
        <f t="shared" si="72"/>
        <v>437.0907</v>
      </c>
      <c r="H4664" t="str">
        <f>VLOOKUP(C4664,[1]products!$A:$B,2,0)</f>
        <v>Trek Session DH 27.5 Carbon Frameset - 2017</v>
      </c>
      <c r="I4664">
        <f>VLOOKUP(H4664,[1]products!$B:$D,3,0)</f>
        <v>6</v>
      </c>
      <c r="J4664" t="str">
        <f>VLOOKUP(I4664,[2]categories!$A$2:$B$8,2,0)</f>
        <v>Mountain Bikes</v>
      </c>
    </row>
    <row r="4665" spans="1:10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 s="1">
        <f t="shared" si="72"/>
        <v>5039.982</v>
      </c>
      <c r="H4665" t="str">
        <f>VLOOKUP(C4665,[1]products!$A:$B,2,0)</f>
        <v>Trek Dual Sport+ - 2018</v>
      </c>
      <c r="I4665">
        <f>VLOOKUP(H4665,[1]products!$B:$D,3,0)</f>
        <v>5</v>
      </c>
      <c r="J4665" t="str">
        <f>VLOOKUP(I4665,[2]categories!$A$2:$B$8,2,0)</f>
        <v>Electric Bikes</v>
      </c>
    </row>
    <row r="4666" spans="1:10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 s="1">
        <f t="shared" si="72"/>
        <v>396.1405</v>
      </c>
      <c r="H4666" t="str">
        <f>VLOOKUP(C4666,[1]products!$A:$B,2,0)</f>
        <v>Sun Bicycles Cruz 7 - 2017</v>
      </c>
      <c r="I4666">
        <f>VLOOKUP(H4666,[1]products!$B:$D,3,0)</f>
        <v>3</v>
      </c>
      <c r="J4666" t="str">
        <f>VLOOKUP(I4666,[2]categories!$A$2:$B$8,2,0)</f>
        <v>Cruisers Bicycles</v>
      </c>
    </row>
    <row r="4667" spans="1:10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0.07</v>
      </c>
      <c r="G4667" s="1">
        <f t="shared" si="72"/>
        <v>12089.9814</v>
      </c>
      <c r="H4667" t="str">
        <f>VLOOKUP(C4667,[1]products!$A:$B,2,0)</f>
        <v>Trek Emonda SLR 8 - 2018</v>
      </c>
      <c r="I4667">
        <f>VLOOKUP(H4667,[1]products!$B:$D,3,0)</f>
        <v>7</v>
      </c>
      <c r="J4667" t="str">
        <f>VLOOKUP(I4667,[2]categories!$A$2:$B$8,2,0)</f>
        <v>Road Bikes</v>
      </c>
    </row>
    <row r="4668" spans="1:10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 s="1">
        <f t="shared" si="72"/>
        <v>725.382</v>
      </c>
      <c r="H4668" t="str">
        <f>VLOOKUP(C4668,[1]products!$A:$B,2,0)</f>
        <v>Sun Bicycles Boardwalk (24-inch Wheels) - 2017</v>
      </c>
      <c r="I4668">
        <f>VLOOKUP(H4668,[1]products!$B:$D,3,0)</f>
        <v>3</v>
      </c>
      <c r="J4668" t="str">
        <f>VLOOKUP(I4668,[2]categories!$A$2:$B$8,2,0)</f>
        <v>Cruisers Bicycles</v>
      </c>
    </row>
    <row r="4669" spans="1:10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 s="1">
        <f t="shared" si="72"/>
        <v>480.591</v>
      </c>
      <c r="H4669" t="str">
        <f>VLOOKUP(C4669,[1]products!$A:$B,2,0)</f>
        <v>Sun Bicycles Streamway 7 - 2017</v>
      </c>
      <c r="I4669">
        <f>VLOOKUP(H4669,[1]products!$B:$D,3,0)</f>
        <v>2</v>
      </c>
      <c r="J4669" t="str">
        <f>VLOOKUP(I4669,[2]categories!$A$2:$B$8,2,0)</f>
        <v>Comfort Bicycles</v>
      </c>
    </row>
    <row r="4670" spans="1:10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 s="1">
        <f t="shared" si="72"/>
        <v>303.992</v>
      </c>
      <c r="H4670" t="str">
        <f>VLOOKUP(C4670,[1]products!$A:$B,2,0)</f>
        <v>Trek 820 - 2018</v>
      </c>
      <c r="I4670">
        <f>VLOOKUP(H4670,[1]products!$B:$D,3,0)</f>
        <v>6</v>
      </c>
      <c r="J4670" t="str">
        <f>VLOOKUP(I4670,[2]categories!$A$2:$B$8,2,0)</f>
        <v>Mountain Bikes</v>
      </c>
    </row>
    <row r="4671" spans="1:10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 s="1">
        <f t="shared" si="72"/>
        <v>332.4905</v>
      </c>
      <c r="H4671" t="str">
        <f>VLOOKUP(C4671,[1]products!$A:$B,2,0)</f>
        <v>Trek Precaliber 24 (21-Speed) - Girls - 2017</v>
      </c>
      <c r="I4671">
        <f>VLOOKUP(H4671,[1]products!$B:$D,3,0)</f>
        <v>1</v>
      </c>
      <c r="J4671" t="str">
        <f>VLOOKUP(I4671,[2]categories!$A$2:$B$8,2,0)</f>
        <v>Children Bicycles</v>
      </c>
    </row>
    <row r="4672" spans="1:10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 s="1">
        <f t="shared" si="72"/>
        <v>404.1</v>
      </c>
      <c r="H4672" t="str">
        <f>VLOOKUP(C4672,[1]products!$A:$B,2,0)</f>
        <v>Pure Cycles Western 3-Speed - Women's - 2015/2016</v>
      </c>
      <c r="I4672">
        <f>VLOOKUP(H4672,[1]products!$B:$D,3,0)</f>
        <v>3</v>
      </c>
      <c r="J4672" t="str">
        <f>VLOOKUP(I4672,[2]categories!$A$2:$B$8,2,0)</f>
        <v>Cruisers Bicycles</v>
      </c>
    </row>
    <row r="4673" spans="1:10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0.07</v>
      </c>
      <c r="G4673" s="1">
        <f t="shared" si="72"/>
        <v>2975.9907</v>
      </c>
      <c r="H4673" t="str">
        <f>VLOOKUP(C4673,[1]products!$A:$B,2,0)</f>
        <v>Trek Madone 9 Frameset - 2018</v>
      </c>
      <c r="I4673">
        <f>VLOOKUP(H4673,[1]products!$B:$D,3,0)</f>
        <v>7</v>
      </c>
      <c r="J4673" t="str">
        <f>VLOOKUP(I4673,[2]categories!$A$2:$B$8,2,0)</f>
        <v>Road Bikes</v>
      </c>
    </row>
    <row r="4674" spans="1:10">
      <c r="A4674">
        <v>1597</v>
      </c>
      <c r="B4674">
        <v>2</v>
      </c>
      <c r="C4674">
        <v>59</v>
      </c>
      <c r="D4674">
        <v>1</v>
      </c>
      <c r="E4674">
        <v>2599.99</v>
      </c>
      <c r="F4674">
        <v>0.07</v>
      </c>
      <c r="G4674" s="1">
        <f t="shared" ref="G4674:G4723" si="73">D4674*E4674*(1-F4674)</f>
        <v>2417.9907</v>
      </c>
      <c r="H4674" t="str">
        <f>VLOOKUP(C4674,[1]products!$A:$B,2,0)</f>
        <v>Trek Domane S 5 Disc - 2017</v>
      </c>
      <c r="I4674">
        <f>VLOOKUP(H4674,[1]products!$B:$D,3,0)</f>
        <v>7</v>
      </c>
      <c r="J4674" t="str">
        <f>VLOOKUP(I4674,[2]categories!$A$2:$B$8,2,0)</f>
        <v>Road Bikes</v>
      </c>
    </row>
    <row r="4675" spans="1:10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 s="1">
        <f t="shared" si="73"/>
        <v>479.992</v>
      </c>
      <c r="H4675" t="str">
        <f>VLOOKUP(C4675,[1]products!$A:$B,2,0)</f>
        <v>Electra Townie Original 7D EQ - 2018</v>
      </c>
      <c r="I4675">
        <f>VLOOKUP(H4675,[1]products!$B:$D,3,0)</f>
        <v>3</v>
      </c>
      <c r="J4675" t="str">
        <f>VLOOKUP(I4675,[2]categories!$A$2:$B$8,2,0)</f>
        <v>Cruisers Bicycles</v>
      </c>
    </row>
    <row r="4676" spans="1:10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0.07</v>
      </c>
      <c r="G4676" s="1">
        <f t="shared" si="73"/>
        <v>6509.9814</v>
      </c>
      <c r="H4676" t="str">
        <f>VLOOKUP(C4676,[1]products!$A:$B,2,0)</f>
        <v>Trek Domane SL 6 - 2017</v>
      </c>
      <c r="I4676">
        <f>VLOOKUP(H4676,[1]products!$B:$D,3,0)</f>
        <v>7</v>
      </c>
      <c r="J4676" t="str">
        <f>VLOOKUP(I4676,[2]categories!$A$2:$B$8,2,0)</f>
        <v>Road Bikes</v>
      </c>
    </row>
    <row r="4677" spans="1:10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 s="1">
        <f t="shared" si="73"/>
        <v>151.992</v>
      </c>
      <c r="H4677" t="str">
        <f>VLOOKUP(C4677,[1]products!$A:$B,2,0)</f>
        <v>Trek Precaliber 12 Girls - 2017</v>
      </c>
      <c r="I4677">
        <f>VLOOKUP(H4677,[1]products!$B:$D,3,0)</f>
        <v>1</v>
      </c>
      <c r="J4677" t="str">
        <f>VLOOKUP(I4677,[2]categories!$A$2:$B$8,2,0)</f>
        <v>Children Bicycles</v>
      </c>
    </row>
    <row r="4678" spans="1:10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 s="1">
        <f t="shared" si="73"/>
        <v>771.184</v>
      </c>
      <c r="H4678" t="str">
        <f>VLOOKUP(C4678,[1]products!$A:$B,2,0)</f>
        <v>Sun Bicycles Streamway - 2017</v>
      </c>
      <c r="I4678">
        <f>VLOOKUP(H4678,[1]products!$B:$D,3,0)</f>
        <v>2</v>
      </c>
      <c r="J4678" t="str">
        <f>VLOOKUP(I4678,[2]categories!$A$2:$B$8,2,0)</f>
        <v>Comfort Bicycles</v>
      </c>
    </row>
    <row r="4679" spans="1:10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 s="1">
        <f t="shared" si="73"/>
        <v>4499.991</v>
      </c>
      <c r="H4679" t="str">
        <f>VLOOKUP(C4679,[1]products!$A:$B,2,0)</f>
        <v>Trek Domane SLR 6 - 2018</v>
      </c>
      <c r="I4679">
        <f>VLOOKUP(H4679,[1]products!$B:$D,3,0)</f>
        <v>7</v>
      </c>
      <c r="J4679" t="str">
        <f>VLOOKUP(I4679,[2]categories!$A$2:$B$8,2,0)</f>
        <v>Road Bikes</v>
      </c>
    </row>
    <row r="4680" spans="1:10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 s="1">
        <f t="shared" si="73"/>
        <v>303.9905</v>
      </c>
      <c r="H4680" t="str">
        <f>VLOOKUP(C4680,[1]products!$A:$B,2,0)</f>
        <v>Electra Treasure 1 20" - 2018</v>
      </c>
      <c r="I4680">
        <f>VLOOKUP(H4680,[1]products!$B:$D,3,0)</f>
        <v>1</v>
      </c>
      <c r="J4680" t="str">
        <f>VLOOKUP(I4680,[2]categories!$A$2:$B$8,2,0)</f>
        <v>Children Bicycles</v>
      </c>
    </row>
    <row r="4681" spans="1:10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 s="1">
        <f t="shared" si="73"/>
        <v>666.392</v>
      </c>
      <c r="H4681" t="str">
        <f>VLOOKUP(C4681,[1]products!$A:$B,2,0)</f>
        <v>Surly Troll Frameset - 2017</v>
      </c>
      <c r="I4681">
        <f>VLOOKUP(H4681,[1]products!$B:$D,3,0)</f>
        <v>6</v>
      </c>
      <c r="J4681" t="str">
        <f>VLOOKUP(I4681,[2]categories!$A$2:$B$8,2,0)</f>
        <v>Mountain Bikes</v>
      </c>
    </row>
    <row r="4682" spans="1:10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 s="1">
        <f t="shared" si="73"/>
        <v>927.984</v>
      </c>
      <c r="H4682" t="str">
        <f>VLOOKUP(C4682,[1]products!$A:$B,2,0)</f>
        <v>Trek Marlin 6 - 2018</v>
      </c>
      <c r="I4682">
        <f>VLOOKUP(H4682,[1]products!$B:$D,3,0)</f>
        <v>6</v>
      </c>
      <c r="J4682" t="str">
        <f>VLOOKUP(I4682,[2]categories!$A$2:$B$8,2,0)</f>
        <v>Mountain Bikes</v>
      </c>
    </row>
    <row r="4683" spans="1:10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 s="1">
        <f t="shared" si="73"/>
        <v>1239.2</v>
      </c>
      <c r="H4683" t="str">
        <f>VLOOKUP(C4683,[1]products!$A:$B,2,0)</f>
        <v>Surly Straggler - 2016</v>
      </c>
      <c r="I4683">
        <f>VLOOKUP(H4683,[1]products!$B:$D,3,0)</f>
        <v>4</v>
      </c>
      <c r="J4683" t="str">
        <f>VLOOKUP(I4683,[2]categories!$A$2:$B$8,2,0)</f>
        <v>Cyclocross Bicycles</v>
      </c>
    </row>
    <row r="4684" spans="1:10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0.07</v>
      </c>
      <c r="G4684" s="1">
        <f t="shared" si="73"/>
        <v>502.1814</v>
      </c>
      <c r="H4684" t="str">
        <f>VLOOKUP(C4684,[1]products!$A:$B,2,0)</f>
        <v>Electra Cruiser 1 Ladies' - 2018</v>
      </c>
      <c r="I4684">
        <f>VLOOKUP(H4684,[1]products!$B:$D,3,0)</f>
        <v>3</v>
      </c>
      <c r="J4684" t="str">
        <f>VLOOKUP(I4684,[2]categories!$A$2:$B$8,2,0)</f>
        <v>Cruisers Bicycles</v>
      </c>
    </row>
    <row r="4685" spans="1:10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0.07</v>
      </c>
      <c r="G4685" s="1">
        <f t="shared" si="73"/>
        <v>7439.9814</v>
      </c>
      <c r="H4685" t="str">
        <f>VLOOKUP(C4685,[1]products!$A:$B,2,0)</f>
        <v>Trek Slash 8 27.5 - 2016</v>
      </c>
      <c r="I4685">
        <f>VLOOKUP(H4685,[1]products!$B:$D,3,0)</f>
        <v>6</v>
      </c>
      <c r="J4685" t="str">
        <f>VLOOKUP(I4685,[2]categories!$A$2:$B$8,2,0)</f>
        <v>Mountain Bikes</v>
      </c>
    </row>
    <row r="4686" spans="1:10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 s="1">
        <f t="shared" si="73"/>
        <v>827.991</v>
      </c>
      <c r="H4686" t="str">
        <f>VLOOKUP(C4686,[1]products!$A:$B,2,0)</f>
        <v>Trek Domane AL 3 Women's - 2018</v>
      </c>
      <c r="I4686">
        <f>VLOOKUP(H4686,[1]products!$B:$D,3,0)</f>
        <v>7</v>
      </c>
      <c r="J4686" t="str">
        <f>VLOOKUP(I4686,[2]categories!$A$2:$B$8,2,0)</f>
        <v>Road Bikes</v>
      </c>
    </row>
    <row r="4687" spans="1:10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 s="1">
        <f t="shared" si="73"/>
        <v>792.281</v>
      </c>
      <c r="H4687" t="str">
        <f>VLOOKUP(C4687,[1]products!$A:$B,2,0)</f>
        <v>Sun Bicycles Atlas X-Type - 2017</v>
      </c>
      <c r="I4687">
        <f>VLOOKUP(H4687,[1]products!$B:$D,3,0)</f>
        <v>3</v>
      </c>
      <c r="J4687" t="str">
        <f>VLOOKUP(I4687,[2]categories!$A$2:$B$8,2,0)</f>
        <v>Cruisers Bicycles</v>
      </c>
    </row>
    <row r="4688" spans="1:10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0.07</v>
      </c>
      <c r="G4688" s="1">
        <f t="shared" si="73"/>
        <v>353.3907</v>
      </c>
      <c r="H4688" t="str">
        <f>VLOOKUP(C4688,[1]products!$A:$B,2,0)</f>
        <v>Haro Flightline One ST - 2017</v>
      </c>
      <c r="I4688">
        <f>VLOOKUP(H4688,[1]products!$B:$D,3,0)</f>
        <v>6</v>
      </c>
      <c r="J4688" t="str">
        <f>VLOOKUP(I4688,[2]categories!$A$2:$B$8,2,0)</f>
        <v>Mountain Bikes</v>
      </c>
    </row>
    <row r="4689" spans="1:10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 s="1">
        <f t="shared" si="73"/>
        <v>367.984</v>
      </c>
      <c r="H4689" t="str">
        <f>VLOOKUP(C4689,[1]products!$A:$B,2,0)</f>
        <v>Trek Precaliber 20 Girl's - 2018</v>
      </c>
      <c r="I4689">
        <f>VLOOKUP(H4689,[1]products!$B:$D,3,0)</f>
        <v>1</v>
      </c>
      <c r="J4689" t="str">
        <f>VLOOKUP(I4689,[2]categories!$A$2:$B$8,2,0)</f>
        <v>Children Bicycles</v>
      </c>
    </row>
    <row r="4690" spans="1:10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 s="1">
        <f t="shared" si="73"/>
        <v>1709.981</v>
      </c>
      <c r="H4690" t="str">
        <f>VLOOKUP(C4690,[1]products!$A:$B,2,0)</f>
        <v>Electra Amsterdam Fashion 3i Ladies' - 2017/2018</v>
      </c>
      <c r="I4690">
        <f>VLOOKUP(H4690,[1]products!$B:$D,3,0)</f>
        <v>3</v>
      </c>
      <c r="J4690" t="str">
        <f>VLOOKUP(I4690,[2]categories!$A$2:$B$8,2,0)</f>
        <v>Cruisers Bicycles</v>
      </c>
    </row>
    <row r="4691" spans="1:10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 s="1">
        <f t="shared" si="73"/>
        <v>436.981</v>
      </c>
      <c r="H4691" t="str">
        <f>VLOOKUP(C4691,[1]products!$A:$B,2,0)</f>
        <v>Trek Precaliber 20 Girl's - 2018</v>
      </c>
      <c r="I4691">
        <f>VLOOKUP(H4691,[1]products!$B:$D,3,0)</f>
        <v>1</v>
      </c>
      <c r="J4691" t="str">
        <f>VLOOKUP(I4691,[2]categories!$A$2:$B$8,2,0)</f>
        <v>Children Bicycles</v>
      </c>
    </row>
    <row r="4692" spans="1:10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 s="1">
        <f t="shared" si="73"/>
        <v>188.991</v>
      </c>
      <c r="H4692" t="str">
        <f>VLOOKUP(C4692,[1]products!$A:$B,2,0)</f>
        <v>Trek Precaliber 16 Girl's - 2018</v>
      </c>
      <c r="I4692">
        <f>VLOOKUP(H4692,[1]products!$B:$D,3,0)</f>
        <v>1</v>
      </c>
      <c r="J4692" t="str">
        <f>VLOOKUP(I4692,[2]categories!$A$2:$B$8,2,0)</f>
        <v>Children Bicycles</v>
      </c>
    </row>
    <row r="4693" spans="1:10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 s="1">
        <f t="shared" si="73"/>
        <v>557.991</v>
      </c>
      <c r="H4693" t="str">
        <f>VLOOKUP(C4693,[1]products!$A:$B,2,0)</f>
        <v>Sun Bicycles Biscayne Tandem 7 - 2017</v>
      </c>
      <c r="I4693">
        <f>VLOOKUP(H4693,[1]products!$B:$D,3,0)</f>
        <v>3</v>
      </c>
      <c r="J4693" t="str">
        <f>VLOOKUP(I4693,[2]categories!$A$2:$B$8,2,0)</f>
        <v>Cruisers Bicycles</v>
      </c>
    </row>
    <row r="4694" spans="1:10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 s="1">
        <f t="shared" si="73"/>
        <v>3599.992</v>
      </c>
      <c r="H4694" t="str">
        <f>VLOOKUP(C4694,[1]products!$A:$B,2,0)</f>
        <v>Trek CrossRip+ - 2018</v>
      </c>
      <c r="I4694">
        <f>VLOOKUP(H4694,[1]products!$B:$D,3,0)</f>
        <v>5</v>
      </c>
      <c r="J4694" t="str">
        <f>VLOOKUP(I4694,[2]categories!$A$2:$B$8,2,0)</f>
        <v>Electric Bikes</v>
      </c>
    </row>
    <row r="4695" spans="1:10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 s="1">
        <f t="shared" si="73"/>
        <v>2699.982</v>
      </c>
      <c r="H4695" t="str">
        <f>VLOOKUP(C4695,[1]products!$A:$B,2,0)</f>
        <v>Trek Procal AL Frameset - 2018</v>
      </c>
      <c r="I4695">
        <f>VLOOKUP(H4695,[1]products!$B:$D,3,0)</f>
        <v>6</v>
      </c>
      <c r="J4695" t="str">
        <f>VLOOKUP(I4695,[2]categories!$A$2:$B$8,2,0)</f>
        <v>Mountain Bikes</v>
      </c>
    </row>
    <row r="4696" spans="1:10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 s="1">
        <f t="shared" si="73"/>
        <v>809.991</v>
      </c>
      <c r="H4696" t="str">
        <f>VLOOKUP(C4696,[1]products!$A:$B,2,0)</f>
        <v>Electra Townie Balloon 7i EQ - 2018</v>
      </c>
      <c r="I4696">
        <f>VLOOKUP(H4696,[1]products!$B:$D,3,0)</f>
        <v>3</v>
      </c>
      <c r="J4696" t="str">
        <f>VLOOKUP(I4696,[2]categories!$A$2:$B$8,2,0)</f>
        <v>Cruisers Bicycles</v>
      </c>
    </row>
    <row r="4697" spans="1:10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0.07</v>
      </c>
      <c r="G4697" s="1">
        <f t="shared" si="73"/>
        <v>929.9907</v>
      </c>
      <c r="H4697" t="str">
        <f>VLOOKUP(C4697,[1]products!$A:$B,2,0)</f>
        <v>Trek X-Caliber 8 - 2017</v>
      </c>
      <c r="I4697">
        <f>VLOOKUP(H4697,[1]products!$B:$D,3,0)</f>
        <v>6</v>
      </c>
      <c r="J4697" t="str">
        <f>VLOOKUP(I4697,[2]categories!$A$2:$B$8,2,0)</f>
        <v>Mountain Bikes</v>
      </c>
    </row>
    <row r="4698" spans="1:10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 s="1">
        <f t="shared" si="73"/>
        <v>593.991</v>
      </c>
      <c r="H4698" t="str">
        <f>VLOOKUP(C4698,[1]products!$A:$B,2,0)</f>
        <v>Electra Townie Original 3i EQ - 2017/2018</v>
      </c>
      <c r="I4698">
        <f>VLOOKUP(H4698,[1]products!$B:$D,3,0)</f>
        <v>3</v>
      </c>
      <c r="J4698" t="str">
        <f>VLOOKUP(I4698,[2]categories!$A$2:$B$8,2,0)</f>
        <v>Cruisers Bicycles</v>
      </c>
    </row>
    <row r="4699" spans="1:10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 s="1">
        <f t="shared" si="73"/>
        <v>188.991</v>
      </c>
      <c r="H4699" t="str">
        <f>VLOOKUP(C4699,[1]products!$A:$B,2,0)</f>
        <v>Trek Precaliber 16 Girl's - 2018</v>
      </c>
      <c r="I4699">
        <f>VLOOKUP(H4699,[1]products!$B:$D,3,0)</f>
        <v>1</v>
      </c>
      <c r="J4699" t="str">
        <f>VLOOKUP(I4699,[2]categories!$A$2:$B$8,2,0)</f>
        <v>Children Bicycles</v>
      </c>
    </row>
    <row r="4700" spans="1:10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 s="1">
        <f t="shared" si="73"/>
        <v>949.9905</v>
      </c>
      <c r="H4700" t="str">
        <f>VLOOKUP(C4700,[1]products!$A:$B,2,0)</f>
        <v>Trek X-Caliber 8 - 2017</v>
      </c>
      <c r="I4700">
        <f>VLOOKUP(H4700,[1]products!$B:$D,3,0)</f>
        <v>6</v>
      </c>
      <c r="J4700" t="str">
        <f>VLOOKUP(I4700,[2]categories!$A$2:$B$8,2,0)</f>
        <v>Mountain Bikes</v>
      </c>
    </row>
    <row r="4701" spans="1:10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 s="1">
        <f t="shared" si="73"/>
        <v>1006.981</v>
      </c>
      <c r="H4701" t="str">
        <f>VLOOKUP(C4701,[1]products!$A:$B,2,0)</f>
        <v>Electra Cruiser Lux 3i Ladies' - 2018</v>
      </c>
      <c r="I4701">
        <f>VLOOKUP(H4701,[1]products!$B:$D,3,0)</f>
        <v>3</v>
      </c>
      <c r="J4701" t="str">
        <f>VLOOKUP(I4701,[2]categories!$A$2:$B$8,2,0)</f>
        <v>Cruisers Bicycles</v>
      </c>
    </row>
    <row r="4702" spans="1:10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 s="1">
        <f t="shared" si="73"/>
        <v>279.992</v>
      </c>
      <c r="H4702" t="str">
        <f>VLOOKUP(C4702,[1]products!$A:$B,2,0)</f>
        <v>Electra Moto 3i (20-inch) - Boy's - 2017</v>
      </c>
      <c r="I4702">
        <f>VLOOKUP(H4702,[1]products!$B:$D,3,0)</f>
        <v>1</v>
      </c>
      <c r="J4702" t="str">
        <f>VLOOKUP(I4702,[2]categories!$A$2:$B$8,2,0)</f>
        <v>Children Bicycles</v>
      </c>
    </row>
    <row r="4703" spans="1:10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 s="1">
        <f t="shared" si="73"/>
        <v>1199.984</v>
      </c>
      <c r="H4703" t="str">
        <f>VLOOKUP(C4703,[1]products!$A:$B,2,0)</f>
        <v>Electra Townie Balloon 8D EQ - 2016/2017/2018</v>
      </c>
      <c r="I4703">
        <f>VLOOKUP(H4703,[1]products!$B:$D,3,0)</f>
        <v>3</v>
      </c>
      <c r="J4703" t="str">
        <f>VLOOKUP(I4703,[2]categories!$A$2:$B$8,2,0)</f>
        <v>Cruisers Bicycles</v>
      </c>
    </row>
    <row r="4704" spans="1:10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 s="1">
        <f t="shared" si="73"/>
        <v>575.982</v>
      </c>
      <c r="H4704" t="str">
        <f>VLOOKUP(C4704,[1]products!$A:$B,2,0)</f>
        <v>Electra Cruiser 7D Tall - 2016/2018</v>
      </c>
      <c r="I4704">
        <f>VLOOKUP(H4704,[1]products!$B:$D,3,0)</f>
        <v>3</v>
      </c>
      <c r="J4704" t="str">
        <f>VLOOKUP(I4704,[2]categories!$A$2:$B$8,2,0)</f>
        <v>Cruisers Bicycles</v>
      </c>
    </row>
    <row r="4705" spans="1:10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 s="1">
        <f t="shared" si="73"/>
        <v>427.192</v>
      </c>
      <c r="H4705" t="str">
        <f>VLOOKUP(C4705,[1]products!$A:$B,2,0)</f>
        <v>Sun Bicycles Streamway 7 - 2017</v>
      </c>
      <c r="I4705">
        <f>VLOOKUP(H4705,[1]products!$B:$D,3,0)</f>
        <v>2</v>
      </c>
      <c r="J4705" t="str">
        <f>VLOOKUP(I4705,[2]categories!$A$2:$B$8,2,0)</f>
        <v>Comfort Bicycles</v>
      </c>
    </row>
    <row r="4706" spans="1:10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0.07</v>
      </c>
      <c r="G4706" s="1">
        <f t="shared" si="73"/>
        <v>774.6807</v>
      </c>
      <c r="H4706" t="str">
        <f>VLOOKUP(C4706,[1]products!$A:$B,2,0)</f>
        <v>Surly Troll Frameset - 2017</v>
      </c>
      <c r="I4706">
        <f>VLOOKUP(H4706,[1]products!$B:$D,3,0)</f>
        <v>6</v>
      </c>
      <c r="J4706" t="str">
        <f>VLOOKUP(I4706,[2]categories!$A$2:$B$8,2,0)</f>
        <v>Mountain Bikes</v>
      </c>
    </row>
    <row r="4707" spans="1:10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 s="1">
        <f t="shared" si="73"/>
        <v>5119.984</v>
      </c>
      <c r="H4707" t="str">
        <f>VLOOKUP(C4707,[1]products!$A:$B,2,0)</f>
        <v>Trek Domane ALR Frameset - 2018</v>
      </c>
      <c r="I4707">
        <f>VLOOKUP(H4707,[1]products!$B:$D,3,0)</f>
        <v>7</v>
      </c>
      <c r="J4707" t="str">
        <f>VLOOKUP(I4707,[2]categories!$A$2:$B$8,2,0)</f>
        <v>Road Bikes</v>
      </c>
    </row>
    <row r="4708" spans="1:10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0.07</v>
      </c>
      <c r="G4708" s="1">
        <f t="shared" si="73"/>
        <v>2603.9907</v>
      </c>
      <c r="H4708" t="str">
        <f>VLOOKUP(C4708,[1]products!$A:$B,2,0)</f>
        <v>Electra Loft Go! 8i - 2018</v>
      </c>
      <c r="I4708">
        <f>VLOOKUP(H4708,[1]products!$B:$D,3,0)</f>
        <v>5</v>
      </c>
      <c r="J4708" t="str">
        <f>VLOOKUP(I4708,[2]categories!$A$2:$B$8,2,0)</f>
        <v>Electric Bikes</v>
      </c>
    </row>
    <row r="4709" spans="1:10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 s="1">
        <f t="shared" si="73"/>
        <v>5759.982</v>
      </c>
      <c r="H4709" t="str">
        <f>VLOOKUP(C4709,[1]products!$A:$B,2,0)</f>
        <v>Trek Domane SL 6 - 2018</v>
      </c>
      <c r="I4709">
        <f>VLOOKUP(H4709,[1]products!$B:$D,3,0)</f>
        <v>7</v>
      </c>
      <c r="J4709" t="str">
        <f>VLOOKUP(I4709,[2]categories!$A$2:$B$8,2,0)</f>
        <v>Road Bikes</v>
      </c>
    </row>
    <row r="4710" spans="1:10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 s="1">
        <f t="shared" si="73"/>
        <v>599.992</v>
      </c>
      <c r="H4710" t="str">
        <f>VLOOKUP(C4710,[1]products!$A:$B,2,0)</f>
        <v>Electra Morningstar 3i Ladies' - 2018</v>
      </c>
      <c r="I4710">
        <f>VLOOKUP(H4710,[1]products!$B:$D,3,0)</f>
        <v>3</v>
      </c>
      <c r="J4710" t="str">
        <f>VLOOKUP(I4710,[2]categories!$A$2:$B$8,2,0)</f>
        <v>Cruisers Bicycles</v>
      </c>
    </row>
    <row r="4711" spans="1:10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 s="1">
        <f t="shared" si="73"/>
        <v>629.991</v>
      </c>
      <c r="H4711" t="str">
        <f>VLOOKUP(C4711,[1]products!$A:$B,2,0)</f>
        <v>Electra Townie Commute 8D Ladies' - 2018</v>
      </c>
      <c r="I4711">
        <f>VLOOKUP(H4711,[1]products!$B:$D,3,0)</f>
        <v>3</v>
      </c>
      <c r="J4711" t="str">
        <f>VLOOKUP(I4711,[2]categories!$A$2:$B$8,2,0)</f>
        <v>Cruisers Bicycles</v>
      </c>
    </row>
    <row r="4712" spans="1:10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 s="1">
        <f t="shared" si="73"/>
        <v>607.981</v>
      </c>
      <c r="H4712" t="str">
        <f>VLOOKUP(C4712,[1]products!$A:$B,2,0)</f>
        <v>Electra Superbolt 1 20" - 2018</v>
      </c>
      <c r="I4712">
        <f>VLOOKUP(H4712,[1]products!$B:$D,3,0)</f>
        <v>1</v>
      </c>
      <c r="J4712" t="str">
        <f>VLOOKUP(I4712,[2]categories!$A$2:$B$8,2,0)</f>
        <v>Children Bicycles</v>
      </c>
    </row>
    <row r="4713" spans="1:10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 s="1">
        <f t="shared" si="73"/>
        <v>543.984</v>
      </c>
      <c r="H4713" t="str">
        <f>VLOOKUP(C4713,[1]products!$A:$B,2,0)</f>
        <v>Electra Townie 7D (20-inch) - Boys' - 2017</v>
      </c>
      <c r="I4713">
        <f>VLOOKUP(H4713,[1]products!$B:$D,3,0)</f>
        <v>1</v>
      </c>
      <c r="J4713" t="str">
        <f>VLOOKUP(I4713,[2]categories!$A$2:$B$8,2,0)</f>
        <v>Children Bicycles</v>
      </c>
    </row>
    <row r="4714" spans="1:10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0.07</v>
      </c>
      <c r="G4714" s="1">
        <f t="shared" si="73"/>
        <v>595.1814</v>
      </c>
      <c r="H4714" t="str">
        <f>VLOOKUP(C4714,[1]products!$A:$B,2,0)</f>
        <v>Electra Tiger Shark 1 (20-inch) - Boys' - 2018</v>
      </c>
      <c r="I4714">
        <f>VLOOKUP(H4714,[1]products!$B:$D,3,0)</f>
        <v>1</v>
      </c>
      <c r="J4714" t="str">
        <f>VLOOKUP(I4714,[2]categories!$A$2:$B$8,2,0)</f>
        <v>Children Bicycles</v>
      </c>
    </row>
    <row r="4715" spans="1:10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 s="1">
        <f t="shared" si="73"/>
        <v>1403.991</v>
      </c>
      <c r="H4715" t="str">
        <f>VLOOKUP(C4715,[1]products!$A:$B,2,0)</f>
        <v>Sun Bicycles ElectroLite - 2017</v>
      </c>
      <c r="I4715">
        <f>VLOOKUP(H4715,[1]products!$B:$D,3,0)</f>
        <v>5</v>
      </c>
      <c r="J4715" t="str">
        <f>VLOOKUP(I4715,[2]categories!$A$2:$B$8,2,0)</f>
        <v>Electric Bikes</v>
      </c>
    </row>
    <row r="4716" spans="1:10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0.07</v>
      </c>
      <c r="G4716" s="1">
        <f t="shared" si="73"/>
        <v>4649.9907</v>
      </c>
      <c r="H4716" t="str">
        <f>VLOOKUP(C4716,[1]products!$A:$B,2,0)</f>
        <v>Trek Domane SL 7 Women's - 2018</v>
      </c>
      <c r="I4716">
        <f>VLOOKUP(H4716,[1]products!$B:$D,3,0)</f>
        <v>7</v>
      </c>
      <c r="J4716" t="str">
        <f>VLOOKUP(I4716,[2]categories!$A$2:$B$8,2,0)</f>
        <v>Road Bikes</v>
      </c>
    </row>
    <row r="4717" spans="1:10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 s="1">
        <f t="shared" si="73"/>
        <v>607.981</v>
      </c>
      <c r="H4717" t="str">
        <f>VLOOKUP(C4717,[1]products!$A:$B,2,0)</f>
        <v>Electra Heartchya 1 (20-inch) - Girl's - 2018</v>
      </c>
      <c r="I4717">
        <f>VLOOKUP(H4717,[1]products!$B:$D,3,0)</f>
        <v>1</v>
      </c>
      <c r="J4717" t="str">
        <f>VLOOKUP(I4717,[2]categories!$A$2:$B$8,2,0)</f>
        <v>Children Bicycles</v>
      </c>
    </row>
    <row r="4718" spans="1:10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0.07</v>
      </c>
      <c r="G4718" s="1">
        <f t="shared" si="73"/>
        <v>1394.07</v>
      </c>
      <c r="H4718" t="str">
        <f>VLOOKUP(C4718,[1]products!$A:$B,2,0)</f>
        <v>Surly Krampus - 2018</v>
      </c>
      <c r="I4718">
        <f>VLOOKUP(H4718,[1]products!$B:$D,3,0)</f>
        <v>6</v>
      </c>
      <c r="J4718" t="str">
        <f>VLOOKUP(I4718,[2]categories!$A$2:$B$8,2,0)</f>
        <v>Mountain Bikes</v>
      </c>
    </row>
    <row r="4719" spans="1:10">
      <c r="A4719">
        <v>1614</v>
      </c>
      <c r="B4719">
        <v>2</v>
      </c>
      <c r="C4719">
        <v>159</v>
      </c>
      <c r="D4719">
        <v>2</v>
      </c>
      <c r="E4719">
        <v>2299.99</v>
      </c>
      <c r="F4719">
        <v>0.07</v>
      </c>
      <c r="G4719" s="1">
        <f t="shared" si="73"/>
        <v>4277.9814</v>
      </c>
      <c r="H4719" t="str">
        <f>VLOOKUP(C4719,[1]products!$A:$B,2,0)</f>
        <v>Trek Emonda ALR 6 - 2018</v>
      </c>
      <c r="I4719">
        <f>VLOOKUP(H4719,[1]products!$B:$D,3,0)</f>
        <v>7</v>
      </c>
      <c r="J4719" t="str">
        <f>VLOOKUP(I4719,[2]categories!$A$2:$B$8,2,0)</f>
        <v>Road Bikes</v>
      </c>
    </row>
    <row r="4720" spans="1:10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 s="1">
        <f t="shared" si="73"/>
        <v>431.984</v>
      </c>
      <c r="H4720" t="str">
        <f>VLOOKUP(C4720,[1]products!$A:$B,2,0)</f>
        <v>Electra Cruiser 1 - 2016/2017/2018</v>
      </c>
      <c r="I4720">
        <f>VLOOKUP(H4720,[1]products!$B:$D,3,0)</f>
        <v>3</v>
      </c>
      <c r="J4720" t="str">
        <f>VLOOKUP(I4720,[2]categories!$A$2:$B$8,2,0)</f>
        <v>Cruisers Bicycles</v>
      </c>
    </row>
    <row r="4721" spans="1:10">
      <c r="A4721">
        <v>1615</v>
      </c>
      <c r="B4721">
        <v>1</v>
      </c>
      <c r="C4721">
        <v>197</v>
      </c>
      <c r="D4721">
        <v>2</v>
      </c>
      <c r="E4721">
        <v>2299.99</v>
      </c>
      <c r="F4721">
        <v>0.2</v>
      </c>
      <c r="G4721" s="1">
        <f t="shared" si="73"/>
        <v>3679.984</v>
      </c>
      <c r="H4721" t="str">
        <f>VLOOKUP(C4721,[1]products!$A:$B,2,0)</f>
        <v>Trek Verve+ Lowstep - 2018</v>
      </c>
      <c r="I4721">
        <f>VLOOKUP(H4721,[1]products!$B:$D,3,0)</f>
        <v>5</v>
      </c>
      <c r="J4721" t="str">
        <f>VLOOKUP(I4721,[2]categories!$A$2:$B$8,2,0)</f>
        <v>Electric Bikes</v>
      </c>
    </row>
    <row r="4722" spans="1:10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0.07</v>
      </c>
      <c r="G4722" s="1">
        <f t="shared" si="73"/>
        <v>836.9907</v>
      </c>
      <c r="H4722" t="str">
        <f>VLOOKUP(C4722,[1]products!$A:$B,2,0)</f>
        <v>Electra Tiger Shark 3i - 2018</v>
      </c>
      <c r="I4722">
        <f>VLOOKUP(H4722,[1]products!$B:$D,3,0)</f>
        <v>3</v>
      </c>
      <c r="J4722" t="str">
        <f>VLOOKUP(I4722,[2]categories!$A$2:$B$8,2,0)</f>
        <v>Cruisers Bicycles</v>
      </c>
    </row>
    <row r="4723" spans="1:10">
      <c r="A4723">
        <v>1615</v>
      </c>
      <c r="B4723">
        <v>3</v>
      </c>
      <c r="C4723">
        <v>182</v>
      </c>
      <c r="D4723">
        <v>1</v>
      </c>
      <c r="E4723">
        <v>2499.99</v>
      </c>
      <c r="F4723">
        <v>0.2</v>
      </c>
      <c r="G4723" s="1">
        <f t="shared" si="73"/>
        <v>1999.992</v>
      </c>
      <c r="H4723" t="str">
        <f>VLOOKUP(C4723,[1]products!$A:$B,2,0)</f>
        <v>Trek Domane SL 5 Disc - 2018</v>
      </c>
      <c r="I4723">
        <f>VLOOKUP(H4723,[1]products!$B:$D,3,0)</f>
        <v>7</v>
      </c>
      <c r="J4723" t="str">
        <f>VLOOKUP(I4723,[2]categories!$A$2:$B$8,2,0)</f>
        <v>Road Bikes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2026-06-12T13:31:00Z</dcterms:created>
  <dcterms:modified xsi:type="dcterms:W3CDTF">2026-08-04T14:39:21Z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F2C02AC57CF94A329B16728FFD5A43AF_13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